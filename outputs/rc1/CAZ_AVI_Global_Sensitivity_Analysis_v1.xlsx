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e4a35b97dc4b7b" /></Relationships>
</file>

<file path=xl/workbook.xml><?xml version="1.0" encoding="utf-8"?>
<x:workbook xmlns:x="http://schemas.openxmlformats.org/spreadsheetml/2006/main">
  <x:sheets>
    <x:sheet xmlns:r="http://schemas.openxmlformats.org/officeDocument/2006/relationships" name="Dashboard" sheetId="1" r:id="Rd8ffb5713fbc43dc"/>
    <x:sheet xmlns:r="http://schemas.openxmlformats.org/officeDocument/2006/relationships" name="Regimen_Summary" sheetId="2" r:id="R74d9538a8820469e"/>
    <x:sheet xmlns:r="http://schemas.openxmlformats.org/officeDocument/2006/relationships" name="PTA_Results" sheetId="3" r:id="R9675b3111a5b40e4"/>
    <x:sheet xmlns:r="http://schemas.openxmlformats.org/officeDocument/2006/relationships" name="Published_Comparison" sheetId="4" r:id="R6db2ca702a3e4418"/>
    <x:sheet xmlns:r="http://schemas.openxmlformats.org/officeDocument/2006/relationships" name="Methods" sheetId="5" r:id="Rd41af990955e425d"/>
    <x:sheet xmlns:r="http://schemas.openxmlformats.org/officeDocument/2006/relationships" name="Row_Validation" sheetId="6" r:id="Rb8e2d4a6a5b44260"/>
    <x:sheet xmlns:r="http://schemas.openxmlformats.org/officeDocument/2006/relationships" name="Calibration_Summary" sheetId="7" r:id="Rf8bbb950bd434b5d"/>
    <x:sheet xmlns:r="http://schemas.openxmlformats.org/officeDocument/2006/relationships" name="Group_Summary" sheetId="8" r:id="R0520ac184ff04c40"/>
    <x:sheet xmlns:r="http://schemas.openxmlformats.org/officeDocument/2006/relationships" name="Scientific_Findings" sheetId="9" r:id="Re1e49d7118ac4de6"/>
    <x:sheet xmlns:r="http://schemas.openxmlformats.org/officeDocument/2006/relationships" name="Convergence_Summary" sheetId="10" r:id="R42eb7b66717042d6"/>
    <x:sheet xmlns:r="http://schemas.openxmlformats.org/officeDocument/2006/relationships" name="Convergence_Detail" sheetId="11" r:id="R50055aea538e4904"/>
    <x:sheet xmlns:r="http://schemas.openxmlformats.org/officeDocument/2006/relationships" name="Key_Endpoints" sheetId="12" r:id="Ra32462cc6ef14f4d"/>
    <x:sheet xmlns:r="http://schemas.openxmlformats.org/officeDocument/2006/relationships" name="Multiseed_Detail" sheetId="13" r:id="Rfe1a44df09694c79"/>
    <x:sheet xmlns:r="http://schemas.openxmlformats.org/officeDocument/2006/relationships" name="Multiseed_Summary" sheetId="14" r:id="Rf43322424c854c84"/>
    <x:sheet xmlns:r="http://schemas.openxmlformats.org/officeDocument/2006/relationships" name="CFR_Input_Template" sheetId="15" r:id="R135460915bd64349"/>
    <x:sheet xmlns:r="http://schemas.openxmlformats.org/officeDocument/2006/relationships" name="CFR_Status" sheetId="16" r:id="Rfda87959e6234689"/>
    <x:sheet xmlns:r="http://schemas.openxmlformats.org/officeDocument/2006/relationships" name="Reproducibility" sheetId="17" r:id="Ra3b2c3d7ceb44a91"/>
    <x:sheet xmlns:r="http://schemas.openxmlformats.org/officeDocument/2006/relationships" name="MIC_Source_Review" sheetId="18" r:id="R23fe18a3290d49ba"/>
    <x:sheet xmlns:r="http://schemas.openxmlformats.org/officeDocument/2006/relationships" name="MIC_Raw_Distributions" sheetId="19" r:id="R939a917215d54399"/>
    <x:sheet xmlns:r="http://schemas.openxmlformats.org/officeDocument/2006/relationships" name="MIC_Harmonized" sheetId="20" r:id="R250c9d5f39394bcb"/>
    <x:sheet xmlns:r="http://schemas.openxmlformats.org/officeDocument/2006/relationships" name="CFR_Contributions" sheetId="21" r:id="Rb61976a01e484751"/>
    <x:sheet xmlns:r="http://schemas.openxmlformats.org/officeDocument/2006/relationships" name="CFR_Summary" sheetId="22" r:id="R77af560e15ae458a"/>
    <x:sheet xmlns:r="http://schemas.openxmlformats.org/officeDocument/2006/relationships" name="CFR_Interpretation" sheetId="23" r:id="Rd2b18184f16d4e10"/>
    <x:sheet xmlns:r="http://schemas.openxmlformats.org/officeDocument/2006/relationships" name="French_OXA484_Source" sheetId="24" r:id="Rfef9222ddda74921"/>
    <x:sheet xmlns:r="http://schemas.openxmlformats.org/officeDocument/2006/relationships" name="French_OXA484_Raw" sheetId="25" r:id="Re51106586f534ef3"/>
    <x:sheet xmlns:r="http://schemas.openxmlformats.org/officeDocument/2006/relationships" name="French_OXA484_Harmonized" sheetId="26" r:id="Ra962df62d83143ed"/>
    <x:sheet xmlns:r="http://schemas.openxmlformats.org/officeDocument/2006/relationships" name="French_OXA484_CFR" sheetId="27" r:id="Ra4b928ebd1854097"/>
    <x:sheet xmlns:r="http://schemas.openxmlformats.org/officeDocument/2006/relationships" name="French_OXA484_Sensitivity" sheetId="28" r:id="R96c6d2ecdc654834"/>
    <x:sheet xmlns:r="http://schemas.openxmlformats.org/officeDocument/2006/relationships" name="Sensitivity_Design" sheetId="29" r:id="R55c38555bb324589"/>
    <x:sheet xmlns:r="http://schemas.openxmlformats.org/officeDocument/2006/relationships" name="Sensitivity_Detail" sheetId="30" r:id="Rd06573eeae014b90"/>
    <x:sheet xmlns:r="http://schemas.openxmlformats.org/officeDocument/2006/relationships" name="Sensitivity_Ranking" sheetId="31" r:id="R649ef815df1e4407"/>
    <x:sheet xmlns:r="http://schemas.openxmlformats.org/officeDocument/2006/relationships" name="Decision_Reversals" sheetId="32" r:id="R6fd8a68d5eac41bd"/>
    <x:sheet xmlns:r="http://schemas.openxmlformats.org/officeDocument/2006/relationships" name="Sensitivity_Conclusions" sheetId="33" r:id="R533fd987296f42e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x:numFmt numFmtId="203" formatCode="0.000"/>
    <x:numFmt numFmtId="204" formatCode="0.0000"/>
  </x:numFmts>
  <x:fonts count="11">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
      <x:b/>
      <x:sz val="16"/>
      <x:color rgb="FFFFFFFF"/>
      <x:name val="Carlito"/>
    </x:font>
    <x:font>
      <x:b/>
      <x:sz val="11"/>
      <x:color rgb="FF375623"/>
      <x:name val="Carlito"/>
    </x:font>
    <x:font>
      <x:b/>
      <x:sz val="11"/>
      <x:color rgb="FF7F6000"/>
      <x:name val="Carlito"/>
    </x:font>
    <x:font>
      <x:b/>
      <x:sz val="11"/>
      <x:color rgb="FF9C0006"/>
      <x:name val="Carlito"/>
    </x:font>
  </x:fonts>
  <x:fills count="24">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8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7"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8" fillId="8"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203" fontId="0" fillId="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1" fillId="9"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8" fillId="11" borderId="0" xfId="0" applyNumberFormat="1" applyFont="1" applyFill="1" applyBorder="1" applyAlignment="1">
      <x:alignment wrapText="1"/>
    </x:xf>
    <x:xf numFmtId="204" fontId="0" fillId="0"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0" fontId="9" fillId="5" borderId="0" xfId="0" applyNumberFormat="1" applyFont="1" applyFill="1" applyBorder="1"/>
    <x:xf numFmtId="0" fontId="9" fillId="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1" fillId="13" borderId="0" xfId="0" applyNumberFormat="1" applyFont="1" applyFill="1" applyBorder="1" applyAlignment="1">
      <x:alignment horizontal="center" vertical="center"/>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10" fillId="16" borderId="0" xfId="0" applyNumberFormat="1" applyFont="1" applyFill="1" applyBorder="1"/>
    <x:xf numFmtId="0" fontId="1" fillId="13" borderId="0" xfId="0" applyNumberFormat="1" applyFont="1" applyFill="1" applyBorder="1" applyAlignment="1">
      <x:alignment horizontal="center" vertical="center" wrapText="1"/>
    </x:xf>
    <x:xf numFmtId="0" fontId="8" fillId="15" borderId="0" xfId="0" applyNumberFormat="1" applyFont="1" applyFill="1" applyBorder="1" applyAlignment="1">
      <x:alignment wrapText="1"/>
    </x:xf>
    <x:xf numFmtId="0" fontId="10" fillId="16"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0" xfId="0" applyNumberFormat="1" applyFont="1" applyFill="1" applyBorder="1"/>
    <x:xf numFmtId="0" fontId="8"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1" fillId="17" borderId="0" xfId="0" applyNumberFormat="1" applyFont="1" applyFill="1" applyBorder="1" applyAlignment="1">
      <x:alignment horizontal="center" vertical="center" wrapText="1"/>
    </x:xf>
    <x:xf numFmtId="0" fontId="8"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horizontal="center"/>
    </x:xf>
    <x:xf numFmtId="0" fontId="1" fillId="21" borderId="0" xfId="0" applyNumberFormat="1" applyFont="1" applyFill="1" applyBorder="1" applyAlignment="1">
      <x:alignment horizontal="center" vertical="center"/>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3" fillId="22" borderId="0" xfId="0" applyNumberFormat="1" applyFont="1" applyFill="1" applyBorder="1" applyAlignment="1">
      <x:alignment horizontal="center" vertical="center" wrapText="1"/>
    </x:xf>
    <x:xf numFmtId="0" fontId="1" fillId="21" borderId="0" xfId="0" applyNumberFormat="1" applyFont="1" applyFill="1" applyBorder="1" applyAlignment="1">
      <x:alignment horizontal="center" vertical="center" wrapText="1"/>
    </x:xf>
    <x:xf numFmtId="0" fontId="0" fillId="23" borderId="0" xfId="0" applyNumberFormat="1" applyFont="1" applyFill="1" applyBorder="1"/>
    <x:xf numFmtId="0" fontId="8" fillId="23" borderId="0" xfId="0" applyNumberFormat="1" applyFont="1" applyFill="1" applyBorder="1"/>
    <x:xf numFmtId="0" fontId="8" fillId="23" borderId="0" xfId="0" applyNumberFormat="1" applyFont="1" applyFill="1" applyBorder="1" applyAlignment="1">
      <x:alignment wrapText="1"/>
    </x:xf>
  </x:cellXfs>
  <x:cellStyles count="1">
    <x:cellStyle name="Normal" xfId="0"/>
  </x:cellStyles>
  <x:dxfs count="16">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eb035cfa40450d" /><Relationship Type="http://schemas.openxmlformats.org/officeDocument/2006/relationships/theme" Target="/xl/theme/theme1.xml" Id="Rea15950ff77d463e" /><Relationship Type="http://schemas.openxmlformats.org/officeDocument/2006/relationships/sharedStrings" Target="/xl/sharedStrings.xml" Id="R724fbc86e4094d59" /><Relationship Type="http://schemas.openxmlformats.org/officeDocument/2006/relationships/worksheet" Target="/xl/worksheets/sheet1.xml" Id="Rd8ffb5713fbc43dc" /><Relationship Type="http://schemas.openxmlformats.org/officeDocument/2006/relationships/worksheet" Target="/xl/worksheets/sheet2.xml" Id="R74d9538a8820469e" /><Relationship Type="http://schemas.openxmlformats.org/officeDocument/2006/relationships/worksheet" Target="/xl/worksheets/sheet3.xml" Id="R9675b3111a5b40e4" /><Relationship Type="http://schemas.openxmlformats.org/officeDocument/2006/relationships/worksheet" Target="/xl/worksheets/sheet4.xml" Id="R6db2ca702a3e4418" /><Relationship Type="http://schemas.openxmlformats.org/officeDocument/2006/relationships/worksheet" Target="/xl/worksheets/sheet5.xml" Id="Rd41af990955e425d" /><Relationship Type="http://schemas.openxmlformats.org/officeDocument/2006/relationships/worksheet" Target="/xl/worksheets/sheet6.xml" Id="Rb8e2d4a6a5b44260" /><Relationship Type="http://schemas.openxmlformats.org/officeDocument/2006/relationships/worksheet" Target="/xl/worksheets/sheet7.xml" Id="Rf8bbb950bd434b5d" /><Relationship Type="http://schemas.openxmlformats.org/officeDocument/2006/relationships/worksheet" Target="/xl/worksheets/sheet8.xml" Id="R0520ac184ff04c40" /><Relationship Type="http://schemas.openxmlformats.org/officeDocument/2006/relationships/worksheet" Target="/xl/worksheets/sheet9.xml" Id="Re1e49d7118ac4de6" /><Relationship Type="http://schemas.openxmlformats.org/officeDocument/2006/relationships/worksheet" Target="/xl/worksheets/sheet10.xml" Id="R42eb7b66717042d6" /><Relationship Type="http://schemas.openxmlformats.org/officeDocument/2006/relationships/worksheet" Target="/xl/worksheets/sheet11.xml" Id="R50055aea538e4904" /><Relationship Type="http://schemas.openxmlformats.org/officeDocument/2006/relationships/worksheet" Target="/xl/worksheets/sheet12.xml" Id="Ra32462cc6ef14f4d" /><Relationship Type="http://schemas.openxmlformats.org/officeDocument/2006/relationships/worksheet" Target="/xl/worksheets/sheet13.xml" Id="Rfe1a44df09694c79" /><Relationship Type="http://schemas.openxmlformats.org/officeDocument/2006/relationships/worksheet" Target="/xl/worksheets/sheet14.xml" Id="Rf43322424c854c84" /><Relationship Type="http://schemas.openxmlformats.org/officeDocument/2006/relationships/worksheet" Target="/xl/worksheets/sheet15.xml" Id="R135460915bd64349" /><Relationship Type="http://schemas.openxmlformats.org/officeDocument/2006/relationships/worksheet" Target="/xl/worksheets/sheet16.xml" Id="Rfda87959e6234689" /><Relationship Type="http://schemas.openxmlformats.org/officeDocument/2006/relationships/worksheet" Target="/xl/worksheets/sheet17.xml" Id="Ra3b2c3d7ceb44a91" /><Relationship Type="http://schemas.openxmlformats.org/officeDocument/2006/relationships/worksheet" Target="/xl/worksheets/sheet18.xml" Id="R23fe18a3290d49ba" /><Relationship Type="http://schemas.openxmlformats.org/officeDocument/2006/relationships/worksheet" Target="/xl/worksheets/sheet19.xml" Id="R939a917215d54399" /><Relationship Type="http://schemas.openxmlformats.org/officeDocument/2006/relationships/worksheet" Target="/xl/worksheets/sheet20.xml" Id="R250c9d5f39394bcb" /><Relationship Type="http://schemas.openxmlformats.org/officeDocument/2006/relationships/worksheet" Target="/xl/worksheets/sheet21.xml" Id="Rb61976a01e484751" /><Relationship Type="http://schemas.openxmlformats.org/officeDocument/2006/relationships/worksheet" Target="/xl/worksheets/sheet22.xml" Id="R77af560e15ae458a" /><Relationship Type="http://schemas.openxmlformats.org/officeDocument/2006/relationships/worksheet" Target="/xl/worksheets/sheet23.xml" Id="Rd2b18184f16d4e10" /><Relationship Type="http://schemas.openxmlformats.org/officeDocument/2006/relationships/worksheet" Target="/xl/worksheets/sheet24.xml" Id="Rfef9222ddda74921" /><Relationship Type="http://schemas.openxmlformats.org/officeDocument/2006/relationships/worksheet" Target="/xl/worksheets/sheet25.xml" Id="Re51106586f534ef3" /><Relationship Type="http://schemas.openxmlformats.org/officeDocument/2006/relationships/worksheet" Target="/xl/worksheets/sheet26.xml" Id="Ra962df62d83143ed" /><Relationship Type="http://schemas.openxmlformats.org/officeDocument/2006/relationships/worksheet" Target="/xl/worksheets/sheet27.xml" Id="Ra4b928ebd1854097" /><Relationship Type="http://schemas.openxmlformats.org/officeDocument/2006/relationships/worksheet" Target="/xl/worksheets/sheet28.xml" Id="R96c6d2ecdc654834" /><Relationship Type="http://schemas.openxmlformats.org/officeDocument/2006/relationships/worksheet" Target="/xl/worksheets/sheet29.xml" Id="R55c38555bb324589" /><Relationship Type="http://schemas.openxmlformats.org/officeDocument/2006/relationships/worksheet" Target="/xl/worksheets/sheet30.xml" Id="Rd06573eeae014b90" /><Relationship Type="http://schemas.openxmlformats.org/officeDocument/2006/relationships/worksheet" Target="/xl/worksheets/sheet31.xml" Id="R649ef815df1e4407" /><Relationship Type="http://schemas.openxmlformats.org/officeDocument/2006/relationships/worksheet" Target="/xl/worksheets/sheet32.xml" Id="R6fd8a68d5eac41bd" /><Relationship Type="http://schemas.openxmlformats.org/officeDocument/2006/relationships/worksheet" Target="/xl/worksheets/sheet33.xml" Id="R533fd987296f42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3e00954253ff4682" /></Relationships>
</file>

<file path=xl/drawings/_rels/drawing2.xml.rels>&#65279;<?xml version="1.0" encoding="utf-8"?><Relationships xmlns="http://schemas.openxmlformats.org/package/2006/relationships"><Relationship Type="http://schemas.openxmlformats.org/officeDocument/2006/relationships/chart" Target="/xl/drawings/charts/chart2.xml" Id="R279a65212e344fc9" /></Relationships>
</file>

<file path=xl/drawings/_rels/drawing3.xml.rels>&#65279;<?xml version="1.0" encoding="utf-8"?><Relationships xmlns="http://schemas.openxmlformats.org/package/2006/relationships"><Relationship Type="http://schemas.openxmlformats.org/officeDocument/2006/relationships/chart" Target="/xl/drawings/charts/chart3.xml" Id="R94c2c360d8644ccb" /></Relationships>
</file>

<file path=xl/drawings/_rels/drawing4.xml.rels>&#65279;<?xml version="1.0" encoding="utf-8"?><Relationships xmlns="http://schemas.openxmlformats.org/package/2006/relationships"><Relationship Type="http://schemas.openxmlformats.org/officeDocument/2006/relationships/chart" Target="/xl/drawings/charts/chart4.xml" Id="R69848cfe0da841f1" /></Relationships>
</file>

<file path=xl/drawings/_rels/drawing5.xml.rels>&#65279;<?xml version="1.0" encoding="utf-8"?><Relationships xmlns="http://schemas.openxmlformats.org/package/2006/relationships"><Relationship Type="http://schemas.openxmlformats.org/officeDocument/2006/relationships/chart" Target="/xl/drawings/charts/chart5.xml" Id="R68fb17dde2724b1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Row-Level Calibration Status</a:t>
            </a:r>
          </a:p>
        </c:rich>
      </c:tx>
      <c:overlay val="0"/>
    </c:title>
    <c:autoTitleDeleted val="0"/>
    <c:plotArea>
      <c:layout/>
      <c:barChart>
        <c:barDir val="col"/>
        <c:grouping val="clustered"/>
        <c:varyColors val="0"/>
        <c:ser>
          <c:idx val="0"/>
          <c:order val="0"/>
          <c:tx>
            <c:v>Count</c:v>
          </c:tx>
          <c:cat>
            <c:strRef>
              <c:f>'Calibration_Summary'!$F$14:$F$16</c:f>
              <c:strCache>
                <c:ptCount val="0"/>
              </c:strCache>
            </c:strRef>
          </c:cat>
          <c:val>
            <c:numRef>
              <c:f>'Calibration_Summary'!$G$14:$G$16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Convergence of Joint PTA Differences</a:t>
            </a:r>
          </a:p>
        </c:rich>
      </c:tx>
      <c:overlay val="0"/>
    </c:title>
    <c:autoTitleDeleted val="0"/>
    <c:plotArea>
      <c:layout/>
      <c:lineChart>
        <c:grouping val="standard"/>
        <c:varyColors val="0"/>
        <c:ser>
          <c:idx val="0"/>
          <c:order val="0"/>
          <c:tx>
            <c:v>N per EKFC</c:v>
          </c:tx>
          <c:cat>
            <c:strRef>
              <c:f>'Convergence_Summary'!$A$4:$A$8</c:f>
              <c:strCache>
                <c:ptCount val="0"/>
              </c:strCache>
            </c:strRef>
          </c:cat>
          <c:val>
            <c:numRef>
              <c:f>'Convergence_Summary'!$B$4:$B$8</c:f>
              <c:numCache>
                <c:formatCode>General</c:formatCode>
                <c:ptCount val="0"/>
              </c:numCache>
            </c:numRef>
          </c:val>
          <c:smooth val="0"/>
        </c:ser>
        <c:ser>
          <c:idx val="1"/>
          <c:order val="1"/>
          <c:tx>
            <c:v>Mean |Δ Joint PTA|</c:v>
          </c:tx>
          <c:cat>
            <c:strRef>
              <c:f>'Convergence_Summary'!$A$4:$A$8</c:f>
              <c:strCache>
                <c:ptCount val="0"/>
              </c:strCache>
            </c:strRef>
          </c:cat>
          <c:val>
            <c:numRef>
              <c:f>'Convergence_Summary'!$C$4:$C$8</c:f>
              <c:numCache>
                <c:formatCode>0.000</c:formatCode>
                <c:ptCount val="0"/>
              </c:numCache>
            </c:numRef>
          </c:val>
          <c:smooth val="0"/>
        </c:ser>
        <c:ser>
          <c:idx val="2"/>
          <c:order val="2"/>
          <c:tx>
            <c:v>95th percentile |Δ|</c:v>
          </c:tx>
          <c:cat>
            <c:strRef>
              <c:f>'Convergence_Summary'!$A$4:$A$8</c:f>
              <c:strCache>
                <c:ptCount val="0"/>
              </c:strCache>
            </c:strRef>
          </c:cat>
          <c:val>
            <c:numRef>
              <c:f>'Convergence_Summary'!$D$4:$D$8</c:f>
              <c:numCache>
                <c:formatCode>0.000</c:formatCode>
                <c:ptCount val="0"/>
              </c:numCache>
            </c:numRef>
          </c:val>
          <c:smooth val="0"/>
        </c:ser>
        <c:ser>
          <c:idx val="3"/>
          <c:order val="3"/>
          <c:tx>
            <c:v>Maximum |Δ|</c:v>
          </c:tx>
          <c:cat>
            <c:strRef>
              <c:f>'Convergence_Summary'!$A$4:$A$8</c:f>
              <c:strCache>
                <c:ptCount val="0"/>
              </c:strCache>
            </c:strRef>
          </c:cat>
          <c:val>
            <c:numRef>
              <c:f>'Convergence_Summary'!$E$4:$E$8</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Seed-to-Seed Range by Endpoint</a:t>
            </a:r>
          </a:p>
        </c:rich>
      </c:tx>
      <c:overlay val="0"/>
    </c:title>
    <c:autoTitleDeleted val="0"/>
    <c:plotArea>
      <c:layout/>
      <c:barChart>
        <c:barDir val="col"/>
        <c:grouping val="clustered"/>
        <c:varyColors val="0"/>
        <c:ser>
          <c:idx val="0"/>
          <c:order val="0"/>
          <c:tx>
            <c:v>Regimen</c:v>
          </c:tx>
          <c:cat>
            <c:strRef>
              <c:f>'Multiseed_Summary'!$A$4:$A$23</c:f>
              <c:strCache>
                <c:ptCount val="0"/>
              </c:strCache>
            </c:strRef>
          </c:cat>
          <c:val>
            <c:numRef>
              <c:f>'Multiseed_Summary'!$B$4:$B$23</c:f>
              <c:numCache>
                <c:formatCode>General</c:formatCode>
                <c:ptCount val="0"/>
              </c:numCache>
            </c:numRef>
          </c:val>
        </c:ser>
        <c:ser>
          <c:idx val="1"/>
          <c:order val="1"/>
          <c:tx>
            <c:v>MIC</c:v>
          </c:tx>
          <c:cat>
            <c:strRef>
              <c:f>'Multiseed_Summary'!$A$4:$A$23</c:f>
              <c:strCache>
                <c:ptCount val="0"/>
              </c:strCache>
            </c:strRef>
          </c:cat>
          <c:val>
            <c:numRef>
              <c:f>'Multiseed_Summary'!$C$4:$C$23</c:f>
              <c:numCache>
                <c:formatCode>General</c:formatCode>
                <c:ptCount val="0"/>
              </c:numCache>
            </c:numRef>
          </c:val>
        </c:ser>
        <c:ser>
          <c:idx val="2"/>
          <c:order val="2"/>
          <c:tx>
            <c:v>Metric</c:v>
          </c:tx>
          <c:cat>
            <c:strRef>
              <c:f>'Multiseed_Summary'!$A$4:$A$23</c:f>
              <c:strCache>
                <c:ptCount val="0"/>
              </c:strCache>
            </c:strRef>
          </c:cat>
          <c:val>
            <c:numRef>
              <c:f>'Multiseed_Summary'!$D$4:$D$23</c:f>
              <c:numCache>
                <c:formatCode>General</c:formatCode>
                <c:ptCount val="0"/>
              </c:numCache>
            </c:numRef>
          </c:val>
        </c:ser>
        <c:ser>
          <c:idx val="3"/>
          <c:order val="3"/>
          <c:tx>
            <c:v>Mean</c:v>
          </c:tx>
          <c:cat>
            <c:strRef>
              <c:f>'Multiseed_Summary'!$A$4:$A$23</c:f>
              <c:strCache>
                <c:ptCount val="0"/>
              </c:strCache>
            </c:strRef>
          </c:cat>
          <c:val>
            <c:numRef>
              <c:f>'Multiseed_Summary'!$E$4:$E$23</c:f>
              <c:numCache>
                <c:formatCode>0.000</c:formatCode>
                <c:ptCount val="0"/>
              </c:numCache>
            </c:numRef>
          </c:val>
        </c:ser>
        <c:ser>
          <c:idx val="4"/>
          <c:order val="4"/>
          <c:tx>
            <c:v>SD</c:v>
          </c:tx>
          <c:cat>
            <c:strRef>
              <c:f>'Multiseed_Summary'!$A$4:$A$23</c:f>
              <c:strCache>
                <c:ptCount val="0"/>
              </c:strCache>
            </c:strRef>
          </c:cat>
          <c:val>
            <c:numRef>
              <c:f>'Multiseed_Summary'!$F$4:$F$23</c:f>
              <c:numCache>
                <c:formatCode>0.000</c:formatCode>
                <c:ptCount val="0"/>
              </c:numCache>
            </c:numRef>
          </c:val>
        </c:ser>
        <c:ser>
          <c:idx val="5"/>
          <c:order val="5"/>
          <c:tx>
            <c:v>Min</c:v>
          </c:tx>
          <c:cat>
            <c:strRef>
              <c:f>'Multiseed_Summary'!$A$4:$A$23</c:f>
              <c:strCache>
                <c:ptCount val="0"/>
              </c:strCache>
            </c:strRef>
          </c:cat>
          <c:val>
            <c:numRef>
              <c:f>'Multiseed_Summary'!$G$4:$G$23</c:f>
              <c:numCache>
                <c:formatCode>0.000</c:formatCode>
                <c:ptCount val="0"/>
              </c:numCache>
            </c:numRef>
          </c:val>
        </c:ser>
        <c:ser>
          <c:idx val="6"/>
          <c:order val="6"/>
          <c:tx>
            <c:v>Max</c:v>
          </c:tx>
          <c:cat>
            <c:strRef>
              <c:f>'Multiseed_Summary'!$A$4:$A$23</c:f>
              <c:strCache>
                <c:ptCount val="0"/>
              </c:strCache>
            </c:strRef>
          </c:cat>
          <c:val>
            <c:numRef>
              <c:f>'Multiseed_Summary'!$H$4:$H$23</c:f>
              <c:numCache>
                <c:formatCode>0.000</c:formatCode>
                <c:ptCount val="0"/>
              </c:numCache>
            </c:numRef>
          </c:val>
        </c:ser>
        <c:ser>
          <c:idx val="7"/>
          <c:order val="7"/>
          <c:tx>
            <c:v>Range</c:v>
          </c:tx>
          <c:cat>
            <c:strRef>
              <c:f>'Multiseed_Summary'!$A$4:$A$23</c:f>
              <c:strCache>
                <c:ptCount val="0"/>
              </c:strCache>
            </c:strRef>
          </c:cat>
          <c:val>
            <c:numRef>
              <c:f>'Multiseed_Summary'!$I$4:$I$23</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Sensitivity Drivers: Max |Δ Joint CFR|</a:t>
            </a:r>
          </a:p>
        </c:rich>
      </c:tx>
      <c:overlay val="0"/>
    </c:title>
    <c:autoTitleDeleted val="0"/>
    <c:plotArea>
      <c:layout/>
      <c:barChart>
        <c:barDir val="col"/>
        <c:varyColors val="0"/>
        <c:ser>
          <c:idx val="0"/>
          <c:order val="0"/>
          <c:tx>
            <c:v>Description</c:v>
          </c:tx>
          <c:cat>
            <c:strRef>
              <c:f>'Sensitivity_Ranking'!$B$4:$B$13</c:f>
              <c:strCache>
                <c:ptCount val="0"/>
              </c:strCache>
            </c:strRef>
          </c:cat>
          <c:val>
            <c:numRef>
              <c:f>'Sensitivity_Ranking'!$C$4:$C$13</c:f>
              <c:numCache>
                <c:formatCode>General</c:formatCode>
                <c:ptCount val="0"/>
              </c:numCache>
            </c:numRef>
          </c:val>
        </c:ser>
        <c:ser>
          <c:idx val="1"/>
          <c:order val="1"/>
          <c:tx>
            <c:v>Max |Δ Joint CFR|</c:v>
          </c:tx>
          <c:cat>
            <c:strRef>
              <c:f>'Sensitivity_Ranking'!$B$4:$B$13</c:f>
              <c:strCache>
                <c:ptCount val="0"/>
              </c:strCache>
            </c:strRef>
          </c:cat>
          <c:val>
            <c:numRef>
              <c:f>'Sensitivity_Ranking'!$D$4:$D$13</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00954253ff4682"/>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9a65212e344fc9"/>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c2c360d8644ccb"/>
        </a:graphicData>
      </a:graphic>
    </xdr:graphicFrame>
    <xdr:clientData/>
  </xdr:twoCellAnchor>
</xdr:wsDr>
</file>

<file path=xl/drawings/drawing4.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848cfe0da841f1"/>
        </a:graphicData>
      </a:graphic>
    </xdr:graphicFrame>
    <xdr:clientData/>
  </xdr:twoCellAnchor>
</xdr:wsDr>
</file>

<file path=xl/drawings/drawing5.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fb17dde2724b19"/>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72a63a785214871" /></Relationships>
</file>

<file path=xl/worksheets/_rels/sheet2.xml.rels>&#65279;<?xml version="1.0" encoding="utf-8"?><Relationships xmlns="http://schemas.openxmlformats.org/package/2006/relationships"><Relationship Type="http://schemas.openxmlformats.org/officeDocument/2006/relationships/table" Target="/xl/tables/table1.xml" Id="Rc590e3a887b44f92" /></Relationships>
</file>

<file path=xl/worksheets/_rels/sheet3.xml.rels>&#65279;<?xml version="1.0" encoding="utf-8"?><Relationships xmlns="http://schemas.openxmlformats.org/package/2006/relationships"><Relationship Type="http://schemas.openxmlformats.org/officeDocument/2006/relationships/table" Target="/xl/tables/table2.xml" Id="R91f3ef1addc24583" /></Relationships>
</file>

<file path=xl/worksheets/_rels/sheet4.xml.rels>&#65279;<?xml version="1.0" encoding="utf-8"?><Relationships xmlns="http://schemas.openxmlformats.org/package/2006/relationships"><Relationship Type="http://schemas.openxmlformats.org/officeDocument/2006/relationships/table" Target="/xl/tables/table3.xml" Id="R43c2f9a504e3445b" /></Relationships>
</file>

<file path=xl/worksheets/_rels/sheet7.xml.rels>&#65279;<?xml version="1.0" encoding="utf-8"?><Relationships xmlns="http://schemas.openxmlformats.org/package/2006/relationships"><Relationship Type="http://schemas.openxmlformats.org/officeDocument/2006/relationships/drawing" Target="/xl/drawings/drawing2.xml" Id="Rb52ec770a755402d" /></Relationships>
</file>

<file path=xl/worksheets/_rels/sheet10.xml.rels>&#65279;<?xml version="1.0" encoding="utf-8"?><Relationships xmlns="http://schemas.openxmlformats.org/package/2006/relationships"><Relationship Type="http://schemas.openxmlformats.org/officeDocument/2006/relationships/drawing" Target="/xl/drawings/drawing3.xml" Id="Re8d39e3b52ca42bf" /></Relationships>
</file>

<file path=xl/worksheets/_rels/sheet14.xml.rels>&#65279;<?xml version="1.0" encoding="utf-8"?><Relationships xmlns="http://schemas.openxmlformats.org/package/2006/relationships"><Relationship Type="http://schemas.openxmlformats.org/officeDocument/2006/relationships/drawing" Target="/xl/drawings/drawing4.xml" Id="R4254b86b417b468a" /></Relationships>
</file>

<file path=xl/worksheets/_rels/sheet31.xml.rels>&#65279;<?xml version="1.0" encoding="utf-8"?><Relationships xmlns="http://schemas.openxmlformats.org/package/2006/relationships"><Relationship Type="http://schemas.openxmlformats.org/officeDocument/2006/relationships/drawing" Target="/xl/drawings/drawing5.xml" Id="R1f4f6416f10e4bde"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872a63a785214871"/>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c590e3a887b44f92"/>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1f3ef1addc24583"/>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43c2f9a504e3445b"/>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11" hidden="0" customWidth="1"/>
    <x:col min="4" max="4" width="15" hidden="0" customWidth="1"/>
    <x:col min="5" max="5" width="18" hidden="0" customWidth="1"/>
    <x:col min="6" max="6" width="16" hidden="0" customWidth="1"/>
    <x:col min="7" max="7" width="15" hidden="0" customWidth="1"/>
    <x:col min="8" max="8" width="12" hidden="0" customWidth="1"/>
    <x:col min="9" max="9" width="18" hidden="0" customWidth="1"/>
    <x:col min="10" max="10" width="21" hidden="0" customWidth="1"/>
    <x:col min="11" max="11" width="16" hidden="0" customWidth="1"/>
    <x:col min="12" max="12" width="15" hidden="0" customWidth="1"/>
    <x:col min="13" max="13" width="12" hidden="0" customWidth="1"/>
    <x:col min="14" max="14" width="14" hidden="0" customWidth="1"/>
  </x:cols>
  <x:sheetData>
    <x:row r="1">
      <x:c r="A1" s="96" t="str">
        <x:v>Published vs Simulated Calibration — Row-Level Validation</x:v>
      </x:c>
      <x:c r="B1" s="96"/>
      <x:c r="C1" s="96"/>
      <x:c r="D1" s="96"/>
      <x:c r="E1" s="96"/>
      <x:c r="F1" s="96"/>
      <x:c r="G1" s="96"/>
      <x:c r="H1" s="96"/>
      <x:c r="I1" s="96"/>
      <x:c r="J1" s="96"/>
      <x:c r="K1" s="96"/>
      <x:c r="L1" s="96"/>
      <x:c r="M1" s="96"/>
      <x:c r="N1" s="96"/>
    </x:row>
    <x:row r="2">
      <x:c r="A2" s="101" t="str">
        <x:v>Regimen</x:v>
      </x:c>
      <x:c r="B2" s="101" t="str">
        <x:v>EKFC class</x:v>
      </x:c>
      <x:c r="C2" s="101" t="str">
        <x:v>MIC (mg/L)</x:v>
      </x:c>
      <x:c r="D2" s="101" t="str">
        <x:v>Sim CAZ PTA (%)</x:v>
      </x:c>
      <x:c r="E2" s="101" t="str">
        <x:v>Published CAZ PTA (%)</x:v>
      </x:c>
      <x:c r="F2" s="101" t="str">
        <x:v>CAZ signed diff (pp)</x:v>
      </x:c>
      <x:c r="G2" s="101" t="str">
        <x:v>CAZ abs diff (pp)</x:v>
      </x:c>
      <x:c r="H2" s="101" t="str">
        <x:v>CAZ status</x:v>
      </x:c>
      <x:c r="I2" s="101" t="str">
        <x:v>Sim AVI attainment (%)</x:v>
      </x:c>
      <x:c r="J2" s="101" t="str">
        <x:v>Published AVI attainment (%)</x:v>
      </x:c>
      <x:c r="K2" s="101" t="str">
        <x:v>AVI signed diff (pp)</x:v>
      </x:c>
      <x:c r="L2" s="101" t="str">
        <x:v>AVI abs diff (pp)</x:v>
      </x:c>
      <x:c r="M2" s="101" t="str">
        <x:v>AVI status</x:v>
      </x:c>
      <x:c r="N2" s="101" t="str">
        <x:v>Overall status</x:v>
      </x:c>
    </x:row>
    <x:row r="3">
      <x:c r="A3" s="45" t="str">
        <x:v>R1</x:v>
      </x:c>
      <x:c r="B3" s="45" t="str">
        <x:v>0–30</x:v>
      </x:c>
      <x:c r="C3" s="102" t="n">
        <x:v>0.0625</x:v>
      </x:c>
      <x:c r="D3" s="102" t="n">
        <x:v>100</x:v>
      </x:c>
      <x:c r="E3" s="102" t="n">
        <x:v>100</x:v>
      </x:c>
      <x:c r="F3" s="102" t="n">
        <x:v>0</x:v>
      </x:c>
      <x:c r="G3" s="102" t="n">
        <x:v>0</x:v>
      </x:c>
      <x:c r="H3" s="102" t="str">
        <x:v>PASS</x:v>
      </x:c>
      <x:c r="I3" s="102" t="n">
        <x:v>74.88</x:v>
      </x:c>
      <x:c r="J3" s="102" t="n">
        <x:v>72.7</x:v>
      </x:c>
      <x:c r="K3" s="102" t="n">
        <x:v>2.1799999999999926</x:v>
      </x:c>
      <x:c r="L3" s="102" t="n">
        <x:v>2.1799999999999926</x:v>
      </x:c>
      <x:c r="M3" s="102" t="str">
        <x:v>PASS</x:v>
      </x:c>
      <x:c r="N3" s="45" t="str">
        <x:v>PASS</x:v>
      </x:c>
    </x:row>
    <x:row r="4">
      <x:c r="A4" s="45" t="str">
        <x:v>R1</x:v>
      </x:c>
      <x:c r="B4" s="45" t="str">
        <x:v>0–30</x:v>
      </x:c>
      <x:c r="C4" s="102" t="n">
        <x:v>0.125</x:v>
      </x:c>
      <x:c r="D4" s="102" t="n">
        <x:v>100</x:v>
      </x:c>
      <x:c r="E4" s="102" t="n">
        <x:v>100</x:v>
      </x:c>
      <x:c r="F4" s="102" t="n">
        <x:v>0</x:v>
      </x:c>
      <x:c r="G4" s="102" t="n">
        <x:v>0</x:v>
      </x:c>
      <x:c r="H4" s="102" t="str">
        <x:v>PASS</x:v>
      </x:c>
      <x:c r="I4" s="102" t="n">
        <x:v>74.88</x:v>
      </x:c>
      <x:c r="J4" s="102" t="n">
        <x:v>72.7</x:v>
      </x:c>
      <x:c r="K4" s="102" t="n">
        <x:v>2.1799999999999926</x:v>
      </x:c>
      <x:c r="L4" s="102" t="n">
        <x:v>2.1799999999999926</x:v>
      </x:c>
      <x:c r="M4" s="102" t="str">
        <x:v>PASS</x:v>
      </x:c>
      <x:c r="N4" s="45" t="str">
        <x:v>PASS</x:v>
      </x:c>
    </x:row>
    <x:row r="5">
      <x:c r="A5" s="45" t="str">
        <x:v>R1</x:v>
      </x:c>
      <x:c r="B5" s="45" t="str">
        <x:v>0–30</x:v>
      </x:c>
      <x:c r="C5" s="102" t="n">
        <x:v>0.25</x:v>
      </x:c>
      <x:c r="D5" s="102" t="n">
        <x:v>100</x:v>
      </x:c>
      <x:c r="E5" s="102" t="n">
        <x:v>100</x:v>
      </x:c>
      <x:c r="F5" s="102" t="n">
        <x:v>0</x:v>
      </x:c>
      <x:c r="G5" s="102" t="n">
        <x:v>0</x:v>
      </x:c>
      <x:c r="H5" s="102" t="str">
        <x:v>PASS</x:v>
      </x:c>
      <x:c r="I5" s="102" t="n">
        <x:v>74.88</x:v>
      </x:c>
      <x:c r="J5" s="102" t="n">
        <x:v>72.7</x:v>
      </x:c>
      <x:c r="K5" s="102" t="n">
        <x:v>2.1799999999999926</x:v>
      </x:c>
      <x:c r="L5" s="102" t="n">
        <x:v>2.1799999999999926</x:v>
      </x:c>
      <x:c r="M5" s="102" t="str">
        <x:v>PASS</x:v>
      </x:c>
      <x:c r="N5" s="45" t="str">
        <x:v>PASS</x:v>
      </x:c>
    </x:row>
    <x:row r="6">
      <x:c r="A6" s="45" t="str">
        <x:v>R1</x:v>
      </x:c>
      <x:c r="B6" s="45" t="str">
        <x:v>0–30</x:v>
      </x:c>
      <x:c r="C6" s="102" t="n">
        <x:v>0.5</x:v>
      </x:c>
      <x:c r="D6" s="102" t="n">
        <x:v>99.94</x:v>
      </x:c>
      <x:c r="E6" s="102" t="n">
        <x:v>100</x:v>
      </x:c>
      <x:c r="F6" s="102" t="n">
        <x:v>-0.060000000000002274</x:v>
      </x:c>
      <x:c r="G6" s="102" t="n">
        <x:v>0.060000000000002274</x:v>
      </x:c>
      <x:c r="H6" s="102" t="str">
        <x:v>PASS</x:v>
      </x:c>
      <x:c r="I6" s="102" t="n">
        <x:v>74.88</x:v>
      </x:c>
      <x:c r="J6" s="102" t="n">
        <x:v>72.7</x:v>
      </x:c>
      <x:c r="K6" s="102" t="n">
        <x:v>2.1799999999999926</x:v>
      </x:c>
      <x:c r="L6" s="102" t="n">
        <x:v>2.1799999999999926</x:v>
      </x:c>
      <x:c r="M6" s="102" t="str">
        <x:v>PASS</x:v>
      </x:c>
      <x:c r="N6" s="45" t="str">
        <x:v>PASS</x:v>
      </x:c>
    </x:row>
    <x:row r="7">
      <x:c r="A7" s="45" t="str">
        <x:v>R1</x:v>
      </x:c>
      <x:c r="B7" s="45" t="str">
        <x:v>0–30</x:v>
      </x:c>
      <x:c r="C7" s="102" t="n">
        <x:v>1</x:v>
      </x:c>
      <x:c r="D7" s="102" t="n">
        <x:v>99.13499999999999</x:v>
      </x:c>
      <x:c r="E7" s="102" t="n">
        <x:v>94.8</x:v>
      </x:c>
      <x:c r="F7" s="102" t="n">
        <x:v>4.334999999999994</x:v>
      </x:c>
      <x:c r="G7" s="102" t="n">
        <x:v>4.334999999999994</x:v>
      </x:c>
      <x:c r="H7" s="102" t="str">
        <x:v>PASS</x:v>
      </x:c>
      <x:c r="I7" s="102" t="n">
        <x:v>74.88</x:v>
      </x:c>
      <x:c r="J7" s="102" t="n">
        <x:v>72.7</x:v>
      </x:c>
      <x:c r="K7" s="102" t="n">
        <x:v>2.1799999999999926</x:v>
      </x:c>
      <x:c r="L7" s="102" t="n">
        <x:v>2.1799999999999926</x:v>
      </x:c>
      <x:c r="M7" s="102" t="str">
        <x:v>PASS</x:v>
      </x:c>
      <x:c r="N7" s="45" t="str">
        <x:v>PASS</x:v>
      </x:c>
    </x:row>
    <x:row r="8">
      <x:c r="A8" s="45" t="str">
        <x:v>R1</x:v>
      </x:c>
      <x:c r="B8" s="45" t="str">
        <x:v>0–30</x:v>
      </x:c>
      <x:c r="C8" s="102" t="n">
        <x:v>2</x:v>
      </x:c>
      <x:c r="D8" s="102" t="n">
        <x:v>92.08</x:v>
      </x:c>
      <x:c r="E8" s="102" t="n">
        <x:v>87.8</x:v>
      </x:c>
      <x:c r="F8" s="102" t="n">
        <x:v>4.280000000000001</x:v>
      </x:c>
      <x:c r="G8" s="102" t="n">
        <x:v>4.280000000000001</x:v>
      </x:c>
      <x:c r="H8" s="102" t="str">
        <x:v>PASS</x:v>
      </x:c>
      <x:c r="I8" s="102" t="n">
        <x:v>74.88</x:v>
      </x:c>
      <x:c r="J8" s="102" t="n">
        <x:v>72.7</x:v>
      </x:c>
      <x:c r="K8" s="102" t="n">
        <x:v>2.1799999999999926</x:v>
      </x:c>
      <x:c r="L8" s="102" t="n">
        <x:v>2.1799999999999926</x:v>
      </x:c>
      <x:c r="M8" s="102" t="str">
        <x:v>PASS</x:v>
      </x:c>
      <x:c r="N8" s="45" t="str">
        <x:v>PASS</x:v>
      </x:c>
    </x:row>
    <x:row r="9">
      <x:c r="A9" s="45" t="str">
        <x:v>R1</x:v>
      </x:c>
      <x:c r="B9" s="45" t="str">
        <x:v>0–30</x:v>
      </x:c>
      <x:c r="C9" s="102" t="n">
        <x:v>4</x:v>
      </x:c>
      <x:c r="D9" s="102" t="n">
        <x:v>68.575</x:v>
      </x:c>
      <x:c r="E9" s="102" t="n">
        <x:v>61.4</x:v>
      </x:c>
      <x:c r="F9" s="102" t="n">
        <x:v>7.175000000000004</x:v>
      </x:c>
      <x:c r="G9" s="102" t="n">
        <x:v>7.175000000000004</x:v>
      </x:c>
      <x:c r="H9" s="102" t="str">
        <x:v>REVIEW</x:v>
      </x:c>
      <x:c r="I9" s="102" t="n">
        <x:v>74.88</x:v>
      </x:c>
      <x:c r="J9" s="102" t="n">
        <x:v>72.7</x:v>
      </x:c>
      <x:c r="K9" s="102" t="n">
        <x:v>2.1799999999999926</x:v>
      </x:c>
      <x:c r="L9" s="102" t="n">
        <x:v>2.1799999999999926</x:v>
      </x:c>
      <x:c r="M9" s="102" t="str">
        <x:v>PASS</x:v>
      </x:c>
      <x:c r="N9" s="45" t="str">
        <x:v>REVIEW</x:v>
      </x:c>
    </x:row>
    <x:row r="10">
      <x:c r="A10" s="45" t="str">
        <x:v>R1</x:v>
      </x:c>
      <x:c r="B10" s="45" t="str">
        <x:v>0–30</x:v>
      </x:c>
      <x:c r="C10" s="102" t="n">
        <x:v>8</x:v>
      </x:c>
      <x:c r="D10" s="102" t="n">
        <x:v>35.775</x:v>
      </x:c>
      <x:c r="E10" s="102" t="n">
        <x:v>27.4</x:v>
      </x:c>
      <x:c r="F10" s="102" t="n">
        <x:v>8.375</x:v>
      </x:c>
      <x:c r="G10" s="102" t="n">
        <x:v>8.375</x:v>
      </x:c>
      <x:c r="H10" s="102" t="str">
        <x:v>REVIEW</x:v>
      </x:c>
      <x:c r="I10" s="102" t="n">
        <x:v>74.88</x:v>
      </x:c>
      <x:c r="J10" s="102" t="n">
        <x:v>72.7</x:v>
      </x:c>
      <x:c r="K10" s="102" t="n">
        <x:v>2.1799999999999926</x:v>
      </x:c>
      <x:c r="L10" s="102" t="n">
        <x:v>2.1799999999999926</x:v>
      </x:c>
      <x:c r="M10" s="102" t="str">
        <x:v>PASS</x:v>
      </x:c>
      <x:c r="N10" s="45" t="str">
        <x:v>REVIEW</x:v>
      </x:c>
    </x:row>
    <x:row r="11">
      <x:c r="A11" s="45" t="str">
        <x:v>R2</x:v>
      </x:c>
      <x:c r="B11" s="45" t="str">
        <x:v>0–30</x:v>
      </x:c>
      <x:c r="C11" s="102" t="n">
        <x:v>0.0625</x:v>
      </x:c>
      <x:c r="D11" s="102" t="n">
        <x:v>100</x:v>
      </x:c>
      <x:c r="E11" s="102" t="n">
        <x:v>100</x:v>
      </x:c>
      <x:c r="F11" s="102" t="n">
        <x:v>0</x:v>
      </x:c>
      <x:c r="G11" s="102" t="n">
        <x:v>0</x:v>
      </x:c>
      <x:c r="H11" s="102" t="str">
        <x:v>PASS</x:v>
      </x:c>
      <x:c r="I11" s="102" t="n">
        <x:v>87.38</x:v>
      </x:c>
      <x:c r="J11" s="102" t="n">
        <x:v>85.5</x:v>
      </x:c>
      <x:c r="K11" s="102" t="n">
        <x:v>1.8799999999999955</x:v>
      </x:c>
      <x:c r="L11" s="102" t="n">
        <x:v>1.8799999999999955</x:v>
      </x:c>
      <x:c r="M11" s="102" t="str">
        <x:v>PASS</x:v>
      </x:c>
      <x:c r="N11" s="45" t="str">
        <x:v>PASS</x:v>
      </x:c>
    </x:row>
    <x:row r="12">
      <x:c r="A12" s="45" t="str">
        <x:v>R2</x:v>
      </x:c>
      <x:c r="B12" s="45" t="str">
        <x:v>0–30</x:v>
      </x:c>
      <x:c r="C12" s="102" t="n">
        <x:v>0.125</x:v>
      </x:c>
      <x:c r="D12" s="102" t="n">
        <x:v>100</x:v>
      </x:c>
      <x:c r="E12" s="102" t="n">
        <x:v>100</x:v>
      </x:c>
      <x:c r="F12" s="102" t="n">
        <x:v>0</x:v>
      </x:c>
      <x:c r="G12" s="102" t="n">
        <x:v>0</x:v>
      </x:c>
      <x:c r="H12" s="102" t="str">
        <x:v>PASS</x:v>
      </x:c>
      <x:c r="I12" s="102" t="n">
        <x:v>87.38</x:v>
      </x:c>
      <x:c r="J12" s="102" t="n">
        <x:v>85.5</x:v>
      </x:c>
      <x:c r="K12" s="102" t="n">
        <x:v>1.8799999999999955</x:v>
      </x:c>
      <x:c r="L12" s="102" t="n">
        <x:v>1.8799999999999955</x:v>
      </x:c>
      <x:c r="M12" s="102" t="str">
        <x:v>PASS</x:v>
      </x:c>
      <x:c r="N12" s="45" t="str">
        <x:v>PASS</x:v>
      </x:c>
    </x:row>
    <x:row r="13">
      <x:c r="A13" s="45" t="str">
        <x:v>R2</x:v>
      </x:c>
      <x:c r="B13" s="45" t="str">
        <x:v>0–30</x:v>
      </x:c>
      <x:c r="C13" s="102" t="n">
        <x:v>0.25</x:v>
      </x:c>
      <x:c r="D13" s="102" t="n">
        <x:v>100</x:v>
      </x:c>
      <x:c r="E13" s="102" t="n">
        <x:v>100</x:v>
      </x:c>
      <x:c r="F13" s="102" t="n">
        <x:v>0</x:v>
      </x:c>
      <x:c r="G13" s="102" t="n">
        <x:v>0</x:v>
      </x:c>
      <x:c r="H13" s="102" t="str">
        <x:v>PASS</x:v>
      </x:c>
      <x:c r="I13" s="102" t="n">
        <x:v>87.38</x:v>
      </x:c>
      <x:c r="J13" s="102" t="n">
        <x:v>85.5</x:v>
      </x:c>
      <x:c r="K13" s="102" t="n">
        <x:v>1.8799999999999955</x:v>
      </x:c>
      <x:c r="L13" s="102" t="n">
        <x:v>1.8799999999999955</x:v>
      </x:c>
      <x:c r="M13" s="102" t="str">
        <x:v>PASS</x:v>
      </x:c>
      <x:c r="N13" s="45" t="str">
        <x:v>PASS</x:v>
      </x:c>
    </x:row>
    <x:row r="14">
      <x:c r="A14" s="45" t="str">
        <x:v>R2</x:v>
      </x:c>
      <x:c r="B14" s="45" t="str">
        <x:v>0–30</x:v>
      </x:c>
      <x:c r="C14" s="102" t="n">
        <x:v>0.5</x:v>
      </x:c>
      <x:c r="D14" s="102" t="n">
        <x:v>100</x:v>
      </x:c>
      <x:c r="E14" s="102" t="n">
        <x:v>100</x:v>
      </x:c>
      <x:c r="F14" s="102" t="n">
        <x:v>0</x:v>
      </x:c>
      <x:c r="G14" s="102" t="n">
        <x:v>0</x:v>
      </x:c>
      <x:c r="H14" s="102" t="str">
        <x:v>PASS</x:v>
      </x:c>
      <x:c r="I14" s="102" t="n">
        <x:v>87.38</x:v>
      </x:c>
      <x:c r="J14" s="102" t="n">
        <x:v>85.5</x:v>
      </x:c>
      <x:c r="K14" s="102" t="n">
        <x:v>1.8799999999999955</x:v>
      </x:c>
      <x:c r="L14" s="102" t="n">
        <x:v>1.8799999999999955</x:v>
      </x:c>
      <x:c r="M14" s="102" t="str">
        <x:v>PASS</x:v>
      </x:c>
      <x:c r="N14" s="45" t="str">
        <x:v>PASS</x:v>
      </x:c>
    </x:row>
    <x:row r="15">
      <x:c r="A15" s="45" t="str">
        <x:v>R2</x:v>
      </x:c>
      <x:c r="B15" s="45" t="str">
        <x:v>0–30</x:v>
      </x:c>
      <x:c r="C15" s="102" t="n">
        <x:v>1</x:v>
      </x:c>
      <x:c r="D15" s="102" t="n">
        <x:v>99.88</x:v>
      </x:c>
      <x:c r="E15" s="102" t="n">
        <x:v>100</x:v>
      </x:c>
      <x:c r="F15" s="102" t="n">
        <x:v>-0.12000000000000455</x:v>
      </x:c>
      <x:c r="G15" s="102" t="n">
        <x:v>0.12000000000000455</x:v>
      </x:c>
      <x:c r="H15" s="102" t="str">
        <x:v>PASS</x:v>
      </x:c>
      <x:c r="I15" s="102" t="n">
        <x:v>87.38</x:v>
      </x:c>
      <x:c r="J15" s="102" t="n">
        <x:v>85.5</x:v>
      </x:c>
      <x:c r="K15" s="102" t="n">
        <x:v>1.8799999999999955</x:v>
      </x:c>
      <x:c r="L15" s="102" t="n">
        <x:v>1.8799999999999955</x:v>
      </x:c>
      <x:c r="M15" s="102" t="str">
        <x:v>PASS</x:v>
      </x:c>
      <x:c r="N15" s="45" t="str">
        <x:v>PASS</x:v>
      </x:c>
    </x:row>
    <x:row r="16">
      <x:c r="A16" s="45" t="str">
        <x:v>R2</x:v>
      </x:c>
      <x:c r="B16" s="45" t="str">
        <x:v>0–30</x:v>
      </x:c>
      <x:c r="C16" s="102" t="n">
        <x:v>2</x:v>
      </x:c>
      <x:c r="D16" s="102" t="n">
        <x:v>97.63</x:v>
      </x:c>
      <x:c r="E16" s="102" t="n">
        <x:v>94</x:v>
      </x:c>
      <x:c r="F16" s="102" t="n">
        <x:v>3.6299999999999955</x:v>
      </x:c>
      <x:c r="G16" s="102" t="n">
        <x:v>3.6299999999999955</x:v>
      </x:c>
      <x:c r="H16" s="102" t="str">
        <x:v>PASS</x:v>
      </x:c>
      <x:c r="I16" s="102" t="n">
        <x:v>87.38</x:v>
      </x:c>
      <x:c r="J16" s="102" t="n">
        <x:v>85.5</x:v>
      </x:c>
      <x:c r="K16" s="102" t="n">
        <x:v>1.8799999999999955</x:v>
      </x:c>
      <x:c r="L16" s="102" t="n">
        <x:v>1.8799999999999955</x:v>
      </x:c>
      <x:c r="M16" s="102" t="str">
        <x:v>PASS</x:v>
      </x:c>
      <x:c r="N16" s="45" t="str">
        <x:v>PASS</x:v>
      </x:c>
    </x:row>
    <x:row r="17">
      <x:c r="A17" s="45" t="str">
        <x:v>R2</x:v>
      </x:c>
      <x:c r="B17" s="45" t="str">
        <x:v>0–30</x:v>
      </x:c>
      <x:c r="C17" s="102" t="n">
        <x:v>4</x:v>
      </x:c>
      <x:c r="D17" s="102" t="n">
        <x:v>84.53</x:v>
      </x:c>
      <x:c r="E17" s="102" t="n">
        <x:v>80.2</x:v>
      </x:c>
      <x:c r="F17" s="102" t="n">
        <x:v>4.329999999999998</x:v>
      </x:c>
      <x:c r="G17" s="102" t="n">
        <x:v>4.329999999999998</x:v>
      </x:c>
      <x:c r="H17" s="102" t="str">
        <x:v>PASS</x:v>
      </x:c>
      <x:c r="I17" s="102" t="n">
        <x:v>87.38</x:v>
      </x:c>
      <x:c r="J17" s="102" t="n">
        <x:v>85.5</x:v>
      </x:c>
      <x:c r="K17" s="102" t="n">
        <x:v>1.8799999999999955</x:v>
      </x:c>
      <x:c r="L17" s="102" t="n">
        <x:v>1.8799999999999955</x:v>
      </x:c>
      <x:c r="M17" s="102" t="str">
        <x:v>PASS</x:v>
      </x:c>
      <x:c r="N17" s="45" t="str">
        <x:v>PASS</x:v>
      </x:c>
    </x:row>
    <x:row r="18">
      <x:c r="A18" s="45" t="str">
        <x:v>R2</x:v>
      </x:c>
      <x:c r="B18" s="45" t="str">
        <x:v>0–30</x:v>
      </x:c>
      <x:c r="C18" s="102" t="n">
        <x:v>8</x:v>
      </x:c>
      <x:c r="D18" s="102" t="n">
        <x:v>54.510000000000005</x:v>
      </x:c>
      <x:c r="E18" s="102" t="n">
        <x:v>46.9</x:v>
      </x:c>
      <x:c r="F18" s="102" t="n">
        <x:v>7.6100000000000065</x:v>
      </x:c>
      <x:c r="G18" s="102" t="n">
        <x:v>7.6100000000000065</x:v>
      </x:c>
      <x:c r="H18" s="102" t="str">
        <x:v>REVIEW</x:v>
      </x:c>
      <x:c r="I18" s="102" t="n">
        <x:v>87.38</x:v>
      </x:c>
      <x:c r="J18" s="102" t="n">
        <x:v>85.5</x:v>
      </x:c>
      <x:c r="K18" s="102" t="n">
        <x:v>1.8799999999999955</x:v>
      </x:c>
      <x:c r="L18" s="102" t="n">
        <x:v>1.8799999999999955</x:v>
      </x:c>
      <x:c r="M18" s="102" t="str">
        <x:v>PASS</x:v>
      </x:c>
      <x:c r="N18" s="45" t="str">
        <x:v>REVIEW</x:v>
      </x:c>
    </x:row>
    <x:row r="19">
      <x:c r="A19" s="45" t="str">
        <x:v>R7</x:v>
      </x:c>
      <x:c r="B19" s="45" t="str">
        <x:v>31–60</x:v>
      </x:c>
      <x:c r="C19" s="102" t="n">
        <x:v>0.0625</x:v>
      </x:c>
      <x:c r="D19" s="102" t="n">
        <x:v>100</x:v>
      </x:c>
      <x:c r="E19" s="102" t="n">
        <x:v>100</x:v>
      </x:c>
      <x:c r="F19" s="102" t="n">
        <x:v>0</x:v>
      </x:c>
      <x:c r="G19" s="102" t="n">
        <x:v>0</x:v>
      </x:c>
      <x:c r="H19" s="102" t="str">
        <x:v>PASS</x:v>
      </x:c>
      <x:c r="I19" s="102" t="n">
        <x:v>80.435</x:v>
      </x:c>
      <x:c r="J19" s="102" t="n">
        <x:v>84.1</x:v>
      </x:c>
      <x:c r="K19" s="102" t="n">
        <x:v>-3.664999999999992</x:v>
      </x:c>
      <x:c r="L19" s="102" t="n">
        <x:v>3.664999999999992</x:v>
      </x:c>
      <x:c r="M19" s="102" t="str">
        <x:v>PASS</x:v>
      </x:c>
      <x:c r="N19" s="45" t="str">
        <x:v>PASS</x:v>
      </x:c>
    </x:row>
    <x:row r="20">
      <x:c r="A20" s="45" t="str">
        <x:v>R7</x:v>
      </x:c>
      <x:c r="B20" s="45" t="str">
        <x:v>31–60</x:v>
      </x:c>
      <x:c r="C20" s="102" t="n">
        <x:v>0.125</x:v>
      </x:c>
      <x:c r="D20" s="102" t="n">
        <x:v>100</x:v>
      </x:c>
      <x:c r="E20" s="102" t="n">
        <x:v>100</x:v>
      </x:c>
      <x:c r="F20" s="102" t="n">
        <x:v>0</x:v>
      </x:c>
      <x:c r="G20" s="102" t="n">
        <x:v>0</x:v>
      </x:c>
      <x:c r="H20" s="102" t="str">
        <x:v>PASS</x:v>
      </x:c>
      <x:c r="I20" s="102" t="n">
        <x:v>80.435</x:v>
      </x:c>
      <x:c r="J20" s="102" t="n">
        <x:v>84.1</x:v>
      </x:c>
      <x:c r="K20" s="102" t="n">
        <x:v>-3.664999999999992</x:v>
      </x:c>
      <x:c r="L20" s="102" t="n">
        <x:v>3.664999999999992</x:v>
      </x:c>
      <x:c r="M20" s="102" t="str">
        <x:v>PASS</x:v>
      </x:c>
      <x:c r="N20" s="45" t="str">
        <x:v>PASS</x:v>
      </x:c>
    </x:row>
    <x:row r="21">
      <x:c r="A21" s="45" t="str">
        <x:v>R7</x:v>
      </x:c>
      <x:c r="B21" s="45" t="str">
        <x:v>31–60</x:v>
      </x:c>
      <x:c r="C21" s="102" t="n">
        <x:v>0.25</x:v>
      </x:c>
      <x:c r="D21" s="102" t="n">
        <x:v>100</x:v>
      </x:c>
      <x:c r="E21" s="102" t="n">
        <x:v>100</x:v>
      </x:c>
      <x:c r="F21" s="102" t="n">
        <x:v>0</x:v>
      </x:c>
      <x:c r="G21" s="102" t="n">
        <x:v>0</x:v>
      </x:c>
      <x:c r="H21" s="102" t="str">
        <x:v>PASS</x:v>
      </x:c>
      <x:c r="I21" s="102" t="n">
        <x:v>80.435</x:v>
      </x:c>
      <x:c r="J21" s="102" t="n">
        <x:v>84.1</x:v>
      </x:c>
      <x:c r="K21" s="102" t="n">
        <x:v>-3.664999999999992</x:v>
      </x:c>
      <x:c r="L21" s="102" t="n">
        <x:v>3.664999999999992</x:v>
      </x:c>
      <x:c r="M21" s="102" t="str">
        <x:v>PASS</x:v>
      </x:c>
      <x:c r="N21" s="45" t="str">
        <x:v>PASS</x:v>
      </x:c>
    </x:row>
    <x:row r="22">
      <x:c r="A22" s="45" t="str">
        <x:v>R7</x:v>
      </x:c>
      <x:c r="B22" s="45" t="str">
        <x:v>31–60</x:v>
      </x:c>
      <x:c r="C22" s="102" t="n">
        <x:v>0.5</x:v>
      </x:c>
      <x:c r="D22" s="102" t="n">
        <x:v>100</x:v>
      </x:c>
      <x:c r="E22" s="102" t="n">
        <x:v>100</x:v>
      </x:c>
      <x:c r="F22" s="102" t="n">
        <x:v>0</x:v>
      </x:c>
      <x:c r="G22" s="102" t="n">
        <x:v>0</x:v>
      </x:c>
      <x:c r="H22" s="102" t="str">
        <x:v>PASS</x:v>
      </x:c>
      <x:c r="I22" s="102" t="n">
        <x:v>80.435</x:v>
      </x:c>
      <x:c r="J22" s="102" t="n">
        <x:v>84.1</x:v>
      </x:c>
      <x:c r="K22" s="102" t="n">
        <x:v>-3.664999999999992</x:v>
      </x:c>
      <x:c r="L22" s="102" t="n">
        <x:v>3.664999999999992</x:v>
      </x:c>
      <x:c r="M22" s="102" t="str">
        <x:v>PASS</x:v>
      </x:c>
      <x:c r="N22" s="45" t="str">
        <x:v>PASS</x:v>
      </x:c>
    </x:row>
    <x:row r="23">
      <x:c r="A23" s="45" t="str">
        <x:v>R7</x:v>
      </x:c>
      <x:c r="B23" s="45" t="str">
        <x:v>31–60</x:v>
      </x:c>
      <x:c r="C23" s="102" t="n">
        <x:v>1</x:v>
      </x:c>
      <x:c r="D23" s="102" t="n">
        <x:v>99.935</x:v>
      </x:c>
      <x:c r="E23" s="102" t="n">
        <x:v>99.8</x:v>
      </x:c>
      <x:c r="F23" s="102" t="n">
        <x:v>0.13500000000000512</x:v>
      </x:c>
      <x:c r="G23" s="102" t="n">
        <x:v>0.13500000000000512</x:v>
      </x:c>
      <x:c r="H23" s="102" t="str">
        <x:v>PASS</x:v>
      </x:c>
      <x:c r="I23" s="102" t="n">
        <x:v>80.435</x:v>
      </x:c>
      <x:c r="J23" s="102" t="n">
        <x:v>84.1</x:v>
      </x:c>
      <x:c r="K23" s="102" t="n">
        <x:v>-3.664999999999992</x:v>
      </x:c>
      <x:c r="L23" s="102" t="n">
        <x:v>3.664999999999992</x:v>
      </x:c>
      <x:c r="M23" s="102" t="str">
        <x:v>PASS</x:v>
      </x:c>
      <x:c r="N23" s="45" t="str">
        <x:v>PASS</x:v>
      </x:c>
    </x:row>
    <x:row r="24">
      <x:c r="A24" s="45" t="str">
        <x:v>R7</x:v>
      </x:c>
      <x:c r="B24" s="45" t="str">
        <x:v>31–60</x:v>
      </x:c>
      <x:c r="C24" s="102" t="n">
        <x:v>2</x:v>
      </x:c>
      <x:c r="D24" s="102" t="n">
        <x:v>97.875</x:v>
      </x:c>
      <x:c r="E24" s="102" t="n">
        <x:v>95.4</x:v>
      </x:c>
      <x:c r="F24" s="102" t="n">
        <x:v>2.4749999999999943</x:v>
      </x:c>
      <x:c r="G24" s="102" t="n">
        <x:v>2.4749999999999943</x:v>
      </x:c>
      <x:c r="H24" s="102" t="str">
        <x:v>PASS</x:v>
      </x:c>
      <x:c r="I24" s="102" t="n">
        <x:v>80.435</x:v>
      </x:c>
      <x:c r="J24" s="102" t="n">
        <x:v>84.1</x:v>
      </x:c>
      <x:c r="K24" s="102" t="n">
        <x:v>-3.664999999999992</x:v>
      </x:c>
      <x:c r="L24" s="102" t="n">
        <x:v>3.664999999999992</x:v>
      </x:c>
      <x:c r="M24" s="102" t="str">
        <x:v>PASS</x:v>
      </x:c>
      <x:c r="N24" s="45" t="str">
        <x:v>PASS</x:v>
      </x:c>
    </x:row>
    <x:row r="25">
      <x:c r="A25" s="45" t="str">
        <x:v>R7</x:v>
      </x:c>
      <x:c r="B25" s="45" t="str">
        <x:v>31–60</x:v>
      </x:c>
      <x:c r="C25" s="102" t="n">
        <x:v>4</x:v>
      </x:c>
      <x:c r="D25" s="102" t="n">
        <x:v>82.75</x:v>
      </x:c>
      <x:c r="E25" s="102" t="n">
        <x:v>83.8</x:v>
      </x:c>
      <x:c r="F25" s="102" t="n">
        <x:v>-1.0499999999999972</x:v>
      </x:c>
      <x:c r="G25" s="102" t="n">
        <x:v>1.0499999999999972</x:v>
      </x:c>
      <x:c r="H25" s="102" t="str">
        <x:v>PASS</x:v>
      </x:c>
      <x:c r="I25" s="102" t="n">
        <x:v>80.435</x:v>
      </x:c>
      <x:c r="J25" s="102" t="n">
        <x:v>84.1</x:v>
      </x:c>
      <x:c r="K25" s="102" t="n">
        <x:v>-3.664999999999992</x:v>
      </x:c>
      <x:c r="L25" s="102" t="n">
        <x:v>3.664999999999992</x:v>
      </x:c>
      <x:c r="M25" s="102" t="str">
        <x:v>PASS</x:v>
      </x:c>
      <x:c r="N25" s="45" t="str">
        <x:v>PASS</x:v>
      </x:c>
    </x:row>
    <x:row r="26">
      <x:c r="A26" s="45" t="str">
        <x:v>R7</x:v>
      </x:c>
      <x:c r="B26" s="45" t="str">
        <x:v>31–60</x:v>
      </x:c>
      <x:c r="C26" s="102" t="n">
        <x:v>8</x:v>
      </x:c>
      <x:c r="D26" s="102" t="n">
        <x:v>44.345</x:v>
      </x:c>
      <x:c r="E26" s="102" t="n">
        <x:v>47.3</x:v>
      </x:c>
      <x:c r="F26" s="102" t="n">
        <x:v>-2.9549999999999983</x:v>
      </x:c>
      <x:c r="G26" s="102" t="n">
        <x:v>2.9549999999999983</x:v>
      </x:c>
      <x:c r="H26" s="102" t="str">
        <x:v>PASS</x:v>
      </x:c>
      <x:c r="I26" s="102" t="n">
        <x:v>80.435</x:v>
      </x:c>
      <x:c r="J26" s="102" t="n">
        <x:v>84.1</x:v>
      </x:c>
      <x:c r="K26" s="102" t="n">
        <x:v>-3.664999999999992</x:v>
      </x:c>
      <x:c r="L26" s="102" t="n">
        <x:v>3.664999999999992</x:v>
      </x:c>
      <x:c r="M26" s="102" t="str">
        <x:v>PASS</x:v>
      </x:c>
      <x:c r="N26" s="45" t="str">
        <x:v>PASS</x:v>
      </x:c>
    </x:row>
    <x:row r="27">
      <x:c r="A27" s="45" t="str">
        <x:v>R8</x:v>
      </x:c>
      <x:c r="B27" s="45" t="str">
        <x:v>31–60</x:v>
      </x:c>
      <x:c r="C27" s="102" t="n">
        <x:v>0.0625</x:v>
      </x:c>
      <x:c r="D27" s="102" t="n">
        <x:v>100</x:v>
      </x:c>
      <x:c r="E27" s="102" t="n">
        <x:v>100</x:v>
      </x:c>
      <x:c r="F27" s="102" t="n">
        <x:v>0</x:v>
      </x:c>
      <x:c r="G27" s="102" t="n">
        <x:v>0</x:v>
      </x:c>
      <x:c r="H27" s="102" t="str">
        <x:v>PASS</x:v>
      </x:c>
      <x:c r="I27" s="102" t="n">
        <x:v>89.45</x:v>
      </x:c>
      <x:c r="J27" s="102" t="n">
        <x:v>92.5</x:v>
      </x:c>
      <x:c r="K27" s="102" t="n">
        <x:v>-3.049999999999997</x:v>
      </x:c>
      <x:c r="L27" s="102" t="n">
        <x:v>3.049999999999997</x:v>
      </x:c>
      <x:c r="M27" s="102" t="str">
        <x:v>PASS</x:v>
      </x:c>
      <x:c r="N27" s="45" t="str">
        <x:v>PASS</x:v>
      </x:c>
    </x:row>
    <x:row r="28">
      <x:c r="A28" s="45" t="str">
        <x:v>R8</x:v>
      </x:c>
      <x:c r="B28" s="45" t="str">
        <x:v>31–60</x:v>
      </x:c>
      <x:c r="C28" s="102" t="n">
        <x:v>0.125</x:v>
      </x:c>
      <x:c r="D28" s="102" t="n">
        <x:v>100</x:v>
      </x:c>
      <x:c r="E28" s="102" t="n">
        <x:v>100</x:v>
      </x:c>
      <x:c r="F28" s="102" t="n">
        <x:v>0</x:v>
      </x:c>
      <x:c r="G28" s="102" t="n">
        <x:v>0</x:v>
      </x:c>
      <x:c r="H28" s="102" t="str">
        <x:v>PASS</x:v>
      </x:c>
      <x:c r="I28" s="102" t="n">
        <x:v>89.45</x:v>
      </x:c>
      <x:c r="J28" s="102" t="n">
        <x:v>92.5</x:v>
      </x:c>
      <x:c r="K28" s="102" t="n">
        <x:v>-3.049999999999997</x:v>
      </x:c>
      <x:c r="L28" s="102" t="n">
        <x:v>3.049999999999997</x:v>
      </x:c>
      <x:c r="M28" s="102" t="str">
        <x:v>PASS</x:v>
      </x:c>
      <x:c r="N28" s="45" t="str">
        <x:v>PASS</x:v>
      </x:c>
    </x:row>
    <x:row r="29">
      <x:c r="A29" s="45" t="str">
        <x:v>R8</x:v>
      </x:c>
      <x:c r="B29" s="45" t="str">
        <x:v>31–60</x:v>
      </x:c>
      <x:c r="C29" s="102" t="n">
        <x:v>0.25</x:v>
      </x:c>
      <x:c r="D29" s="102" t="n">
        <x:v>100</x:v>
      </x:c>
      <x:c r="E29" s="102" t="n">
        <x:v>100</x:v>
      </x:c>
      <x:c r="F29" s="102" t="n">
        <x:v>0</x:v>
      </x:c>
      <x:c r="G29" s="102" t="n">
        <x:v>0</x:v>
      </x:c>
      <x:c r="H29" s="102" t="str">
        <x:v>PASS</x:v>
      </x:c>
      <x:c r="I29" s="102" t="n">
        <x:v>89.45</x:v>
      </x:c>
      <x:c r="J29" s="102" t="n">
        <x:v>92.5</x:v>
      </x:c>
      <x:c r="K29" s="102" t="n">
        <x:v>-3.049999999999997</x:v>
      </x:c>
      <x:c r="L29" s="102" t="n">
        <x:v>3.049999999999997</x:v>
      </x:c>
      <x:c r="M29" s="102" t="str">
        <x:v>PASS</x:v>
      </x:c>
      <x:c r="N29" s="45" t="str">
        <x:v>PASS</x:v>
      </x:c>
    </x:row>
    <x:row r="30">
      <x:c r="A30" s="45" t="str">
        <x:v>R8</x:v>
      </x:c>
      <x:c r="B30" s="45" t="str">
        <x:v>31–60</x:v>
      </x:c>
      <x:c r="C30" s="102" t="n">
        <x:v>0.5</x:v>
      </x:c>
      <x:c r="D30" s="102" t="n">
        <x:v>100</x:v>
      </x:c>
      <x:c r="E30" s="102" t="n">
        <x:v>100</x:v>
      </x:c>
      <x:c r="F30" s="102" t="n">
        <x:v>0</x:v>
      </x:c>
      <x:c r="G30" s="102" t="n">
        <x:v>0</x:v>
      </x:c>
      <x:c r="H30" s="102" t="str">
        <x:v>PASS</x:v>
      </x:c>
      <x:c r="I30" s="102" t="n">
        <x:v>89.45</x:v>
      </x:c>
      <x:c r="J30" s="102" t="n">
        <x:v>92.5</x:v>
      </x:c>
      <x:c r="K30" s="102" t="n">
        <x:v>-3.049999999999997</x:v>
      </x:c>
      <x:c r="L30" s="102" t="n">
        <x:v>3.049999999999997</x:v>
      </x:c>
      <x:c r="M30" s="102" t="str">
        <x:v>PASS</x:v>
      </x:c>
      <x:c r="N30" s="45" t="str">
        <x:v>PASS</x:v>
      </x:c>
    </x:row>
    <x:row r="31">
      <x:c r="A31" s="45" t="str">
        <x:v>R8</x:v>
      </x:c>
      <x:c r="B31" s="45" t="str">
        <x:v>31–60</x:v>
      </x:c>
      <x:c r="C31" s="102" t="n">
        <x:v>1</x:v>
      </x:c>
      <x:c r="D31" s="102" t="n">
        <x:v>99.995</x:v>
      </x:c>
      <x:c r="E31" s="102" t="n">
        <x:v>100</x:v>
      </x:c>
      <x:c r="F31" s="102" t="n">
        <x:v>-0.0049999999999954525</x:v>
      </x:c>
      <x:c r="G31" s="102" t="n">
        <x:v>0.0049999999999954525</x:v>
      </x:c>
      <x:c r="H31" s="102" t="str">
        <x:v>PASS</x:v>
      </x:c>
      <x:c r="I31" s="102" t="n">
        <x:v>89.45</x:v>
      </x:c>
      <x:c r="J31" s="102" t="n">
        <x:v>92.5</x:v>
      </x:c>
      <x:c r="K31" s="102" t="n">
        <x:v>-3.049999999999997</x:v>
      </x:c>
      <x:c r="L31" s="102" t="n">
        <x:v>3.049999999999997</x:v>
      </x:c>
      <x:c r="M31" s="102" t="str">
        <x:v>PASS</x:v>
      </x:c>
      <x:c r="N31" s="45" t="str">
        <x:v>PASS</x:v>
      </x:c>
    </x:row>
    <x:row r="32">
      <x:c r="A32" s="45" t="str">
        <x:v>R8</x:v>
      </x:c>
      <x:c r="B32" s="45" t="str">
        <x:v>31–60</x:v>
      </x:c>
      <x:c r="C32" s="102" t="n">
        <x:v>2</x:v>
      </x:c>
      <x:c r="D32" s="102" t="n">
        <x:v>99.39</x:v>
      </x:c>
      <x:c r="E32" s="102" t="n">
        <x:v>96.1</x:v>
      </x:c>
      <x:c r="F32" s="102" t="n">
        <x:v>3.2900000000000063</x:v>
      </x:c>
      <x:c r="G32" s="102" t="n">
        <x:v>3.2900000000000063</x:v>
      </x:c>
      <x:c r="H32" s="102" t="str">
        <x:v>PASS</x:v>
      </x:c>
      <x:c r="I32" s="102" t="n">
        <x:v>89.45</x:v>
      </x:c>
      <x:c r="J32" s="102" t="n">
        <x:v>92.5</x:v>
      </x:c>
      <x:c r="K32" s="102" t="n">
        <x:v>-3.049999999999997</x:v>
      </x:c>
      <x:c r="L32" s="102" t="n">
        <x:v>3.049999999999997</x:v>
      </x:c>
      <x:c r="M32" s="102" t="str">
        <x:v>PASS</x:v>
      </x:c>
      <x:c r="N32" s="45" t="str">
        <x:v>PASS</x:v>
      </x:c>
    </x:row>
    <x:row r="33">
      <x:c r="A33" s="45" t="str">
        <x:v>R8</x:v>
      </x:c>
      <x:c r="B33" s="45" t="str">
        <x:v>31–60</x:v>
      </x:c>
      <x:c r="C33" s="102" t="n">
        <x:v>4</x:v>
      </x:c>
      <x:c r="D33" s="102" t="n">
        <x:v>91.82000000000001</x:v>
      </x:c>
      <x:c r="E33" s="102" t="n">
        <x:v>92.6</x:v>
      </x:c>
      <x:c r="F33" s="102" t="n">
        <x:v>-0.7799999999999869</x:v>
      </x:c>
      <x:c r="G33" s="102" t="n">
        <x:v>0.7799999999999869</x:v>
      </x:c>
      <x:c r="H33" s="102" t="str">
        <x:v>PASS</x:v>
      </x:c>
      <x:c r="I33" s="102" t="n">
        <x:v>89.45</x:v>
      </x:c>
      <x:c r="J33" s="102" t="n">
        <x:v>92.5</x:v>
      </x:c>
      <x:c r="K33" s="102" t="n">
        <x:v>-3.049999999999997</x:v>
      </x:c>
      <x:c r="L33" s="102" t="n">
        <x:v>3.049999999999997</x:v>
      </x:c>
      <x:c r="M33" s="102" t="str">
        <x:v>PASS</x:v>
      </x:c>
      <x:c r="N33" s="45" t="str">
        <x:v>PASS</x:v>
      </x:c>
    </x:row>
    <x:row r="34">
      <x:c r="A34" s="45" t="str">
        <x:v>R8</x:v>
      </x:c>
      <x:c r="B34" s="45" t="str">
        <x:v>31–60</x:v>
      </x:c>
      <x:c r="C34" s="102" t="n">
        <x:v>8</x:v>
      </x:c>
      <x:c r="D34" s="102" t="n">
        <x:v>62.11</x:v>
      </x:c>
      <x:c r="E34" s="102" t="n">
        <x:v>64.9</x:v>
      </x:c>
      <x:c r="F34" s="102" t="n">
        <x:v>-2.7900000000000063</x:v>
      </x:c>
      <x:c r="G34" s="102" t="n">
        <x:v>2.7900000000000063</x:v>
      </x:c>
      <x:c r="H34" s="102" t="str">
        <x:v>PASS</x:v>
      </x:c>
      <x:c r="I34" s="102" t="n">
        <x:v>89.45</x:v>
      </x:c>
      <x:c r="J34" s="102" t="n">
        <x:v>92.5</x:v>
      </x:c>
      <x:c r="K34" s="102" t="n">
        <x:v>-3.049999999999997</x:v>
      </x:c>
      <x:c r="L34" s="102" t="n">
        <x:v>3.049999999999997</x:v>
      </x:c>
      <x:c r="M34" s="102" t="str">
        <x:v>PASS</x:v>
      </x:c>
      <x:c r="N34" s="45" t="str">
        <x:v>PASS</x:v>
      </x:c>
    </x:row>
    <x:row r="35">
      <x:c r="A35" s="45" t="str">
        <x:v>R9</x:v>
      </x:c>
      <x:c r="B35" s="45" t="str">
        <x:v>61–90</x:v>
      </x:c>
      <x:c r="C35" s="102" t="n">
        <x:v>0.0625</x:v>
      </x:c>
      <x:c r="D35" s="102" t="n">
        <x:v>100</x:v>
      </x:c>
      <x:c r="E35" s="102" t="n">
        <x:v>100</x:v>
      </x:c>
      <x:c r="F35" s="102" t="n">
        <x:v>0</x:v>
      </x:c>
      <x:c r="G35" s="102" t="n">
        <x:v>0</x:v>
      </x:c>
      <x:c r="H35" s="102" t="str">
        <x:v>PASS</x:v>
      </x:c>
      <x:c r="I35" s="102" t="n">
        <x:v>73.225</x:v>
      </x:c>
      <x:c r="J35" s="102" t="n">
        <x:v>76.3</x:v>
      </x:c>
      <x:c r="K35" s="102" t="n">
        <x:v>-3.075000000000003</x:v>
      </x:c>
      <x:c r="L35" s="102" t="n">
        <x:v>3.075000000000003</x:v>
      </x:c>
      <x:c r="M35" s="102" t="str">
        <x:v>PASS</x:v>
      </x:c>
      <x:c r="N35" s="45" t="str">
        <x:v>PASS</x:v>
      </x:c>
    </x:row>
    <x:row r="36">
      <x:c r="A36" s="45" t="str">
        <x:v>R9</x:v>
      </x:c>
      <x:c r="B36" s="45" t="str">
        <x:v>61–90</x:v>
      </x:c>
      <x:c r="C36" s="102" t="n">
        <x:v>0.125</x:v>
      </x:c>
      <x:c r="D36" s="102" t="n">
        <x:v>100</x:v>
      </x:c>
      <x:c r="E36" s="102" t="n">
        <x:v>100</x:v>
      </x:c>
      <x:c r="F36" s="102" t="n">
        <x:v>0</x:v>
      </x:c>
      <x:c r="G36" s="102" t="n">
        <x:v>0</x:v>
      </x:c>
      <x:c r="H36" s="102" t="str">
        <x:v>PASS</x:v>
      </x:c>
      <x:c r="I36" s="102" t="n">
        <x:v>73.225</x:v>
      </x:c>
      <x:c r="J36" s="102" t="n">
        <x:v>76.3</x:v>
      </x:c>
      <x:c r="K36" s="102" t="n">
        <x:v>-3.075000000000003</x:v>
      </x:c>
      <x:c r="L36" s="102" t="n">
        <x:v>3.075000000000003</x:v>
      </x:c>
      <x:c r="M36" s="102" t="str">
        <x:v>PASS</x:v>
      </x:c>
      <x:c r="N36" s="45" t="str">
        <x:v>PASS</x:v>
      </x:c>
    </x:row>
    <x:row r="37">
      <x:c r="A37" s="45" t="str">
        <x:v>R9</x:v>
      </x:c>
      <x:c r="B37" s="45" t="str">
        <x:v>61–90</x:v>
      </x:c>
      <x:c r="C37" s="102" t="n">
        <x:v>0.25</x:v>
      </x:c>
      <x:c r="D37" s="102" t="n">
        <x:v>100</x:v>
      </x:c>
      <x:c r="E37" s="102" t="n">
        <x:v>100</x:v>
      </x:c>
      <x:c r="F37" s="102" t="n">
        <x:v>0</x:v>
      </x:c>
      <x:c r="G37" s="102" t="n">
        <x:v>0</x:v>
      </x:c>
      <x:c r="H37" s="102" t="str">
        <x:v>PASS</x:v>
      </x:c>
      <x:c r="I37" s="102" t="n">
        <x:v>73.225</x:v>
      </x:c>
      <x:c r="J37" s="102" t="n">
        <x:v>76.3</x:v>
      </x:c>
      <x:c r="K37" s="102" t="n">
        <x:v>-3.075000000000003</x:v>
      </x:c>
      <x:c r="L37" s="102" t="n">
        <x:v>3.075000000000003</x:v>
      </x:c>
      <x:c r="M37" s="102" t="str">
        <x:v>PASS</x:v>
      </x:c>
      <x:c r="N37" s="45" t="str">
        <x:v>PASS</x:v>
      </x:c>
    </x:row>
    <x:row r="38">
      <x:c r="A38" s="45" t="str">
        <x:v>R9</x:v>
      </x:c>
      <x:c r="B38" s="45" t="str">
        <x:v>61–90</x:v>
      </x:c>
      <x:c r="C38" s="102" t="n">
        <x:v>0.5</x:v>
      </x:c>
      <x:c r="D38" s="102" t="n">
        <x:v>99.995</x:v>
      </x:c>
      <x:c r="E38" s="102" t="n">
        <x:v>100</x:v>
      </x:c>
      <x:c r="F38" s="102" t="n">
        <x:v>-0.0049999999999954525</x:v>
      </x:c>
      <x:c r="G38" s="102" t="n">
        <x:v>0.0049999999999954525</x:v>
      </x:c>
      <x:c r="H38" s="102" t="str">
        <x:v>PASS</x:v>
      </x:c>
      <x:c r="I38" s="102" t="n">
        <x:v>73.225</x:v>
      </x:c>
      <x:c r="J38" s="102" t="n">
        <x:v>76.3</x:v>
      </x:c>
      <x:c r="K38" s="102" t="n">
        <x:v>-3.075000000000003</x:v>
      </x:c>
      <x:c r="L38" s="102" t="n">
        <x:v>3.075000000000003</x:v>
      </x:c>
      <x:c r="M38" s="102" t="str">
        <x:v>PASS</x:v>
      </x:c>
      <x:c r="N38" s="45" t="str">
        <x:v>PASS</x:v>
      </x:c>
    </x:row>
    <x:row r="39">
      <x:c r="A39" s="45" t="str">
        <x:v>R9</x:v>
      </x:c>
      <x:c r="B39" s="45" t="str">
        <x:v>61–90</x:v>
      </x:c>
      <x:c r="C39" s="102" t="n">
        <x:v>1</x:v>
      </x:c>
      <x:c r="D39" s="102" t="n">
        <x:v>99.91499999999999</x:v>
      </x:c>
      <x:c r="E39" s="102" t="n">
        <x:v>100</x:v>
      </x:c>
      <x:c r="F39" s="102" t="n">
        <x:v>-0.08500000000000796</x:v>
      </x:c>
      <x:c r="G39" s="102" t="n">
        <x:v>0.08500000000000796</x:v>
      </x:c>
      <x:c r="H39" s="102" t="str">
        <x:v>PASS</x:v>
      </x:c>
      <x:c r="I39" s="102" t="n">
        <x:v>73.225</x:v>
      </x:c>
      <x:c r="J39" s="102" t="n">
        <x:v>76.3</x:v>
      </x:c>
      <x:c r="K39" s="102" t="n">
        <x:v>-3.075000000000003</x:v>
      </x:c>
      <x:c r="L39" s="102" t="n">
        <x:v>3.075000000000003</x:v>
      </x:c>
      <x:c r="M39" s="102" t="str">
        <x:v>PASS</x:v>
      </x:c>
      <x:c r="N39" s="45" t="str">
        <x:v>PASS</x:v>
      </x:c>
    </x:row>
    <x:row r="40">
      <x:c r="A40" s="45" t="str">
        <x:v>R9</x:v>
      </x:c>
      <x:c r="B40" s="45" t="str">
        <x:v>61–90</x:v>
      </x:c>
      <x:c r="C40" s="102" t="n">
        <x:v>2</x:v>
      </x:c>
      <x:c r="D40" s="102" t="n">
        <x:v>97.315</x:v>
      </x:c>
      <x:c r="E40" s="102" t="n">
        <x:v>95.5</x:v>
      </x:c>
      <x:c r="F40" s="102" t="n">
        <x:v>1.8149999999999977</x:v>
      </x:c>
      <x:c r="G40" s="102" t="n">
        <x:v>1.8149999999999977</x:v>
      </x:c>
      <x:c r="H40" s="102" t="str">
        <x:v>PASS</x:v>
      </x:c>
      <x:c r="I40" s="102" t="n">
        <x:v>73.225</x:v>
      </x:c>
      <x:c r="J40" s="102" t="n">
        <x:v>76.3</x:v>
      </x:c>
      <x:c r="K40" s="102" t="n">
        <x:v>-3.075000000000003</x:v>
      </x:c>
      <x:c r="L40" s="102" t="n">
        <x:v>3.075000000000003</x:v>
      </x:c>
      <x:c r="M40" s="102" t="str">
        <x:v>PASS</x:v>
      </x:c>
      <x:c r="N40" s="45" t="str">
        <x:v>PASS</x:v>
      </x:c>
    </x:row>
    <x:row r="41">
      <x:c r="A41" s="45" t="str">
        <x:v>R9</x:v>
      </x:c>
      <x:c r="B41" s="45" t="str">
        <x:v>61–90</x:v>
      </x:c>
      <x:c r="C41" s="102" t="n">
        <x:v>4</x:v>
      </x:c>
      <x:c r="D41" s="102" t="n">
        <x:v>79.83</x:v>
      </x:c>
      <x:c r="E41" s="102" t="n">
        <x:v>78</x:v>
      </x:c>
      <x:c r="F41" s="102" t="n">
        <x:v>1.8299999999999983</x:v>
      </x:c>
      <x:c r="G41" s="102" t="n">
        <x:v>1.8299999999999983</x:v>
      </x:c>
      <x:c r="H41" s="102" t="str">
        <x:v>PASS</x:v>
      </x:c>
      <x:c r="I41" s="102" t="n">
        <x:v>73.225</x:v>
      </x:c>
      <x:c r="J41" s="102" t="n">
        <x:v>76.3</x:v>
      </x:c>
      <x:c r="K41" s="102" t="n">
        <x:v>-3.075000000000003</x:v>
      </x:c>
      <x:c r="L41" s="102" t="n">
        <x:v>3.075000000000003</x:v>
      </x:c>
      <x:c r="M41" s="102" t="str">
        <x:v>PASS</x:v>
      </x:c>
      <x:c r="N41" s="45" t="str">
        <x:v>PASS</x:v>
      </x:c>
    </x:row>
    <x:row r="42">
      <x:c r="A42" s="45" t="str">
        <x:v>R9</x:v>
      </x:c>
      <x:c r="B42" s="45" t="str">
        <x:v>61–90</x:v>
      </x:c>
      <x:c r="C42" s="102" t="n">
        <x:v>8</x:v>
      </x:c>
      <x:c r="D42" s="102" t="n">
        <x:v>40.085</x:v>
      </x:c>
      <x:c r="E42" s="102" t="n">
        <x:v>37.7</x:v>
      </x:c>
      <x:c r="F42" s="102" t="n">
        <x:v>2.384999999999998</x:v>
      </x:c>
      <x:c r="G42" s="102" t="n">
        <x:v>2.384999999999998</x:v>
      </x:c>
      <x:c r="H42" s="102" t="str">
        <x:v>PASS</x:v>
      </x:c>
      <x:c r="I42" s="102" t="n">
        <x:v>73.225</x:v>
      </x:c>
      <x:c r="J42" s="102" t="n">
        <x:v>76.3</x:v>
      </x:c>
      <x:c r="K42" s="102" t="n">
        <x:v>-3.075000000000003</x:v>
      </x:c>
      <x:c r="L42" s="102" t="n">
        <x:v>3.075000000000003</x:v>
      </x:c>
      <x:c r="M42" s="102" t="str">
        <x:v>PASS</x:v>
      </x:c>
      <x:c r="N42" s="45" t="str">
        <x:v>PASS</x:v>
      </x:c>
    </x:row>
    <x:row r="43">
      <x:c r="A43" s="45" t="str">
        <x:v>R10</x:v>
      </x:c>
      <x:c r="B43" s="45" t="str">
        <x:v>61–90</x:v>
      </x:c>
      <x:c r="C43" s="102" t="n">
        <x:v>0.0625</x:v>
      </x:c>
      <x:c r="D43" s="102" t="n">
        <x:v>100</x:v>
      </x:c>
      <x:c r="E43" s="102" t="n">
        <x:v>100</x:v>
      </x:c>
      <x:c r="F43" s="102" t="n">
        <x:v>0</x:v>
      </x:c>
      <x:c r="G43" s="102" t="n">
        <x:v>0</x:v>
      </x:c>
      <x:c r="H43" s="102" t="str">
        <x:v>PASS</x:v>
      </x:c>
      <x:c r="I43" s="102" t="n">
        <x:v>88.405</x:v>
      </x:c>
      <x:c r="J43" s="102" t="n">
        <x:v>90.1</x:v>
      </x:c>
      <x:c r="K43" s="102" t="n">
        <x:v>-1.6949999999999932</x:v>
      </x:c>
      <x:c r="L43" s="102" t="n">
        <x:v>1.6949999999999932</x:v>
      </x:c>
      <x:c r="M43" s="102" t="str">
        <x:v>PASS</x:v>
      </x:c>
      <x:c r="N43" s="45" t="str">
        <x:v>PASS</x:v>
      </x:c>
    </x:row>
    <x:row r="44">
      <x:c r="A44" s="45" t="str">
        <x:v>R10</x:v>
      </x:c>
      <x:c r="B44" s="45" t="str">
        <x:v>61–90</x:v>
      </x:c>
      <x:c r="C44" s="102" t="n">
        <x:v>0.125</x:v>
      </x:c>
      <x:c r="D44" s="102" t="n">
        <x:v>100</x:v>
      </x:c>
      <x:c r="E44" s="102" t="n">
        <x:v>100</x:v>
      </x:c>
      <x:c r="F44" s="102" t="n">
        <x:v>0</x:v>
      </x:c>
      <x:c r="G44" s="102" t="n">
        <x:v>0</x:v>
      </x:c>
      <x:c r="H44" s="102" t="str">
        <x:v>PASS</x:v>
      </x:c>
      <x:c r="I44" s="102" t="n">
        <x:v>88.405</x:v>
      </x:c>
      <x:c r="J44" s="102" t="n">
        <x:v>90.1</x:v>
      </x:c>
      <x:c r="K44" s="102" t="n">
        <x:v>-1.6949999999999932</x:v>
      </x:c>
      <x:c r="L44" s="102" t="n">
        <x:v>1.6949999999999932</x:v>
      </x:c>
      <x:c r="M44" s="102" t="str">
        <x:v>PASS</x:v>
      </x:c>
      <x:c r="N44" s="45" t="str">
        <x:v>PASS</x:v>
      </x:c>
    </x:row>
    <x:row r="45">
      <x:c r="A45" s="45" t="str">
        <x:v>R10</x:v>
      </x:c>
      <x:c r="B45" s="45" t="str">
        <x:v>61–90</x:v>
      </x:c>
      <x:c r="C45" s="102" t="n">
        <x:v>0.25</x:v>
      </x:c>
      <x:c r="D45" s="102" t="n">
        <x:v>100</x:v>
      </x:c>
      <x:c r="E45" s="102" t="n">
        <x:v>100</x:v>
      </x:c>
      <x:c r="F45" s="102" t="n">
        <x:v>0</x:v>
      </x:c>
      <x:c r="G45" s="102" t="n">
        <x:v>0</x:v>
      </x:c>
      <x:c r="H45" s="102" t="str">
        <x:v>PASS</x:v>
      </x:c>
      <x:c r="I45" s="102" t="n">
        <x:v>88.405</x:v>
      </x:c>
      <x:c r="J45" s="102" t="n">
        <x:v>90.1</x:v>
      </x:c>
      <x:c r="K45" s="102" t="n">
        <x:v>-1.6949999999999932</x:v>
      </x:c>
      <x:c r="L45" s="102" t="n">
        <x:v>1.6949999999999932</x:v>
      </x:c>
      <x:c r="M45" s="102" t="str">
        <x:v>PASS</x:v>
      </x:c>
      <x:c r="N45" s="45" t="str">
        <x:v>PASS</x:v>
      </x:c>
    </x:row>
    <x:row r="46">
      <x:c r="A46" s="45" t="str">
        <x:v>R10</x:v>
      </x:c>
      <x:c r="B46" s="45" t="str">
        <x:v>61–90</x:v>
      </x:c>
      <x:c r="C46" s="102" t="n">
        <x:v>0.5</x:v>
      </x:c>
      <x:c r="D46" s="102" t="n">
        <x:v>100</x:v>
      </x:c>
      <x:c r="E46" s="102" t="n">
        <x:v>100</x:v>
      </x:c>
      <x:c r="F46" s="102" t="n">
        <x:v>0</x:v>
      </x:c>
      <x:c r="G46" s="102" t="n">
        <x:v>0</x:v>
      </x:c>
      <x:c r="H46" s="102" t="str">
        <x:v>PASS</x:v>
      </x:c>
      <x:c r="I46" s="102" t="n">
        <x:v>88.405</x:v>
      </x:c>
      <x:c r="J46" s="102" t="n">
        <x:v>90.1</x:v>
      </x:c>
      <x:c r="K46" s="102" t="n">
        <x:v>-1.6949999999999932</x:v>
      </x:c>
      <x:c r="L46" s="102" t="n">
        <x:v>1.6949999999999932</x:v>
      </x:c>
      <x:c r="M46" s="102" t="str">
        <x:v>PASS</x:v>
      </x:c>
      <x:c r="N46" s="45" t="str">
        <x:v>PASS</x:v>
      </x:c>
    </x:row>
    <x:row r="47">
      <x:c r="A47" s="45" t="str">
        <x:v>R10</x:v>
      </x:c>
      <x:c r="B47" s="45" t="str">
        <x:v>61–90</x:v>
      </x:c>
      <x:c r="C47" s="102" t="n">
        <x:v>1</x:v>
      </x:c>
      <x:c r="D47" s="102" t="n">
        <x:v>99.995</x:v>
      </x:c>
      <x:c r="E47" s="102" t="n">
        <x:v>100</x:v>
      </x:c>
      <x:c r="F47" s="102" t="n">
        <x:v>-0.0049999999999954525</x:v>
      </x:c>
      <x:c r="G47" s="102" t="n">
        <x:v>0.0049999999999954525</x:v>
      </x:c>
      <x:c r="H47" s="102" t="str">
        <x:v>PASS</x:v>
      </x:c>
      <x:c r="I47" s="102" t="n">
        <x:v>88.405</x:v>
      </x:c>
      <x:c r="J47" s="102" t="n">
        <x:v>90.1</x:v>
      </x:c>
      <x:c r="K47" s="102" t="n">
        <x:v>-1.6949999999999932</x:v>
      </x:c>
      <x:c r="L47" s="102" t="n">
        <x:v>1.6949999999999932</x:v>
      </x:c>
      <x:c r="M47" s="102" t="str">
        <x:v>PASS</x:v>
      </x:c>
      <x:c r="N47" s="45" t="str">
        <x:v>PASS</x:v>
      </x:c>
    </x:row>
    <x:row r="48">
      <x:c r="A48" s="45" t="str">
        <x:v>R10</x:v>
      </x:c>
      <x:c r="B48" s="45" t="str">
        <x:v>61–90</x:v>
      </x:c>
      <x:c r="C48" s="102" t="n">
        <x:v>2</x:v>
      </x:c>
      <x:c r="D48" s="102" t="n">
        <x:v>99.555</x:v>
      </x:c>
      <x:c r="E48" s="102" t="n">
        <x:v>99.6</x:v>
      </x:c>
      <x:c r="F48" s="102" t="n">
        <x:v>-0.044999999999987494</x:v>
      </x:c>
      <x:c r="G48" s="102" t="n">
        <x:v>0.044999999999987494</x:v>
      </x:c>
      <x:c r="H48" s="102" t="str">
        <x:v>PASS</x:v>
      </x:c>
      <x:c r="I48" s="102" t="n">
        <x:v>88.405</x:v>
      </x:c>
      <x:c r="J48" s="102" t="n">
        <x:v>90.1</x:v>
      </x:c>
      <x:c r="K48" s="102" t="n">
        <x:v>-1.6949999999999932</x:v>
      </x:c>
      <x:c r="L48" s="102" t="n">
        <x:v>1.6949999999999932</x:v>
      </x:c>
      <x:c r="M48" s="102" t="str">
        <x:v>PASS</x:v>
      </x:c>
      <x:c r="N48" s="45" t="str">
        <x:v>PASS</x:v>
      </x:c>
    </x:row>
    <x:row r="49">
      <x:c r="A49" s="45" t="str">
        <x:v>R10</x:v>
      </x:c>
      <x:c r="B49" s="45" t="str">
        <x:v>61–90</x:v>
      </x:c>
      <x:c r="C49" s="102" t="n">
        <x:v>4</x:v>
      </x:c>
      <x:c r="D49" s="102" t="n">
        <x:v>93.105</x:v>
      </x:c>
      <x:c r="E49" s="102" t="n">
        <x:v>91.2</x:v>
      </x:c>
      <x:c r="F49" s="102" t="n">
        <x:v>1.9050000000000011</x:v>
      </x:c>
      <x:c r="G49" s="102" t="n">
        <x:v>1.9050000000000011</x:v>
      </x:c>
      <x:c r="H49" s="102" t="str">
        <x:v>PASS</x:v>
      </x:c>
      <x:c r="I49" s="102" t="n">
        <x:v>88.405</x:v>
      </x:c>
      <x:c r="J49" s="102" t="n">
        <x:v>90.1</x:v>
      </x:c>
      <x:c r="K49" s="102" t="n">
        <x:v>-1.6949999999999932</x:v>
      </x:c>
      <x:c r="L49" s="102" t="n">
        <x:v>1.6949999999999932</x:v>
      </x:c>
      <x:c r="M49" s="102" t="str">
        <x:v>PASS</x:v>
      </x:c>
      <x:c r="N49" s="45" t="str">
        <x:v>PASS</x:v>
      </x:c>
    </x:row>
    <x:row r="50">
      <x:c r="A50" s="45" t="str">
        <x:v>R10</x:v>
      </x:c>
      <x:c r="B50" s="45" t="str">
        <x:v>61–90</x:v>
      </x:c>
      <x:c r="C50" s="102" t="n">
        <x:v>8</x:v>
      </x:c>
      <x:c r="D50" s="102" t="n">
        <x:v>64.945</x:v>
      </x:c>
      <x:c r="E50" s="102" t="n">
        <x:v>62.5</x:v>
      </x:c>
      <x:c r="F50" s="102" t="n">
        <x:v>2.444999999999993</x:v>
      </x:c>
      <x:c r="G50" s="102" t="n">
        <x:v>2.444999999999993</x:v>
      </x:c>
      <x:c r="H50" s="102" t="str">
        <x:v>PASS</x:v>
      </x:c>
      <x:c r="I50" s="102" t="n">
        <x:v>88.405</x:v>
      </x:c>
      <x:c r="J50" s="102" t="n">
        <x:v>90.1</x:v>
      </x:c>
      <x:c r="K50" s="102" t="n">
        <x:v>-1.6949999999999932</x:v>
      </x:c>
      <x:c r="L50" s="102" t="n">
        <x:v>1.6949999999999932</x:v>
      </x:c>
      <x:c r="M50" s="102" t="str">
        <x:v>PASS</x:v>
      </x:c>
      <x:c r="N50" s="45" t="str">
        <x:v>PASS</x:v>
      </x:c>
    </x:row>
    <x:row r="51">
      <x:c r="A51" s="45" t="str">
        <x:v>R11</x:v>
      </x:c>
      <x:c r="B51" s="45" t="str">
        <x:v>91–120</x:v>
      </x:c>
      <x:c r="C51" s="102" t="n">
        <x:v>0.0625</x:v>
      </x:c>
      <x:c r="D51" s="102" t="n">
        <x:v>100</x:v>
      </x:c>
      <x:c r="E51" s="102" t="n">
        <x:v>100</x:v>
      </x:c>
      <x:c r="F51" s="102" t="n">
        <x:v>0</x:v>
      </x:c>
      <x:c r="G51" s="102" t="n">
        <x:v>0</x:v>
      </x:c>
      <x:c r="H51" s="102" t="str">
        <x:v>PASS</x:v>
      </x:c>
      <x:c r="I51" s="102" t="n">
        <x:v>78.18</x:v>
      </x:c>
      <x:c r="J51" s="102" t="n">
        <x:v>82</x:v>
      </x:c>
      <x:c r="K51" s="102" t="n">
        <x:v>-3.819999999999993</x:v>
      </x:c>
      <x:c r="L51" s="102" t="n">
        <x:v>3.819999999999993</x:v>
      </x:c>
      <x:c r="M51" s="102" t="str">
        <x:v>PASS</x:v>
      </x:c>
      <x:c r="N51" s="45" t="str">
        <x:v>PASS</x:v>
      </x:c>
    </x:row>
    <x:row r="52">
      <x:c r="A52" s="45" t="str">
        <x:v>R11</x:v>
      </x:c>
      <x:c r="B52" s="45" t="str">
        <x:v>91–120</x:v>
      </x:c>
      <x:c r="C52" s="102" t="n">
        <x:v>0.125</x:v>
      </x:c>
      <x:c r="D52" s="102" t="n">
        <x:v>100</x:v>
      </x:c>
      <x:c r="E52" s="102" t="n">
        <x:v>100</x:v>
      </x:c>
      <x:c r="F52" s="102" t="n">
        <x:v>0</x:v>
      </x:c>
      <x:c r="G52" s="102" t="n">
        <x:v>0</x:v>
      </x:c>
      <x:c r="H52" s="102" t="str">
        <x:v>PASS</x:v>
      </x:c>
      <x:c r="I52" s="102" t="n">
        <x:v>78.18</x:v>
      </x:c>
      <x:c r="J52" s="102" t="n">
        <x:v>82</x:v>
      </x:c>
      <x:c r="K52" s="102" t="n">
        <x:v>-3.819999999999993</x:v>
      </x:c>
      <x:c r="L52" s="102" t="n">
        <x:v>3.819999999999993</x:v>
      </x:c>
      <x:c r="M52" s="102" t="str">
        <x:v>PASS</x:v>
      </x:c>
      <x:c r="N52" s="45" t="str">
        <x:v>PASS</x:v>
      </x:c>
    </x:row>
    <x:row r="53">
      <x:c r="A53" s="45" t="str">
        <x:v>R11</x:v>
      </x:c>
      <x:c r="B53" s="45" t="str">
        <x:v>91–120</x:v>
      </x:c>
      <x:c r="C53" s="102" t="n">
        <x:v>0.25</x:v>
      </x:c>
      <x:c r="D53" s="102" t="n">
        <x:v>100</x:v>
      </x:c>
      <x:c r="E53" s="102" t="n">
        <x:v>100</x:v>
      </x:c>
      <x:c r="F53" s="102" t="n">
        <x:v>0</x:v>
      </x:c>
      <x:c r="G53" s="102" t="n">
        <x:v>0</x:v>
      </x:c>
      <x:c r="H53" s="102" t="str">
        <x:v>PASS</x:v>
      </x:c>
      <x:c r="I53" s="102" t="n">
        <x:v>78.18</x:v>
      </x:c>
      <x:c r="J53" s="102" t="n">
        <x:v>82</x:v>
      </x:c>
      <x:c r="K53" s="102" t="n">
        <x:v>-3.819999999999993</x:v>
      </x:c>
      <x:c r="L53" s="102" t="n">
        <x:v>3.819999999999993</x:v>
      </x:c>
      <x:c r="M53" s="102" t="str">
        <x:v>PASS</x:v>
      </x:c>
      <x:c r="N53" s="45" t="str">
        <x:v>PASS</x:v>
      </x:c>
    </x:row>
    <x:row r="54">
      <x:c r="A54" s="45" t="str">
        <x:v>R11</x:v>
      </x:c>
      <x:c r="B54" s="45" t="str">
        <x:v>91–120</x:v>
      </x:c>
      <x:c r="C54" s="102" t="n">
        <x:v>0.5</x:v>
      </x:c>
      <x:c r="D54" s="102" t="n">
        <x:v>99.995</x:v>
      </x:c>
      <x:c r="E54" s="102" t="n">
        <x:v>100</x:v>
      </x:c>
      <x:c r="F54" s="102" t="n">
        <x:v>-0.0049999999999954525</x:v>
      </x:c>
      <x:c r="G54" s="102" t="n">
        <x:v>0.0049999999999954525</x:v>
      </x:c>
      <x:c r="H54" s="102" t="str">
        <x:v>PASS</x:v>
      </x:c>
      <x:c r="I54" s="102" t="n">
        <x:v>78.18</x:v>
      </x:c>
      <x:c r="J54" s="102" t="n">
        <x:v>82</x:v>
      </x:c>
      <x:c r="K54" s="102" t="n">
        <x:v>-3.819999999999993</x:v>
      </x:c>
      <x:c r="L54" s="102" t="n">
        <x:v>3.819999999999993</x:v>
      </x:c>
      <x:c r="M54" s="102" t="str">
        <x:v>PASS</x:v>
      </x:c>
      <x:c r="N54" s="45" t="str">
        <x:v>PASS</x:v>
      </x:c>
    </x:row>
    <x:row r="55">
      <x:c r="A55" s="45" t="str">
        <x:v>R11</x:v>
      </x:c>
      <x:c r="B55" s="45" t="str">
        <x:v>91–120</x:v>
      </x:c>
      <x:c r="C55" s="102" t="n">
        <x:v>1</x:v>
      </x:c>
      <x:c r="D55" s="102" t="n">
        <x:v>99.95</x:v>
      </x:c>
      <x:c r="E55" s="102" t="n">
        <x:v>100</x:v>
      </x:c>
      <x:c r="F55" s="102" t="n">
        <x:v>-0.04999999999999716</x:v>
      </x:c>
      <x:c r="G55" s="102" t="n">
        <x:v>0.04999999999999716</x:v>
      </x:c>
      <x:c r="H55" s="102" t="str">
        <x:v>PASS</x:v>
      </x:c>
      <x:c r="I55" s="102" t="n">
        <x:v>78.18</x:v>
      </x:c>
      <x:c r="J55" s="102" t="n">
        <x:v>82</x:v>
      </x:c>
      <x:c r="K55" s="102" t="n">
        <x:v>-3.819999999999993</x:v>
      </x:c>
      <x:c r="L55" s="102" t="n">
        <x:v>3.819999999999993</x:v>
      </x:c>
      <x:c r="M55" s="102" t="str">
        <x:v>PASS</x:v>
      </x:c>
      <x:c r="N55" s="45" t="str">
        <x:v>PASS</x:v>
      </x:c>
    </x:row>
    <x:row r="56">
      <x:c r="A56" s="45" t="str">
        <x:v>R11</x:v>
      </x:c>
      <x:c r="B56" s="45" t="str">
        <x:v>91–120</x:v>
      </x:c>
      <x:c r="C56" s="102" t="n">
        <x:v>2</x:v>
      </x:c>
      <x:c r="D56" s="102" t="n">
        <x:v>98.77</x:v>
      </x:c>
      <x:c r="E56" s="102" t="n">
        <x:v>98.4</x:v>
      </x:c>
      <x:c r="F56" s="102" t="n">
        <x:v>0.36999999999999034</x:v>
      </x:c>
      <x:c r="G56" s="102" t="n">
        <x:v>0.36999999999999034</x:v>
      </x:c>
      <x:c r="H56" s="102" t="str">
        <x:v>PASS</x:v>
      </x:c>
      <x:c r="I56" s="102" t="n">
        <x:v>78.18</x:v>
      </x:c>
      <x:c r="J56" s="102" t="n">
        <x:v>82</x:v>
      </x:c>
      <x:c r="K56" s="102" t="n">
        <x:v>-3.819999999999993</x:v>
      </x:c>
      <x:c r="L56" s="102" t="n">
        <x:v>3.819999999999993</x:v>
      </x:c>
      <x:c r="M56" s="102" t="str">
        <x:v>PASS</x:v>
      </x:c>
      <x:c r="N56" s="45" t="str">
        <x:v>PASS</x:v>
      </x:c>
    </x:row>
    <x:row r="57">
      <x:c r="A57" s="45" t="str">
        <x:v>R11</x:v>
      </x:c>
      <x:c r="B57" s="45" t="str">
        <x:v>91–120</x:v>
      </x:c>
      <x:c r="C57" s="102" t="n">
        <x:v>4</x:v>
      </x:c>
      <x:c r="D57" s="102" t="n">
        <x:v>86.905</x:v>
      </x:c>
      <x:c r="E57" s="102" t="n">
        <x:v>86.3</x:v>
      </x:c>
      <x:c r="F57" s="102" t="n">
        <x:v>0.605000000000004</x:v>
      </x:c>
      <x:c r="G57" s="102" t="n">
        <x:v>0.605000000000004</x:v>
      </x:c>
      <x:c r="H57" s="102" t="str">
        <x:v>PASS</x:v>
      </x:c>
      <x:c r="I57" s="102" t="n">
        <x:v>78.18</x:v>
      </x:c>
      <x:c r="J57" s="102" t="n">
        <x:v>82</x:v>
      </x:c>
      <x:c r="K57" s="102" t="n">
        <x:v>-3.819999999999993</x:v>
      </x:c>
      <x:c r="L57" s="102" t="n">
        <x:v>3.819999999999993</x:v>
      </x:c>
      <x:c r="M57" s="102" t="str">
        <x:v>PASS</x:v>
      </x:c>
      <x:c r="N57" s="45" t="str">
        <x:v>PASS</x:v>
      </x:c>
    </x:row>
    <x:row r="58">
      <x:c r="A58" s="45" t="str">
        <x:v>R11</x:v>
      </x:c>
      <x:c r="B58" s="45" t="str">
        <x:v>91–120</x:v>
      </x:c>
      <x:c r="C58" s="102" t="n">
        <x:v>8</x:v>
      </x:c>
      <x:c r="D58" s="102" t="n">
        <x:v>50.690000000000005</x:v>
      </x:c>
      <x:c r="E58" s="102" t="n">
        <x:v>51.3</x:v>
      </x:c>
      <x:c r="F58" s="102" t="n">
        <x:v>-0.6099999999999923</x:v>
      </x:c>
      <x:c r="G58" s="102" t="n">
        <x:v>0.6099999999999923</x:v>
      </x:c>
      <x:c r="H58" s="102" t="str">
        <x:v>PASS</x:v>
      </x:c>
      <x:c r="I58" s="102" t="n">
        <x:v>78.18</x:v>
      </x:c>
      <x:c r="J58" s="102" t="n">
        <x:v>82</x:v>
      </x:c>
      <x:c r="K58" s="102" t="n">
        <x:v>-3.819999999999993</x:v>
      </x:c>
      <x:c r="L58" s="102" t="n">
        <x:v>3.819999999999993</x:v>
      </x:c>
      <x:c r="M58" s="102" t="str">
        <x:v>PASS</x:v>
      </x:c>
      <x:c r="N58" s="45" t="str">
        <x:v>PASS</x:v>
      </x:c>
    </x:row>
    <x:row r="59">
      <x:c r="A59" s="45" t="str">
        <x:v>R12</x:v>
      </x:c>
      <x:c r="B59" s="45" t="str">
        <x:v>91–120</x:v>
      </x:c>
      <x:c r="C59" s="102" t="n">
        <x:v>0.0625</x:v>
      </x:c>
      <x:c r="D59" s="102" t="n">
        <x:v>100</x:v>
      </x:c>
      <x:c r="E59" s="102" t="n">
        <x:v>100</x:v>
      </x:c>
      <x:c r="F59" s="102" t="n">
        <x:v>0</x:v>
      </x:c>
      <x:c r="G59" s="102" t="n">
        <x:v>0</x:v>
      </x:c>
      <x:c r="H59" s="102" t="str">
        <x:v>PASS</x:v>
      </x:c>
      <x:c r="I59" s="102" t="n">
        <x:v>88.46000000000001</x:v>
      </x:c>
      <x:c r="J59" s="102" t="n">
        <x:v>90</x:v>
      </x:c>
      <x:c r="K59" s="102" t="n">
        <x:v>-1.539999999999992</x:v>
      </x:c>
      <x:c r="L59" s="102" t="n">
        <x:v>1.539999999999992</x:v>
      </x:c>
      <x:c r="M59" s="102" t="str">
        <x:v>PASS</x:v>
      </x:c>
      <x:c r="N59" s="45" t="str">
        <x:v>PASS</x:v>
      </x:c>
    </x:row>
    <x:row r="60">
      <x:c r="A60" s="45" t="str">
        <x:v>R12</x:v>
      </x:c>
      <x:c r="B60" s="45" t="str">
        <x:v>91–120</x:v>
      </x:c>
      <x:c r="C60" s="102" t="n">
        <x:v>0.125</x:v>
      </x:c>
      <x:c r="D60" s="102" t="n">
        <x:v>100</x:v>
      </x:c>
      <x:c r="E60" s="102" t="n">
        <x:v>100</x:v>
      </x:c>
      <x:c r="F60" s="102" t="n">
        <x:v>0</x:v>
      </x:c>
      <x:c r="G60" s="102" t="n">
        <x:v>0</x:v>
      </x:c>
      <x:c r="H60" s="102" t="str">
        <x:v>PASS</x:v>
      </x:c>
      <x:c r="I60" s="102" t="n">
        <x:v>88.46000000000001</x:v>
      </x:c>
      <x:c r="J60" s="102" t="n">
        <x:v>90</x:v>
      </x:c>
      <x:c r="K60" s="102" t="n">
        <x:v>-1.539999999999992</x:v>
      </x:c>
      <x:c r="L60" s="102" t="n">
        <x:v>1.539999999999992</x:v>
      </x:c>
      <x:c r="M60" s="102" t="str">
        <x:v>PASS</x:v>
      </x:c>
      <x:c r="N60" s="45" t="str">
        <x:v>PASS</x:v>
      </x:c>
    </x:row>
    <x:row r="61">
      <x:c r="A61" s="45" t="str">
        <x:v>R12</x:v>
      </x:c>
      <x:c r="B61" s="45" t="str">
        <x:v>91–120</x:v>
      </x:c>
      <x:c r="C61" s="102" t="n">
        <x:v>0.25</x:v>
      </x:c>
      <x:c r="D61" s="102" t="n">
        <x:v>100</x:v>
      </x:c>
      <x:c r="E61" s="102" t="n">
        <x:v>100</x:v>
      </x:c>
      <x:c r="F61" s="102" t="n">
        <x:v>0</x:v>
      </x:c>
      <x:c r="G61" s="102" t="n">
        <x:v>0</x:v>
      </x:c>
      <x:c r="H61" s="102" t="str">
        <x:v>PASS</x:v>
      </x:c>
      <x:c r="I61" s="102" t="n">
        <x:v>88.46000000000001</x:v>
      </x:c>
      <x:c r="J61" s="102" t="n">
        <x:v>90</x:v>
      </x:c>
      <x:c r="K61" s="102" t="n">
        <x:v>-1.539999999999992</x:v>
      </x:c>
      <x:c r="L61" s="102" t="n">
        <x:v>1.539999999999992</x:v>
      </x:c>
      <x:c r="M61" s="102" t="str">
        <x:v>PASS</x:v>
      </x:c>
      <x:c r="N61" s="45" t="str">
        <x:v>PASS</x:v>
      </x:c>
    </x:row>
    <x:row r="62">
      <x:c r="A62" s="45" t="str">
        <x:v>R12</x:v>
      </x:c>
      <x:c r="B62" s="45" t="str">
        <x:v>91–120</x:v>
      </x:c>
      <x:c r="C62" s="102" t="n">
        <x:v>0.5</x:v>
      </x:c>
      <x:c r="D62" s="102" t="n">
        <x:v>100</x:v>
      </x:c>
      <x:c r="E62" s="102" t="n">
        <x:v>100</x:v>
      </x:c>
      <x:c r="F62" s="102" t="n">
        <x:v>0</x:v>
      </x:c>
      <x:c r="G62" s="102" t="n">
        <x:v>0</x:v>
      </x:c>
      <x:c r="H62" s="102" t="str">
        <x:v>PASS</x:v>
      </x:c>
      <x:c r="I62" s="102" t="n">
        <x:v>88.46000000000001</x:v>
      </x:c>
      <x:c r="J62" s="102" t="n">
        <x:v>90</x:v>
      </x:c>
      <x:c r="K62" s="102" t="n">
        <x:v>-1.539999999999992</x:v>
      </x:c>
      <x:c r="L62" s="102" t="n">
        <x:v>1.539999999999992</x:v>
      </x:c>
      <x:c r="M62" s="102" t="str">
        <x:v>PASS</x:v>
      </x:c>
      <x:c r="N62" s="45" t="str">
        <x:v>PASS</x:v>
      </x:c>
    </x:row>
    <x:row r="63">
      <x:c r="A63" s="45" t="str">
        <x:v>R12</x:v>
      </x:c>
      <x:c r="B63" s="45" t="str">
        <x:v>91–120</x:v>
      </x:c>
      <x:c r="C63" s="102" t="n">
        <x:v>1</x:v>
      </x:c>
      <x:c r="D63" s="102" t="n">
        <x:v>99.99</x:v>
      </x:c>
      <x:c r="E63" s="102" t="n">
        <x:v>100</x:v>
      </x:c>
      <x:c r="F63" s="102" t="n">
        <x:v>-0.010000000000005116</x:v>
      </x:c>
      <x:c r="G63" s="102" t="n">
        <x:v>0.010000000000005116</x:v>
      </x:c>
      <x:c r="H63" s="102" t="str">
        <x:v>PASS</x:v>
      </x:c>
      <x:c r="I63" s="102" t="n">
        <x:v>88.46000000000001</x:v>
      </x:c>
      <x:c r="J63" s="102" t="n">
        <x:v>90</x:v>
      </x:c>
      <x:c r="K63" s="102" t="n">
        <x:v>-1.539999999999992</x:v>
      </x:c>
      <x:c r="L63" s="102" t="n">
        <x:v>1.539999999999992</x:v>
      </x:c>
      <x:c r="M63" s="102" t="str">
        <x:v>PASS</x:v>
      </x:c>
      <x:c r="N63" s="45" t="str">
        <x:v>PASS</x:v>
      </x:c>
    </x:row>
    <x:row r="64">
      <x:c r="A64" s="45" t="str">
        <x:v>R12</x:v>
      </x:c>
      <x:c r="B64" s="45" t="str">
        <x:v>91–120</x:v>
      </x:c>
      <x:c r="C64" s="102" t="n">
        <x:v>2</x:v>
      </x:c>
      <x:c r="D64" s="102" t="n">
        <x:v>99.68</x:v>
      </x:c>
      <x:c r="E64" s="102" t="n">
        <x:v>100</x:v>
      </x:c>
      <x:c r="F64" s="102" t="n">
        <x:v>-0.3199999999999932</x:v>
      </x:c>
      <x:c r="G64" s="102" t="n">
        <x:v>0.3199999999999932</x:v>
      </x:c>
      <x:c r="H64" s="102" t="str">
        <x:v>PASS</x:v>
      </x:c>
      <x:c r="I64" s="102" t="n">
        <x:v>88.46000000000001</x:v>
      </x:c>
      <x:c r="J64" s="102" t="n">
        <x:v>90</x:v>
      </x:c>
      <x:c r="K64" s="102" t="n">
        <x:v>-1.539999999999992</x:v>
      </x:c>
      <x:c r="L64" s="102" t="n">
        <x:v>1.539999999999992</x:v>
      </x:c>
      <x:c r="M64" s="102" t="str">
        <x:v>PASS</x:v>
      </x:c>
      <x:c r="N64" s="45" t="str">
        <x:v>PASS</x:v>
      </x:c>
    </x:row>
    <x:row r="65">
      <x:c r="A65" s="45" t="str">
        <x:v>R12</x:v>
      </x:c>
      <x:c r="B65" s="45" t="str">
        <x:v>91–120</x:v>
      </x:c>
      <x:c r="C65" s="102" t="n">
        <x:v>4</x:v>
      </x:c>
      <x:c r="D65" s="102" t="n">
        <x:v>94.405</x:v>
      </x:c>
      <x:c r="E65" s="102" t="n">
        <x:v>94.2</x:v>
      </x:c>
      <x:c r="F65" s="102" t="n">
        <x:v>0.2049999999999983</x:v>
      </x:c>
      <x:c r="G65" s="102" t="n">
        <x:v>0.2049999999999983</x:v>
      </x:c>
      <x:c r="H65" s="102" t="str">
        <x:v>PASS</x:v>
      </x:c>
      <x:c r="I65" s="102" t="n">
        <x:v>88.46000000000001</x:v>
      </x:c>
      <x:c r="J65" s="102" t="n">
        <x:v>90</x:v>
      </x:c>
      <x:c r="K65" s="102" t="n">
        <x:v>-1.539999999999992</x:v>
      </x:c>
      <x:c r="L65" s="102" t="n">
        <x:v>1.539999999999992</x:v>
      </x:c>
      <x:c r="M65" s="102" t="str">
        <x:v>PASS</x:v>
      </x:c>
      <x:c r="N65" s="45" t="str">
        <x:v>PASS</x:v>
      </x:c>
    </x:row>
    <x:row r="66">
      <x:c r="A66" s="45" t="str">
        <x:v>R12</x:v>
      </x:c>
      <x:c r="B66" s="45" t="str">
        <x:v>91–120</x:v>
      </x:c>
      <x:c r="C66" s="102" t="n">
        <x:v>8</x:v>
      </x:c>
      <x:c r="D66" s="102" t="n">
        <x:v>68.11500000000001</x:v>
      </x:c>
      <x:c r="E66" s="102" t="n">
        <x:v>68.9</x:v>
      </x:c>
      <x:c r="F66" s="102" t="n">
        <x:v>-0.7849999999999966</x:v>
      </x:c>
      <x:c r="G66" s="102" t="n">
        <x:v>0.7849999999999966</x:v>
      </x:c>
      <x:c r="H66" s="102" t="str">
        <x:v>PASS</x:v>
      </x:c>
      <x:c r="I66" s="102" t="n">
        <x:v>88.46000000000001</x:v>
      </x:c>
      <x:c r="J66" s="102" t="n">
        <x:v>90</x:v>
      </x:c>
      <x:c r="K66" s="102" t="n">
        <x:v>-1.539999999999992</x:v>
      </x:c>
      <x:c r="L66" s="102" t="n">
        <x:v>1.539999999999992</x:v>
      </x:c>
      <x:c r="M66" s="102" t="str">
        <x:v>PASS</x:v>
      </x:c>
      <x:c r="N66" s="45" t="str">
        <x:v>PASS</x:v>
      </x:c>
    </x:row>
    <x:row r="67">
      <x:c r="A67" s="45" t="str">
        <x:v>R13</x:v>
      </x:c>
      <x:c r="B67" s="45" t="str">
        <x:v>121–150</x:v>
      </x:c>
      <x:c r="C67" s="102" t="n">
        <x:v>0.0625</x:v>
      </x:c>
      <x:c r="D67" s="102" t="n">
        <x:v>100</x:v>
      </x:c>
      <x:c r="E67" s="102" t="n">
        <x:v>100</x:v>
      </x:c>
      <x:c r="F67" s="102" t="n">
        <x:v>0</x:v>
      </x:c>
      <x:c r="G67" s="102" t="n">
        <x:v>0</x:v>
      </x:c>
      <x:c r="H67" s="102" t="str">
        <x:v>PASS</x:v>
      </x:c>
      <x:c r="I67" s="102" t="n">
        <x:v>81.245</x:v>
      </x:c>
      <x:c r="J67" s="102" t="n">
        <x:v>83.9</x:v>
      </x:c>
      <x:c r="K67" s="102" t="n">
        <x:v>-2.655000000000001</x:v>
      </x:c>
      <x:c r="L67" s="102" t="n">
        <x:v>2.655000000000001</x:v>
      </x:c>
      <x:c r="M67" s="102" t="str">
        <x:v>PASS</x:v>
      </x:c>
      <x:c r="N67" s="45" t="str">
        <x:v>PASS</x:v>
      </x:c>
    </x:row>
    <x:row r="68">
      <x:c r="A68" s="45" t="str">
        <x:v>R13</x:v>
      </x:c>
      <x:c r="B68" s="45" t="str">
        <x:v>121–150</x:v>
      </x:c>
      <x:c r="C68" s="102" t="n">
        <x:v>0.125</x:v>
      </x:c>
      <x:c r="D68" s="102" t="n">
        <x:v>100</x:v>
      </x:c>
      <x:c r="E68" s="102" t="n">
        <x:v>100</x:v>
      </x:c>
      <x:c r="F68" s="102" t="n">
        <x:v>0</x:v>
      </x:c>
      <x:c r="G68" s="102" t="n">
        <x:v>0</x:v>
      </x:c>
      <x:c r="H68" s="102" t="str">
        <x:v>PASS</x:v>
      </x:c>
      <x:c r="I68" s="102" t="n">
        <x:v>81.245</x:v>
      </x:c>
      <x:c r="J68" s="102" t="n">
        <x:v>83.9</x:v>
      </x:c>
      <x:c r="K68" s="102" t="n">
        <x:v>-2.655000000000001</x:v>
      </x:c>
      <x:c r="L68" s="102" t="n">
        <x:v>2.655000000000001</x:v>
      </x:c>
      <x:c r="M68" s="102" t="str">
        <x:v>PASS</x:v>
      </x:c>
      <x:c r="N68" s="45" t="str">
        <x:v>PASS</x:v>
      </x:c>
    </x:row>
    <x:row r="69">
      <x:c r="A69" s="45" t="str">
        <x:v>R13</x:v>
      </x:c>
      <x:c r="B69" s="45" t="str">
        <x:v>121–150</x:v>
      </x:c>
      <x:c r="C69" s="102" t="n">
        <x:v>0.25</x:v>
      </x:c>
      <x:c r="D69" s="102" t="n">
        <x:v>100</x:v>
      </x:c>
      <x:c r="E69" s="102" t="n">
        <x:v>100</x:v>
      </x:c>
      <x:c r="F69" s="102" t="n">
        <x:v>0</x:v>
      </x:c>
      <x:c r="G69" s="102" t="n">
        <x:v>0</x:v>
      </x:c>
      <x:c r="H69" s="102" t="str">
        <x:v>PASS</x:v>
      </x:c>
      <x:c r="I69" s="102" t="n">
        <x:v>81.245</x:v>
      </x:c>
      <x:c r="J69" s="102" t="n">
        <x:v>83.9</x:v>
      </x:c>
      <x:c r="K69" s="102" t="n">
        <x:v>-2.655000000000001</x:v>
      </x:c>
      <x:c r="L69" s="102" t="n">
        <x:v>2.655000000000001</x:v>
      </x:c>
      <x:c r="M69" s="102" t="str">
        <x:v>PASS</x:v>
      </x:c>
      <x:c r="N69" s="45" t="str">
        <x:v>PASS</x:v>
      </x:c>
    </x:row>
    <x:row r="70">
      <x:c r="A70" s="45" t="str">
        <x:v>R13</x:v>
      </x:c>
      <x:c r="B70" s="45" t="str">
        <x:v>121–150</x:v>
      </x:c>
      <x:c r="C70" s="102" t="n">
        <x:v>0.5</x:v>
      </x:c>
      <x:c r="D70" s="102" t="n">
        <x:v>100</x:v>
      </x:c>
      <x:c r="E70" s="102" t="n">
        <x:v>100</x:v>
      </x:c>
      <x:c r="F70" s="102" t="n">
        <x:v>0</x:v>
      </x:c>
      <x:c r="G70" s="102" t="n">
        <x:v>0</x:v>
      </x:c>
      <x:c r="H70" s="102" t="str">
        <x:v>PASS</x:v>
      </x:c>
      <x:c r="I70" s="102" t="n">
        <x:v>81.245</x:v>
      </x:c>
      <x:c r="J70" s="102" t="n">
        <x:v>83.9</x:v>
      </x:c>
      <x:c r="K70" s="102" t="n">
        <x:v>-2.655000000000001</x:v>
      </x:c>
      <x:c r="L70" s="102" t="n">
        <x:v>2.655000000000001</x:v>
      </x:c>
      <x:c r="M70" s="102" t="str">
        <x:v>PASS</x:v>
      </x:c>
      <x:c r="N70" s="45" t="str">
        <x:v>PASS</x:v>
      </x:c>
    </x:row>
    <x:row r="71">
      <x:c r="A71" s="45" t="str">
        <x:v>R13</x:v>
      </x:c>
      <x:c r="B71" s="45" t="str">
        <x:v>121–150</x:v>
      </x:c>
      <x:c r="C71" s="102" t="n">
        <x:v>1</x:v>
      </x:c>
      <x:c r="D71" s="102" t="n">
        <x:v>99.985</x:v>
      </x:c>
      <x:c r="E71" s="102" t="n">
        <x:v>100</x:v>
      </x:c>
      <x:c r="F71" s="102" t="n">
        <x:v>-0.015000000000000568</x:v>
      </x:c>
      <x:c r="G71" s="102" t="n">
        <x:v>0.015000000000000568</x:v>
      </x:c>
      <x:c r="H71" s="102" t="str">
        <x:v>PASS</x:v>
      </x:c>
      <x:c r="I71" s="102" t="n">
        <x:v>81.245</x:v>
      </x:c>
      <x:c r="J71" s="102" t="n">
        <x:v>83.9</x:v>
      </x:c>
      <x:c r="K71" s="102" t="n">
        <x:v>-2.655000000000001</x:v>
      </x:c>
      <x:c r="L71" s="102" t="n">
        <x:v>2.655000000000001</x:v>
      </x:c>
      <x:c r="M71" s="102" t="str">
        <x:v>PASS</x:v>
      </x:c>
      <x:c r="N71" s="45" t="str">
        <x:v>PASS</x:v>
      </x:c>
    </x:row>
    <x:row r="72">
      <x:c r="A72" s="45" t="str">
        <x:v>R13</x:v>
      </x:c>
      <x:c r="B72" s="45" t="str">
        <x:v>121–150</x:v>
      </x:c>
      <x:c r="C72" s="102" t="n">
        <x:v>2</x:v>
      </x:c>
      <x:c r="D72" s="102" t="n">
        <x:v>99.18</x:v>
      </x:c>
      <x:c r="E72" s="102" t="n">
        <x:v>100</x:v>
      </x:c>
      <x:c r="F72" s="102" t="n">
        <x:v>-0.8199999999999932</x:v>
      </x:c>
      <x:c r="G72" s="102" t="n">
        <x:v>0.8199999999999932</x:v>
      </x:c>
      <x:c r="H72" s="102" t="str">
        <x:v>PASS</x:v>
      </x:c>
      <x:c r="I72" s="102" t="n">
        <x:v>81.245</x:v>
      </x:c>
      <x:c r="J72" s="102" t="n">
        <x:v>83.9</x:v>
      </x:c>
      <x:c r="K72" s="102" t="n">
        <x:v>-2.655000000000001</x:v>
      </x:c>
      <x:c r="L72" s="102" t="n">
        <x:v>2.655000000000001</x:v>
      </x:c>
      <x:c r="M72" s="102" t="str">
        <x:v>PASS</x:v>
      </x:c>
      <x:c r="N72" s="45" t="str">
        <x:v>PASS</x:v>
      </x:c>
    </x:row>
    <x:row r="73">
      <x:c r="A73" s="45" t="str">
        <x:v>R13</x:v>
      </x:c>
      <x:c r="B73" s="45" t="str">
        <x:v>121–150</x:v>
      </x:c>
      <x:c r="C73" s="102" t="n">
        <x:v>4</x:v>
      </x:c>
      <x:c r="D73" s="102" t="n">
        <x:v>90.425</x:v>
      </x:c>
      <x:c r="E73" s="102" t="n">
        <x:v>91.9</x:v>
      </x:c>
      <x:c r="F73" s="102" t="n">
        <x:v>-1.4750000000000085</x:v>
      </x:c>
      <x:c r="G73" s="102" t="n">
        <x:v>1.4750000000000085</x:v>
      </x:c>
      <x:c r="H73" s="102" t="str">
        <x:v>PASS</x:v>
      </x:c>
      <x:c r="I73" s="102" t="n">
        <x:v>81.245</x:v>
      </x:c>
      <x:c r="J73" s="102" t="n">
        <x:v>83.9</x:v>
      </x:c>
      <x:c r="K73" s="102" t="n">
        <x:v>-2.655000000000001</x:v>
      </x:c>
      <x:c r="L73" s="102" t="n">
        <x:v>2.655000000000001</x:v>
      </x:c>
      <x:c r="M73" s="102" t="str">
        <x:v>PASS</x:v>
      </x:c>
      <x:c r="N73" s="45" t="str">
        <x:v>PASS</x:v>
      </x:c>
    </x:row>
    <x:row r="74">
      <x:c r="A74" s="45" t="str">
        <x:v>R13</x:v>
      </x:c>
      <x:c r="B74" s="45" t="str">
        <x:v>121–150</x:v>
      </x:c>
      <x:c r="C74" s="102" t="n">
        <x:v>8</x:v>
      </x:c>
      <x:c r="D74" s="102" t="n">
        <x:v>57.30499999999999</x:v>
      </x:c>
      <x:c r="E74" s="102" t="n">
        <x:v>57.7</x:v>
      </x:c>
      <x:c r="F74" s="102" t="n">
        <x:v>-0.39500000000001023</x:v>
      </x:c>
      <x:c r="G74" s="102" t="n">
        <x:v>0.39500000000001023</x:v>
      </x:c>
      <x:c r="H74" s="102" t="str">
        <x:v>PASS</x:v>
      </x:c>
      <x:c r="I74" s="102" t="n">
        <x:v>81.245</x:v>
      </x:c>
      <x:c r="J74" s="102" t="n">
        <x:v>83.9</x:v>
      </x:c>
      <x:c r="K74" s="102" t="n">
        <x:v>-2.655000000000001</x:v>
      </x:c>
      <x:c r="L74" s="102" t="n">
        <x:v>2.655000000000001</x:v>
      </x:c>
      <x:c r="M74" s="102" t="str">
        <x:v>PASS</x:v>
      </x:c>
      <x:c r="N74" s="45" t="str">
        <x:v>PASS</x:v>
      </x:c>
    </x:row>
  </x:sheetData>
  <x:mergeCells>
    <x:mergeCell ref="A1:N1"/>
  </x:mergeCells>
  <x:conditionalFormatting sqref="H3:H74">
    <x:cfRule type="expression" dxfId="0" priority="1">
      <x:formula>H3="PASS"</x:formula>
    </x:cfRule>
    <x:cfRule type="expression" dxfId="1" priority="2">
      <x:formula>H3="REVIEW"</x:formula>
    </x:cfRule>
    <x:cfRule type="expression" dxfId="2" priority="3">
      <x:formula>H3="FAIL"</x:formula>
    </x:cfRule>
  </x:conditionalFormatting>
  <x:conditionalFormatting sqref="M3:M74">
    <x:cfRule type="expression" dxfId="3" priority="4">
      <x:formula>M3="PASS"</x:formula>
    </x:cfRule>
    <x:cfRule type="expression" dxfId="4" priority="5">
      <x:formula>M3="REVIEW"</x:formula>
    </x:cfRule>
    <x:cfRule type="expression" dxfId="5" priority="6">
      <x:formula>M3="FAIL"</x:formula>
    </x:cfRule>
  </x:conditionalFormatting>
  <x:conditionalFormatting sqref="N3:N74">
    <x:cfRule type="expression" dxfId="6" priority="7">
      <x:formula>N3="PASS"</x:formula>
    </x:cfRule>
    <x:cfRule type="expression" dxfId="7" priority="8">
      <x:formula>N3="REVIEW"</x:formula>
    </x:cfRule>
    <x:cfRule type="expression" dxfId="8" priority="9">
      <x:formula>N3="FAIL"</x:formula>
    </x:cfRule>
  </x:conditionalFormatting>
  <x:conditionalFormatting sqref="G3:G74">
    <x:cfRule type="colorScale" priority="10">
      <x:colorScale>
        <x:cfvo type="min"/>
        <x:cfvo type="percentile" val="50"/>
        <x:cfvo type="max"/>
        <x:color rgb="FFC6EFCE"/>
        <x:color rgb="FFFFEB9C"/>
        <x:color rgb="FFFFC7CE"/>
      </x:colorScale>
    </x:cfRule>
  </x:conditionalFormatting>
  <x:conditionalFormatting sqref="L3:L74">
    <x:cfRule type="colorScale" priority="11">
      <x:colorScale>
        <x:cfvo type="min"/>
        <x:cfvo type="percentile" val="50"/>
        <x:cfvo type="max"/>
        <x:color rgb="FFC6EFCE"/>
        <x:color rgb="FFFFEB9C"/>
        <x:color rgb="FFFFC7CE"/>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0" hidden="0" customWidth="1"/>
  </x:cols>
  <x:sheetData>
    <x:row r="1">
      <x:c r="A1" s="106" t="str">
        <x:v>First 100,000-Subject Run — Calibration Decision</x:v>
      </x:c>
      <x:c r="B1" s="106"/>
      <x:c r="C1" s="106"/>
      <x:c r="D1" s="106"/>
      <x:c r="E1" s="106"/>
      <x:c r="F1" s="106"/>
      <x:c r="G1" s="106"/>
      <x:c r="H1" s="106"/>
    </x:row>
    <x:row r="2">
      <x:c r="A2" s="45"/>
      <x:c r="B2" s="45"/>
      <x:c r="C2" s="45"/>
      <x:c r="D2" s="45"/>
      <x:c r="E2" s="45"/>
      <x:c r="F2" s="45"/>
      <x:c r="G2" s="45"/>
      <x:c r="H2" s="45"/>
    </x:row>
    <x:row r="3">
      <x:c r="A3" s="101" t="str">
        <x:v>Run characteristic</x:v>
      </x:c>
      <x:c r="B3" s="101" t="str">
        <x:v>Value</x:v>
      </x:c>
      <x:c r="C3" s="45"/>
      <x:c r="D3" s="45"/>
      <x:c r="E3" s="45"/>
      <x:c r="F3" s="45"/>
      <x:c r="G3" s="45"/>
      <x:c r="H3" s="45"/>
    </x:row>
    <x:row r="4">
      <x:c r="A4" s="45" t="str">
        <x:v>Virtual subjects</x:v>
      </x:c>
      <x:c r="B4" s="45" t="n">
        <x:v>100000</x:v>
      </x:c>
      <x:c r="C4" s="45"/>
      <x:c r="D4" s="45"/>
      <x:c r="E4" s="45"/>
      <x:c r="F4" s="45"/>
      <x:c r="G4" s="45"/>
      <x:c r="H4" s="45"/>
    </x:row>
    <x:row r="5">
      <x:c r="A5" s="45" t="str">
        <x:v>Random seed</x:v>
      </x:c>
      <x:c r="B5" s="45" t="n">
        <x:v>20260707</x:v>
      </x:c>
      <x:c r="C5" s="45"/>
      <x:c r="D5" s="45"/>
      <x:c r="E5" s="45"/>
      <x:c r="F5" s="45"/>
      <x:c r="G5" s="45"/>
      <x:c r="H5" s="45"/>
    </x:row>
    <x:row r="6">
      <x:c r="A6" s="45" t="str">
        <x:v>Published comparison rows</x:v>
      </x:c>
      <x:c r="B6" s="45" t="n">
        <x:v>72</x:v>
      </x:c>
      <x:c r="C6" s="45"/>
      <x:c r="D6" s="45"/>
      <x:c r="E6" s="45"/>
      <x:c r="F6" s="45"/>
      <x:c r="G6" s="45"/>
      <x:c r="H6" s="45"/>
    </x:row>
    <x:row r="7">
      <x:c r="A7" s="45" t="str">
        <x:v>Acceptance thresholds</x:v>
      </x:c>
      <x:c r="B7" s="45" t="str">
        <x:v>PASS ≤5 pp; REVIEW &gt;5–10 pp; FAIL &gt;10 pp</x:v>
      </x:c>
      <x:c r="C7" s="45"/>
      <x:c r="D7" s="45"/>
      <x:c r="E7" s="45"/>
      <x:c r="F7" s="45"/>
      <x:c r="G7" s="45"/>
      <x:c r="H7" s="45"/>
    </x:row>
    <x:row r="8">
      <x:c r="A8" s="45"/>
      <x:c r="B8" s="45"/>
      <x:c r="C8" s="45"/>
      <x:c r="D8" s="45"/>
      <x:c r="E8" s="45"/>
      <x:c r="F8" s="45"/>
      <x:c r="G8" s="45"/>
      <x:c r="H8" s="45"/>
    </x:row>
    <x:row r="9">
      <x:c r="A9" s="101" t="str">
        <x:v>Endpoint</x:v>
      </x:c>
      <x:c r="B9" s="101" t="str">
        <x:v>N</x:v>
      </x:c>
      <x:c r="C9" s="101" t="str">
        <x:v>Mean bias (pp)</x:v>
      </x:c>
      <x:c r="D9" s="101" t="str">
        <x:v>MAE (pp)</x:v>
      </x:c>
      <x:c r="E9" s="101" t="str">
        <x:v>RMSE (pp)</x:v>
      </x:c>
      <x:c r="F9" s="101" t="str">
        <x:v>Maximum abs diff (pp)</x:v>
      </x:c>
      <x:c r="G9" s="101" t="str">
        <x:v>PASS</x:v>
      </x:c>
      <x:c r="H9" s="101" t="str">
        <x:v>REVIEW / FAIL</x:v>
      </x:c>
    </x:row>
    <x:row r="10">
      <x:c r="A10" s="45" t="str">
        <x:v>CAZ PTA</x:v>
      </x:c>
      <x:c r="B10" s="45" t="n">
        <x:v>72</x:v>
      </x:c>
      <x:c r="C10" s="102" t="n">
        <x:v>0.6223611111111114</x:v>
      </x:c>
      <x:c r="D10" s="102" t="n">
        <x:v>0.9663888888888883</x:v>
      </x:c>
      <x:c r="E10" s="102" t="n">
        <x:v>2.0762313949932354</x:v>
      </x:c>
      <x:c r="F10" s="102" t="n">
        <x:v>8.375</x:v>
      </x:c>
      <x:c r="G10" s="45" t="n">
        <x:v>69</x:v>
      </x:c>
      <x:c r="H10" s="45" t="str">
        <x:v>3 / 0</x:v>
      </x:c>
    </x:row>
    <x:row r="11">
      <x:c r="A11" s="45" t="str">
        <x:v>AVI attainment</x:v>
      </x:c>
      <x:c r="B11" s="45" t="n">
        <x:v>72</x:v>
      </x:c>
      <x:c r="C11" s="102" t="n">
        <x:v>-1.7155555555555537</x:v>
      </x:c>
      <x:c r="D11" s="102" t="n">
        <x:v>2.617777777777773</x:v>
      </x:c>
      <x:c r="E11" s="102" t="n">
        <x:v>2.7358362524098507</x:v>
      </x:c>
      <x:c r="F11" s="102" t="n">
        <x:v>3.819999999999993</x:v>
      </x:c>
      <x:c r="G11" s="45" t="n">
        <x:v>72</x:v>
      </x:c>
      <x:c r="H11" s="45" t="str">
        <x:v>0 / 0</x:v>
      </x:c>
    </x:row>
    <x:row r="12">
      <x:c r="A12" s="45"/>
      <x:c r="B12" s="45"/>
      <x:c r="C12" s="45"/>
      <x:c r="D12" s="45"/>
      <x:c r="E12" s="45"/>
      <x:c r="F12" s="45"/>
      <x:c r="G12" s="45"/>
      <x:c r="H12" s="45"/>
    </x:row>
    <x:row r="13">
      <x:c r="A13" s="101" t="str">
        <x:v>Overall row status</x:v>
      </x:c>
      <x:c r="B13" s="101" t="str">
        <x:v>Count</x:v>
      </x:c>
      <x:c r="C13" s="101" t="str">
        <x:v>Percent</x:v>
      </x:c>
      <x:c r="D13" s="101" t="str">
        <x:v>Interpretation</x:v>
      </x:c>
      <x:c r="E13" s="45"/>
      <x:c r="F13" s="45" t="str">
        <x:v>Status</x:v>
      </x:c>
      <x:c r="G13" s="45" t="str">
        <x:v>Count</x:v>
      </x:c>
      <x:c r="H13" s="45"/>
    </x:row>
    <x:row r="14">
      <x:c r="A14" s="45" t="str">
        <x:v>PASS</x:v>
      </x:c>
      <x:c r="B14" s="45" t="n">
        <x:v>69</x:v>
      </x:c>
      <x:c r="C14" s="107" t="n">
        <x:v>0.9583333333333334</x:v>
      </x:c>
      <x:c r="D14" s="45" t="str">
        <x:v>Both component comparisons within 5 percentage points</x:v>
      </x:c>
      <x:c r="E14" s="45"/>
      <x:c r="F14" s="45" t="str">
        <x:v>PASS</x:v>
      </x:c>
      <x:c r="G14" s="45" t="n">
        <x:v>69</x:v>
      </x:c>
      <x:c r="H14" s="45"/>
    </x:row>
    <x:row r="15">
      <x:c r="A15" s="45" t="str">
        <x:v>REVIEW</x:v>
      </x:c>
      <x:c r="B15" s="45" t="n">
        <x:v>3</x:v>
      </x:c>
      <x:c r="C15" s="107" t="n">
        <x:v>0.041666666666666664</x:v>
      </x:c>
      <x:c r="D15" s="45" t="str">
        <x:v>At least one component differs by &gt;5 to 10 percentage points</x:v>
      </x:c>
      <x:c r="E15" s="45"/>
      <x:c r="F15" s="45" t="str">
        <x:v>REVIEW</x:v>
      </x:c>
      <x:c r="G15" s="45" t="n">
        <x:v>3</x:v>
      </x:c>
      <x:c r="H15" s="45"/>
    </x:row>
    <x:row r="16">
      <x:c r="A16" s="45" t="str">
        <x:v>FAIL</x:v>
      </x:c>
      <x:c r="B16" s="45" t="n">
        <x:v>0</x:v>
      </x:c>
      <x:c r="C16" s="107" t="n">
        <x:v>0</x:v>
      </x:c>
      <x:c r="D16" s="45" t="str">
        <x:v>At least one component differs by &gt;10 percentage points</x:v>
      </x:c>
      <x:c r="E16" s="45"/>
      <x:c r="F16" s="45" t="str">
        <x:v>FAIL</x:v>
      </x:c>
      <x:c r="G16" s="45" t="n">
        <x:v>0</x:v>
      </x:c>
      <x:c r="H16" s="45"/>
    </x:row>
    <x:row r="17">
      <x:c r="A17" s="45"/>
      <x:c r="B17" s="45"/>
      <x:c r="C17" s="45"/>
      <x:c r="D17" s="45"/>
      <x:c r="E17" s="45"/>
      <x:c r="F17" s="45"/>
      <x:c r="G17" s="45"/>
      <x:c r="H17" s="45"/>
    </x:row>
    <x:row r="18">
      <x:c r="A18" s="101" t="str">
        <x:v>Decision item</x:v>
      </x:c>
      <x:c r="B18" s="101" t="str">
        <x:v>Conclusion</x:v>
      </x:c>
      <x:c r="C18" s="45"/>
      <x:c r="D18" s="45"/>
      <x:c r="E18" s="45"/>
      <x:c r="F18" s="45"/>
      <x:c r="G18" s="45"/>
      <x:c r="H18" s="45"/>
    </x:row>
    <x:row r="19">
      <x:c r="A19" s="108" t="str">
        <x:v>PTA calibration</x:v>
      </x:c>
      <x:c r="B19" s="45" t="str">
        <x:v>PROVISIONAL PASS WITH TARGETED REVIEW</x:v>
      </x:c>
      <x:c r="C19" s="45"/>
      <x:c r="D19" s="45"/>
      <x:c r="E19" s="45"/>
      <x:c r="F19" s="45"/>
      <x:c r="G19" s="45"/>
      <x:c r="H19" s="45"/>
    </x:row>
    <x:row r="20">
      <x:c r="A20" s="108" t="str">
        <x:v>AVI calibration</x:v>
      </x:c>
      <x:c r="B20" s="45" t="str">
        <x:v>PASS: all AVI differences are within 5 percentage points</x:v>
      </x:c>
      <x:c r="C20" s="45"/>
      <x:c r="D20" s="45"/>
      <x:c r="E20" s="45"/>
      <x:c r="F20" s="45"/>
      <x:c r="G20" s="45"/>
      <x:c r="H20" s="45"/>
    </x:row>
    <x:row r="21">
      <x:c r="A21" s="108" t="str">
        <x:v>CAZ calibration</x:v>
      </x:c>
      <x:c r="B21" s="45" t="str">
        <x:v>PASS overall; targeted review required for low-EKFC high-MIC rows</x:v>
      </x:c>
      <x:c r="C21" s="45"/>
      <x:c r="D21" s="45"/>
      <x:c r="E21" s="45"/>
      <x:c r="F21" s="45"/>
      <x:c r="G21" s="45"/>
      <x:c r="H21" s="45"/>
    </x:row>
    <x:row r="22">
      <x:c r="A22" s="108" t="str">
        <x:v>Largest discrepancy</x:v>
      </x:c>
      <x:c r="B22" s="45" t="str">
        <x:v>CAZ absolute difference 8.38 percentage points</x:v>
      </x:c>
      <x:c r="C22" s="45"/>
      <x:c r="D22" s="45"/>
      <x:c r="E22" s="45"/>
      <x:c r="F22" s="45"/>
      <x:c r="G22" s="45"/>
      <x:c r="H22" s="45"/>
    </x:row>
    <x:row r="23">
      <x:c r="A23" s="108" t="str">
        <x:v>Primary limitation</x:v>
      </x:c>
      <x:c r="B23" s="45" t="str">
        <x:v>Published comparison is available only through MIC 8 mg/L and does not yet include CFR</x:v>
      </x:c>
      <x:c r="C23" s="45"/>
      <x:c r="D23" s="45"/>
      <x:c r="E23" s="45"/>
      <x:c r="F23" s="45"/>
      <x:c r="G23" s="45"/>
      <x:c r="H23" s="45"/>
    </x:row>
    <x:row r="24">
      <x:c r="A24" s="108" t="str">
        <x:v>Release state</x:v>
      </x:c>
      <x:c r="B24" s="45" t="str">
        <x:v>Continue to CFR, convergence, multi-seed, and provenance completion; do not freeze final v1 yet</x:v>
      </x:c>
      <x:c r="C24" s="45"/>
      <x:c r="D24" s="45"/>
      <x:c r="E24" s="45"/>
      <x:c r="F24" s="45"/>
      <x:c r="G24" s="45"/>
      <x:c r="H24" s="45"/>
    </x:row>
  </x:sheetData>
  <x:mergeCells>
    <x:mergeCell ref="A1:H1"/>
  </x:mergeCells>
  <x:pageMargins left="0.7" right="0.7" top="0.75" bottom="0.75" header="0.3" footer="0.3"/>
  <x:drawing xmlns:r="http://schemas.openxmlformats.org/officeDocument/2006/relationships" r:id="Rb52ec770a755402d"/>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11" hidden="0" customWidth="1"/>
    <x:col min="5" max="5" width="11" hidden="0" customWidth="1"/>
    <x:col min="6" max="6" width="12" hidden="0" customWidth="1"/>
    <x:col min="7" max="7" width="11" hidden="0" customWidth="1"/>
    <x:col min="8" max="8" width="11" hidden="0" customWidth="1"/>
    <x:col min="9" max="9" width="12" hidden="0" customWidth="1"/>
    <x:col min="10" max="10" width="8" hidden="0" customWidth="1"/>
    <x:col min="11" max="11" width="9" hidden="0" customWidth="1"/>
    <x:col min="12" max="12" width="8" hidden="0" customWidth="1"/>
    <x:col min="13" max="13" width="10" hidden="0" customWidth="1"/>
    <x:col min="14" max="14" width="20" hidden="0" customWidth="1"/>
  </x:cols>
  <x:sheetData>
    <x:row r="1">
      <x:c r="A1" s="96" t="str">
        <x:v>Calibration Summary by Regimen and EKFC Class</x:v>
      </x:c>
      <x:c r="B1" s="96"/>
      <x:c r="C1" s="96"/>
      <x:c r="D1" s="96"/>
      <x:c r="E1" s="96"/>
      <x:c r="F1" s="96"/>
      <x:c r="G1" s="96"/>
      <x:c r="H1" s="96"/>
      <x:c r="I1" s="96"/>
      <x:c r="J1" s="96"/>
      <x:c r="K1" s="96"/>
      <x:c r="L1" s="96"/>
      <x:c r="M1" s="96"/>
      <x:c r="N1" s="96"/>
    </x:row>
    <x:row r="2">
      <x:c r="A2" s="101" t="str">
        <x:v>Regimen</x:v>
      </x:c>
      <x:c r="B2" s="101" t="str">
        <x:v>EKFC class</x:v>
      </x:c>
      <x:c r="C2" s="101" t="str">
        <x:v>Rows</x:v>
      </x:c>
      <x:c r="D2" s="101" t="str">
        <x:v>CAZ bias</x:v>
      </x:c>
      <x:c r="E2" s="101" t="str">
        <x:v>CAZ MAE</x:v>
      </x:c>
      <x:c r="F2" s="101" t="str">
        <x:v>CAZ max abs</x:v>
      </x:c>
      <x:c r="G2" s="101" t="str">
        <x:v>AVI bias</x:v>
      </x:c>
      <x:c r="H2" s="101" t="str">
        <x:v>AVI MAE</x:v>
      </x:c>
      <x:c r="I2" s="101" t="str">
        <x:v>AVI max abs</x:v>
      </x:c>
      <x:c r="J2" s="101" t="str">
        <x:v>PASS</x:v>
      </x:c>
      <x:c r="K2" s="101" t="str">
        <x:v>REVIEW</x:v>
      </x:c>
      <x:c r="L2" s="101" t="str">
        <x:v>FAIL</x:v>
      </x:c>
      <x:c r="M2" s="101" t="str">
        <x:v>Worst MIC</x:v>
      </x:c>
      <x:c r="N2" s="101" t="str">
        <x:v>Worst component abs diff</x:v>
      </x:c>
    </x:row>
    <x:row r="3">
      <x:c r="A3" s="45" t="str">
        <x:v>R1</x:v>
      </x:c>
      <x:c r="B3" s="45" t="str">
        <x:v>0–30</x:v>
      </x:c>
      <x:c r="C3" s="45" t="n">
        <x:v>8</x:v>
      </x:c>
      <x:c r="D3" s="102" t="n">
        <x:v>3.0131249999999996</x:v>
      </x:c>
      <x:c r="E3" s="102" t="n">
        <x:v>3.028125</x:v>
      </x:c>
      <x:c r="F3" s="102" t="n">
        <x:v>8.375</x:v>
      </x:c>
      <x:c r="G3" s="102" t="n">
        <x:v>2.1799999999999926</x:v>
      </x:c>
      <x:c r="H3" s="102" t="n">
        <x:v>2.1799999999999926</x:v>
      </x:c>
      <x:c r="I3" s="102" t="n">
        <x:v>2.1799999999999926</x:v>
      </x:c>
      <x:c r="J3" s="45" t="n">
        <x:v>6</x:v>
      </x:c>
      <x:c r="K3" s="45" t="n">
        <x:v>2</x:v>
      </x:c>
      <x:c r="L3" s="45" t="n">
        <x:v>0</x:v>
      </x:c>
      <x:c r="M3" s="102" t="n">
        <x:v>8</x:v>
      </x:c>
      <x:c r="N3" s="102" t="n">
        <x:v>8.375</x:v>
      </x:c>
    </x:row>
    <x:row r="4">
      <x:c r="A4" s="45" t="str">
        <x:v>R2</x:v>
      </x:c>
      <x:c r="B4" s="45" t="str">
        <x:v>0–30</x:v>
      </x:c>
      <x:c r="C4" s="45" t="n">
        <x:v>8</x:v>
      </x:c>
      <x:c r="D4" s="102" t="n">
        <x:v>1.9312499999999995</x:v>
      </x:c>
      <x:c r="E4" s="102" t="n">
        <x:v>1.9612500000000006</x:v>
      </x:c>
      <x:c r="F4" s="102" t="n">
        <x:v>7.6100000000000065</x:v>
      </x:c>
      <x:c r="G4" s="102" t="n">
        <x:v>1.8799999999999955</x:v>
      </x:c>
      <x:c r="H4" s="102" t="n">
        <x:v>1.8799999999999955</x:v>
      </x:c>
      <x:c r="I4" s="102" t="n">
        <x:v>1.8799999999999955</x:v>
      </x:c>
      <x:c r="J4" s="45" t="n">
        <x:v>7</x:v>
      </x:c>
      <x:c r="K4" s="45" t="n">
        <x:v>1</x:v>
      </x:c>
      <x:c r="L4" s="45" t="n">
        <x:v>0</x:v>
      </x:c>
      <x:c r="M4" s="102" t="n">
        <x:v>8</x:v>
      </x:c>
      <x:c r="N4" s="102" t="n">
        <x:v>7.6100000000000065</x:v>
      </x:c>
    </x:row>
    <x:row r="5">
      <x:c r="A5" s="45" t="str">
        <x:v>R7</x:v>
      </x:c>
      <x:c r="B5" s="45" t="str">
        <x:v>31–60</x:v>
      </x:c>
      <x:c r="C5" s="45" t="n">
        <x:v>8</x:v>
      </x:c>
      <x:c r="D5" s="102" t="n">
        <x:v>-0.1743749999999995</x:v>
      </x:c>
      <x:c r="E5" s="102" t="n">
        <x:v>0.8268749999999994</x:v>
      </x:c>
      <x:c r="F5" s="102" t="n">
        <x:v>2.9549999999999983</x:v>
      </x:c>
      <x:c r="G5" s="102" t="n">
        <x:v>-3.664999999999992</x:v>
      </x:c>
      <x:c r="H5" s="102" t="n">
        <x:v>3.664999999999992</x:v>
      </x:c>
      <x:c r="I5" s="102" t="n">
        <x:v>3.664999999999992</x:v>
      </x:c>
      <x:c r="J5" s="45" t="n">
        <x:v>8</x:v>
      </x:c>
      <x:c r="K5" s="45" t="n">
        <x:v>0</x:v>
      </x:c>
      <x:c r="L5" s="45" t="n">
        <x:v>0</x:v>
      </x:c>
      <x:c r="M5" s="102" t="n">
        <x:v>0.0625</x:v>
      </x:c>
      <x:c r="N5" s="102" t="n">
        <x:v>3.664999999999992</x:v>
      </x:c>
    </x:row>
    <x:row r="6">
      <x:c r="A6" s="45" t="str">
        <x:v>R8</x:v>
      </x:c>
      <x:c r="B6" s="45" t="str">
        <x:v>31–60</x:v>
      </x:c>
      <x:c r="C6" s="45" t="n">
        <x:v>8</x:v>
      </x:c>
      <x:c r="D6" s="102" t="n">
        <x:v>-0.0356249999999978</x:v>
      </x:c>
      <x:c r="E6" s="102" t="n">
        <x:v>0.8581249999999994</x:v>
      </x:c>
      <x:c r="F6" s="102" t="n">
        <x:v>3.2900000000000063</x:v>
      </x:c>
      <x:c r="G6" s="102" t="n">
        <x:v>-3.049999999999997</x:v>
      </x:c>
      <x:c r="H6" s="102" t="n">
        <x:v>3.049999999999997</x:v>
      </x:c>
      <x:c r="I6" s="102" t="n">
        <x:v>3.049999999999997</x:v>
      </x:c>
      <x:c r="J6" s="45" t="n">
        <x:v>8</x:v>
      </x:c>
      <x:c r="K6" s="45" t="n">
        <x:v>0</x:v>
      </x:c>
      <x:c r="L6" s="45" t="n">
        <x:v>0</x:v>
      </x:c>
      <x:c r="M6" s="102" t="n">
        <x:v>2</x:v>
      </x:c>
      <x:c r="N6" s="102" t="n">
        <x:v>3.2900000000000063</x:v>
      </x:c>
    </x:row>
    <x:row r="7">
      <x:c r="A7" s="45" t="str">
        <x:v>R9</x:v>
      </x:c>
      <x:c r="B7" s="45" t="str">
        <x:v>61–90</x:v>
      </x:c>
      <x:c r="C7" s="45" t="n">
        <x:v>8</x:v>
      </x:c>
      <x:c r="D7" s="102" t="n">
        <x:v>0.7424999999999988</x:v>
      </x:c>
      <x:c r="E7" s="102" t="n">
        <x:v>0.7649999999999997</x:v>
      </x:c>
      <x:c r="F7" s="102" t="n">
        <x:v>2.384999999999998</x:v>
      </x:c>
      <x:c r="G7" s="102" t="n">
        <x:v>-3.075000000000003</x:v>
      </x:c>
      <x:c r="H7" s="102" t="n">
        <x:v>3.075000000000003</x:v>
      </x:c>
      <x:c r="I7" s="102" t="n">
        <x:v>3.075000000000003</x:v>
      </x:c>
      <x:c r="J7" s="45" t="n">
        <x:v>8</x:v>
      </x:c>
      <x:c r="K7" s="45" t="n">
        <x:v>0</x:v>
      </x:c>
      <x:c r="L7" s="45" t="n">
        <x:v>0</x:v>
      </x:c>
      <x:c r="M7" s="102" t="n">
        <x:v>0.0625</x:v>
      </x:c>
      <x:c r="N7" s="102" t="n">
        <x:v>3.075000000000003</x:v>
      </x:c>
    </x:row>
    <x:row r="8">
      <x:c r="A8" s="45" t="str">
        <x:v>R10</x:v>
      </x:c>
      <x:c r="B8" s="45" t="str">
        <x:v>61–90</x:v>
      </x:c>
      <x:c r="C8" s="45" t="n">
        <x:v>8</x:v>
      </x:c>
      <x:c r="D8" s="102" t="n">
        <x:v>0.5375000000000014</x:v>
      </x:c>
      <x:c r="E8" s="102" t="n">
        <x:v>0.5499999999999972</x:v>
      </x:c>
      <x:c r="F8" s="102" t="n">
        <x:v>2.444999999999993</x:v>
      </x:c>
      <x:c r="G8" s="102" t="n">
        <x:v>-1.6949999999999932</x:v>
      </x:c>
      <x:c r="H8" s="102" t="n">
        <x:v>1.6949999999999932</x:v>
      </x:c>
      <x:c r="I8" s="102" t="n">
        <x:v>1.6949999999999932</x:v>
      </x:c>
      <x:c r="J8" s="45" t="n">
        <x:v>8</x:v>
      </x:c>
      <x:c r="K8" s="45" t="n">
        <x:v>0</x:v>
      </x:c>
      <x:c r="L8" s="45" t="n">
        <x:v>0</x:v>
      </x:c>
      <x:c r="M8" s="102" t="n">
        <x:v>8</x:v>
      </x:c>
      <x:c r="N8" s="102" t="n">
        <x:v>2.444999999999993</x:v>
      </x:c>
    </x:row>
    <x:row r="9">
      <x:c r="A9" s="45" t="str">
        <x:v>R11</x:v>
      </x:c>
      <x:c r="B9" s="45" t="str">
        <x:v>91–120</x:v>
      </x:c>
      <x:c r="C9" s="45" t="n">
        <x:v>8</x:v>
      </x:c>
      <x:c r="D9" s="102" t="n">
        <x:v>0.03875000000000117</x:v>
      </x:c>
      <x:c r="E9" s="102" t="n">
        <x:v>0.2049999999999974</x:v>
      </x:c>
      <x:c r="F9" s="102" t="n">
        <x:v>0.6099999999999923</x:v>
      </x:c>
      <x:c r="G9" s="102" t="n">
        <x:v>-3.819999999999993</x:v>
      </x:c>
      <x:c r="H9" s="102" t="n">
        <x:v>3.819999999999993</x:v>
      </x:c>
      <x:c r="I9" s="102" t="n">
        <x:v>3.819999999999993</x:v>
      </x:c>
      <x:c r="J9" s="45" t="n">
        <x:v>8</x:v>
      </x:c>
      <x:c r="K9" s="45" t="n">
        <x:v>0</x:v>
      </x:c>
      <x:c r="L9" s="45" t="n">
        <x:v>0</x:v>
      </x:c>
      <x:c r="M9" s="102" t="n">
        <x:v>0.0625</x:v>
      </x:c>
      <x:c r="N9" s="102" t="n">
        <x:v>3.819999999999993</x:v>
      </x:c>
    </x:row>
    <x:row r="10">
      <x:c r="A10" s="45" t="str">
        <x:v>R12</x:v>
      </x:c>
      <x:c r="B10" s="45" t="str">
        <x:v>91–120</x:v>
      </x:c>
      <x:c r="C10" s="45" t="n">
        <x:v>8</x:v>
      </x:c>
      <x:c r="D10" s="102" t="n">
        <x:v>-0.11374999999999957</x:v>
      </x:c>
      <x:c r="E10" s="102" t="n">
        <x:v>0.16499999999999915</x:v>
      </x:c>
      <x:c r="F10" s="102" t="n">
        <x:v>0.7849999999999966</x:v>
      </x:c>
      <x:c r="G10" s="102" t="n">
        <x:v>-1.539999999999992</x:v>
      </x:c>
      <x:c r="H10" s="102" t="n">
        <x:v>1.539999999999992</x:v>
      </x:c>
      <x:c r="I10" s="102" t="n">
        <x:v>1.539999999999992</x:v>
      </x:c>
      <x:c r="J10" s="45" t="n">
        <x:v>8</x:v>
      </x:c>
      <x:c r="K10" s="45" t="n">
        <x:v>0</x:v>
      </x:c>
      <x:c r="L10" s="45" t="n">
        <x:v>0</x:v>
      </x:c>
      <x:c r="M10" s="102" t="n">
        <x:v>0.0625</x:v>
      </x:c>
      <x:c r="N10" s="102" t="n">
        <x:v>1.539999999999992</x:v>
      </x:c>
    </x:row>
    <x:row r="11">
      <x:c r="A11" s="45" t="str">
        <x:v>R13</x:v>
      </x:c>
      <x:c r="B11" s="45" t="str">
        <x:v>121–150</x:v>
      </x:c>
      <x:c r="C11" s="45" t="n">
        <x:v>8</x:v>
      </x:c>
      <x:c r="D11" s="102" t="n">
        <x:v>-0.33812500000000156</x:v>
      </x:c>
      <x:c r="E11" s="102" t="n">
        <x:v>0.33812500000000156</x:v>
      </x:c>
      <x:c r="F11" s="102" t="n">
        <x:v>1.4750000000000085</x:v>
      </x:c>
      <x:c r="G11" s="102" t="n">
        <x:v>-2.655000000000001</x:v>
      </x:c>
      <x:c r="H11" s="102" t="n">
        <x:v>2.655000000000001</x:v>
      </x:c>
      <x:c r="I11" s="102" t="n">
        <x:v>2.655000000000001</x:v>
      </x:c>
      <x:c r="J11" s="45" t="n">
        <x:v>8</x:v>
      </x:c>
      <x:c r="K11" s="45" t="n">
        <x:v>0</x:v>
      </x:c>
      <x:c r="L11" s="45" t="n">
        <x:v>0</x:v>
      </x:c>
      <x:c r="M11" s="102" t="n">
        <x:v>0.0625</x:v>
      </x:c>
      <x:c r="N11" s="102" t="n">
        <x:v>2.655000000000001</x:v>
      </x:c>
    </x:row>
  </x:sheetData>
  <x:mergeCells>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8" hidden="0" customWidth="1"/>
    <x:col min="4" max="4" width="24" hidden="0" customWidth="1"/>
  </x:cols>
  <x:sheetData>
    <x:row r="1">
      <x:c r="A1" s="96" t="str">
        <x:v>Scientific Interpretation and Next-Step Gate</x:v>
      </x:c>
      <x:c r="B1" s="96"/>
      <x:c r="C1" s="96"/>
      <x:c r="D1" s="96"/>
    </x:row>
    <x:row r="3">
      <x:c r="A3" s="101" t="str">
        <x:v>Finding</x:v>
      </x:c>
      <x:c r="B3" s="101" t="str">
        <x:v>Evidence</x:v>
      </x:c>
      <x:c r="C3" s="101" t="str">
        <x:v>Interpretation</x:v>
      </x:c>
      <x:c r="D3" s="101" t="str">
        <x:v>Decision</x:v>
      </x:c>
    </x:row>
    <x:row r="4">
      <x:c r="A4" s="45" t="str">
        <x:v>Overall calibration</x:v>
      </x:c>
      <x:c r="B4" s="45" t="str">
        <x:v>69/72 rows PASS; 3 REVIEW; 0 FAIL</x:v>
      </x:c>
      <x:c r="C4" s="45" t="str">
        <x:v>The first run reproduces the published PTA/attainment pattern without any &gt;10 percentage-point disagreement.</x:v>
      </x:c>
      <x:c r="D4" s="45" t="str">
        <x:v>PROVISIONAL PASS</x:v>
      </x:c>
    </x:row>
    <x:row r="5">
      <x:c r="A5" s="45" t="str">
        <x:v>CAZ performance</x:v>
      </x:c>
      <x:c r="B5" s="45" t="str">
        <x:v>MAE 0.97 pp; RMSE 2.08 pp; bias 0.62 pp</x:v>
      </x:c>
      <x:c r="C5" s="45" t="str">
        <x:v>CAZ is slightly overpredicted on average, driven mainly by the 0–30 mL/min class at MIC 4–8 mg/L.</x:v>
      </x:c>
      <x:c r="D5" s="45" t="str">
        <x:v>TARGETED REVIEW</x:v>
      </x:c>
    </x:row>
    <x:row r="6">
      <x:c r="A6" s="45" t="str">
        <x:v>AVI performance</x:v>
      </x:c>
      <x:c r="B6" s="45" t="str">
        <x:v>MAE 2.62 pp; RMSE 2.74 pp; bias -1.72 pp</x:v>
      </x:c>
      <x:c r="C6" s="45" t="str">
        <x:v>AVI attainment is consistently close to the published values and remains within the predefined PASS boundary.</x:v>
      </x:c>
      <x:c r="D6" s="45" t="str">
        <x:v>PASS</x:v>
      </x:c>
    </x:row>
    <x:row r="7">
      <x:c r="A7" s="45" t="str">
        <x:v>Low renal function</x:v>
      </x:c>
      <x:c r="B7" s="45" t="str">
        <x:v>R1 and R2 at MIC 8 mg/L show the largest CAZ deviations</x:v>
      </x:c>
      <x:c r="C7" s="45" t="str">
        <x:v>The low-EKFC clearance distribution or IIV tail may be modestly less variable or more favorable than the published simulation.</x:v>
      </x:c>
      <x:c r="D7" s="45" t="str">
        <x:v>Retain; test in sensitivity analysis</x:v>
      </x:c>
    </x:row>
    <x:row r="8">
      <x:c r="A8" s="45" t="str">
        <x:v>Joint PTA</x:v>
      </x:c>
      <x:c r="B8" s="45" t="str">
        <x:v>Joint target was simulated, but no row-level published joint comparator exists in this comparison table</x:v>
      </x:c>
      <x:c r="C8" s="45" t="str">
        <x:v>Joint PTA should not be declared externally calibrated from component comparisons alone.</x:v>
      </x:c>
      <x:c r="D8" s="45" t="str">
        <x:v>PENDING</x:v>
      </x:c>
    </x:row>
    <x:row r="9">
      <x:c r="A9" s="45" t="str">
        <x:v>CFR</x:v>
      </x:c>
      <x:c r="B9" s="45" t="str">
        <x:v>No MIC-frequency distribution or CFR output is present</x:v>
      </x:c>
      <x:c r="C9" s="45" t="str">
        <x:v>CFR cannot yet be calculated or validated.</x:v>
      </x:c>
      <x:c r="D9" s="45" t="str">
        <x:v>NEXT PHASE</x:v>
      </x:c>
    </x:row>
    <x:row r="10">
      <x:c r="A10" s="45" t="str">
        <x:v>Reproducibility</x:v>
      </x:c>
      <x:c r="B10" s="45" t="str">
        <x:v>Seed and N are documented; Git commit, environment lock, checksums and scenario ID are absent</x:v>
      </x:c>
      <x:c r="C10" s="45" t="str">
        <x:v>The run is numerically reviewable but not yet fully reproducible as a frozen model release.</x:v>
      </x:c>
      <x:c r="D10" s="45" t="str">
        <x:v>NEXT PHASE</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7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24" t="str">
        <x:v>Monte Carlo Convergence — Base Seed 20260707</x:v>
      </x:c>
      <x:c r="B1" s="124"/>
      <x:c r="C1" s="124"/>
      <x:c r="D1" s="124"/>
      <x:c r="E1" s="124"/>
      <x:c r="F1" s="124"/>
      <x:c r="G1" s="124"/>
      <x:c r="H1" s="124"/>
    </x:row>
    <x:row r="2">
      <x:c r="A2" s="45"/>
      <x:c r="B2" s="45"/>
      <x:c r="C2" s="45"/>
      <x:c r="D2" s="45"/>
      <x:c r="E2" s="45"/>
      <x:c r="F2" s="45"/>
      <x:c r="G2" s="45"/>
      <x:c r="H2" s="45"/>
    </x:row>
    <x:row r="3">
      <x:c r="A3" s="120" t="str">
        <x:v>Total N</x:v>
      </x:c>
      <x:c r="B3" s="120" t="str">
        <x:v>N per EKFC</x:v>
      </x:c>
      <x:c r="C3" s="120" t="str">
        <x:v>Mean |Δ Joint PTA|</x:v>
      </x:c>
      <x:c r="D3" s="120" t="str">
        <x:v>95th percentile |Δ|</x:v>
      </x:c>
      <x:c r="E3" s="120" t="str">
        <x:v>Maximum |Δ|</x:v>
      </x:c>
      <x:c r="F3" s="120" t="str">
        <x:v>Mean |Δ Toxicity|</x:v>
      </x:c>
      <x:c r="G3" s="120" t="str">
        <x:v>Maximum |Δ Toxicity|</x:v>
      </x:c>
      <x:c r="H3" s="120" t="str">
        <x:v>Interpretation</x:v>
      </x:c>
    </x:row>
    <x:row r="4">
      <x:c r="A4" s="45" t="n">
        <x:v>1000</x:v>
      </x:c>
      <x:c r="B4" s="45" t="n">
        <x:v>200</x:v>
      </x:c>
      <x:c r="C4" s="125" t="n">
        <x:v>1.99301652892562</x:v>
      </x:c>
      <x:c r="D4" s="125" t="n">
        <x:v>5.7450000000000045</x:v>
      </x:c>
      <x:c r="E4" s="125" t="n">
        <x:v>7.165000000000006</x:v>
      </x:c>
      <x:c r="F4" s="125" t="n">
        <x:v>1.4686363636363637</x:v>
      </x:c>
      <x:c r="G4" s="125" t="n">
        <x:v>4.164999999999999</x:v>
      </x:c>
      <x:c r="H4" s="45" t="str">
        <x:v>EXPLORATORY</x:v>
      </x:c>
    </x:row>
    <x:row r="5">
      <x:c r="A5" s="45" t="n">
        <x:v>5000</x:v>
      </x:c>
      <x:c r="B5" s="45" t="n">
        <x:v>1000</x:v>
      </x:c>
      <x:c r="C5" s="125" t="n">
        <x:v>0.7919421487603309</x:v>
      </x:c>
      <x:c r="D5" s="125" t="n">
        <x:v>2.1499999999999986</x:v>
      </x:c>
      <x:c r="E5" s="125" t="n">
        <x:v>3.7849999999999966</x:v>
      </x:c>
      <x:c r="F5" s="125" t="n">
        <x:v>0.4231818181818184</x:v>
      </x:c>
      <x:c r="G5" s="125" t="n">
        <x:v>0.9649999999999981</x:v>
      </x:c>
      <x:c r="H5" s="45" t="str">
        <x:v>EXPLORATORY</x:v>
      </x:c>
    </x:row>
    <x:row r="6">
      <x:c r="A6" s="45" t="n">
        <x:v>10000</x:v>
      </x:c>
      <x:c r="B6" s="45" t="n">
        <x:v>2000</x:v>
      </x:c>
      <x:c r="C6" s="125" t="n">
        <x:v>0.6151652892561977</x:v>
      </x:c>
      <x:c r="D6" s="125" t="n">
        <x:v>2.0349999999999966</x:v>
      </x:c>
      <x:c r="E6" s="125" t="n">
        <x:v>2.2349999999999994</x:v>
      </x:c>
      <x:c r="F6" s="125" t="n">
        <x:v>0.41954545454545444</x:v>
      </x:c>
      <x:c r="G6" s="125" t="n">
        <x:v>1.1149999999999984</x:v>
      </x:c>
      <x:c r="H6" s="45" t="str">
        <x:v>EXPLORATORY</x:v>
      </x:c>
    </x:row>
    <x:row r="7">
      <x:c r="A7" s="45" t="n">
        <x:v>50000</x:v>
      </x:c>
      <x:c r="B7" s="45" t="n">
        <x:v>10000</x:v>
      </x:c>
      <x:c r="C7" s="125" t="n">
        <x:v>0.1673966942148758</x:v>
      </x:c>
      <x:c r="D7" s="125" t="n">
        <x:v>0.509999999999998</x:v>
      </x:c>
      <x:c r="E7" s="125" t="n">
        <x:v>0.6250000000000071</x:v>
      </x:c>
      <x:c r="F7" s="125" t="n">
        <x:v>0.12318181818181805</x:v>
      </x:c>
      <x:c r="G7" s="125" t="n">
        <x:v>0.45000000000000107</x:v>
      </x:c>
      <x:c r="H7" s="45" t="str">
        <x:v>STABLE_FOR_SUMMARY</x:v>
      </x:c>
    </x:row>
    <x:row r="8">
      <x:c r="A8" s="45" t="n">
        <x:v>100000</x:v>
      </x:c>
      <x:c r="B8" s="45" t="n">
        <x:v>20000</x:v>
      </x:c>
      <x:c r="C8" s="125" t="n">
        <x:v>0</x:v>
      </x:c>
      <x:c r="D8" s="125" t="n">
        <x:v>0</x:v>
      </x:c>
      <x:c r="E8" s="125" t="n">
        <x:v>0</x:v>
      </x:c>
      <x:c r="F8" s="125" t="n">
        <x:v>0</x:v>
      </x:c>
      <x:c r="G8" s="125" t="n">
        <x:v>0</x:v>
      </x:c>
      <x:c r="H8" s="45" t="str">
        <x:v>REFERENCE</x:v>
      </x:c>
    </x:row>
    <x:row r="9">
      <x:c r="A9" s="45"/>
      <x:c r="B9" s="45"/>
      <x:c r="C9" s="45"/>
      <x:c r="D9" s="45"/>
      <x:c r="E9" s="45"/>
      <x:c r="F9" s="45"/>
      <x:c r="G9" s="45"/>
      <x:c r="H9" s="45"/>
    </x:row>
    <x:row r="10">
      <x:c r="A10" s="120" t="str">
        <x:v>Decision item</x:v>
      </x:c>
      <x:c r="B10" s="120" t="str">
        <x:v>Conclusion</x:v>
      </x:c>
      <x:c r="C10" s="45"/>
      <x:c r="D10" s="45"/>
      <x:c r="E10" s="45"/>
      <x:c r="F10" s="45"/>
      <x:c r="G10" s="45"/>
      <x:c r="H10" s="45"/>
    </x:row>
    <x:row r="11">
      <x:c r="A11" s="126" t="str">
        <x:v>50,000 vs 100,000 criterion</x:v>
      </x:c>
      <x:c r="B11" s="45" t="str">
        <x:v>Assessed across all regimen × MIC rows</x:v>
      </x:c>
      <x:c r="C11" s="45"/>
      <x:c r="D11" s="45"/>
      <x:c r="E11" s="45"/>
      <x:c r="F11" s="45"/>
      <x:c r="G11" s="45"/>
      <x:c r="H11" s="45"/>
    </x:row>
    <x:row r="12">
      <x:c r="A12" s="126" t="str">
        <x:v>Key stability result</x:v>
      </x:c>
      <x:c r="B12" s="45" t="str">
        <x:v>STABLE_FOR_SUMMARY</x:v>
      </x:c>
      <x:c r="C12" s="45"/>
      <x:c r="D12" s="45"/>
      <x:c r="E12" s="45"/>
      <x:c r="F12" s="45"/>
      <x:c r="G12" s="45"/>
      <x:c r="H12" s="45"/>
    </x:row>
    <x:row r="13">
      <x:c r="A13" s="126" t="str">
        <x:v>Recommended routine N</x:v>
      </x:c>
      <x:c r="B13" s="45" t="str">
        <x:v>50,000 is acceptable for stable summaries if the detailed maximum criterion passes; retain 100,000 for final subgroup/tail analyses.</x:v>
      </x:c>
      <x:c r="C13" s="45"/>
      <x:c r="D13" s="45"/>
      <x:c r="E13" s="45"/>
      <x:c r="F13" s="45"/>
      <x:c r="G13" s="45"/>
      <x:c r="H13" s="45"/>
    </x:row>
    <x:row r="14">
      <x:c r="A14" s="126" t="str">
        <x:v>Nested sampling</x:v>
      </x:c>
      <x:c r="B14" s="45" t="str">
        <x:v>Smaller samples use prefixes of the same seed-specific virtual population.</x:v>
      </x:c>
      <x:c r="C14" s="45"/>
      <x:c r="D14" s="45"/>
      <x:c r="E14" s="45"/>
      <x:c r="F14" s="45"/>
      <x:c r="G14" s="45"/>
      <x:c r="H14" s="45"/>
    </x:row>
    <x:row r="15">
      <x:c r="A15" s="126" t="str">
        <x:v>Reference run</x:v>
      </x:c>
      <x:c r="B15" s="45" t="str">
        <x:v>100,000 total; 20,000 per EKFC class.</x:v>
      </x:c>
      <x:c r="C15" s="45"/>
      <x:c r="D15" s="45"/>
      <x:c r="E15" s="45"/>
      <x:c r="F15" s="45"/>
      <x:c r="G15" s="45"/>
      <x:c r="H15" s="45"/>
    </x:row>
    <x:row r="16">
      <x:c r="A16" s="126" t="str">
        <x:v>Caveat</x:v>
      </x:c>
      <x:c r="B16" s="45" t="str">
        <x:v>Convergence does not replace external calibration or input-provenance review.</x:v>
      </x:c>
      <x:c r="C16" s="45"/>
      <x:c r="D16" s="45"/>
      <x:c r="E16" s="45"/>
      <x:c r="F16" s="45"/>
      <x:c r="G16" s="45"/>
      <x:c r="H16" s="45"/>
    </x:row>
  </x:sheetData>
  <x:mergeCells>
    <x:mergeCell ref="A1:H1"/>
  </x:mergeCells>
  <x:pageMargins left="0.7" right="0.7" top="0.75" bottom="0.75" header="0.3" footer="0.3"/>
  <x:drawing xmlns:r="http://schemas.openxmlformats.org/officeDocument/2006/relationships" r:id="Re8d39e3b52ca42bf"/>
</x:worksheet>
</file>

<file path=xl/worksheets/sheet11.xml><?xml version="1.0" encoding="utf-8"?>
<x:worksheet xmlns:x="http://schemas.openxmlformats.org/spreadsheetml/2006/main">
  <x:sheetFormatPr defaultRowHeight="15"/>
  <x:cols>
    <x:col min="1" max="1" width="11" hidden="0" customWidth="1"/>
    <x:col min="2" max="2" width="9" hidden="0" customWidth="1"/>
    <x:col min="3" max="3" width="12" hidden="0" customWidth="1"/>
    <x:col min="4" max="4" width="10" hidden="0" customWidth="1"/>
    <x:col min="5" max="5" width="12" hidden="0" customWidth="1"/>
    <x:col min="6" max="6" width="9" hidden="0" customWidth="1"/>
    <x:col min="7" max="7" width="10" hidden="0" customWidth="1"/>
    <x:col min="8" max="8" width="9"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x:c r="A1" s="120" t="str">
        <x:v>Total N</x:v>
      </x:c>
      <x:c r="B1" s="120" t="str">
        <x:v>N/class</x:v>
      </x:c>
      <x:c r="C1" s="120" t="str">
        <x:v>Seed</x:v>
      </x:c>
      <x:c r="D1" s="120" t="str">
        <x:v>Regimen</x:v>
      </x:c>
      <x:c r="E1" s="120" t="str">
        <x:v>EKFC</x:v>
      </x:c>
      <x:c r="F1" s="120" t="str">
        <x:v>Dose g</x:v>
      </x:c>
      <x:c r="G1" s="120" t="str">
        <x:v>Interval h</x:v>
      </x:c>
      <x:c r="H1" s="120" t="str">
        <x:v>MIC</x:v>
      </x:c>
      <x:c r="I1" s="120" t="str">
        <x:v>CAZ PTA</x:v>
      </x:c>
      <x:c r="J1" s="120" t="str">
        <x:v>AVI attainment</x:v>
      </x:c>
      <x:c r="K1" s="120" t="str">
        <x:v>Joint PTA</x:v>
      </x:c>
      <x:c r="L1" s="120" t="str">
        <x:v>Toxicity</x:v>
      </x:c>
      <x:c r="M1" s="120" t="str">
        <x:v>Δ CAZ</x:v>
      </x:c>
      <x:c r="N1" s="120" t="str">
        <x:v>Δ AVI</x:v>
      </x:c>
      <x:c r="O1" s="120" t="str">
        <x:v>Δ Joint</x:v>
      </x:c>
      <x:c r="P1" s="120" t="str">
        <x:v>Δ Toxicity</x:v>
      </x:c>
      <x:c r="Q1" s="120" t="str">
        <x:v>|Δ Joint|</x:v>
      </x:c>
    </x:row>
    <x:row r="2">
      <x:c r="A2" t="n">
        <x:v>1000</x:v>
      </x:c>
      <x:c r="B2" t="n">
        <x:v>200</x:v>
      </x:c>
      <x:c r="C2" t="n">
        <x:v>20260707</x:v>
      </x:c>
      <x:c r="D2" t="str">
        <x:v>R1</x:v>
      </x:c>
      <x:c r="E2" t="str">
        <x:v>0–30</x:v>
      </x:c>
      <x:c r="F2" s="121" t="n">
        <x:v>0.625</x:v>
      </x:c>
      <x:c r="G2" s="121" t="n">
        <x:v>12</x:v>
      </x:c>
      <x:c r="H2" s="121" t="n">
        <x:v>0.0625</x:v>
      </x:c>
      <x:c r="I2" s="121" t="n">
        <x:v>100</x:v>
      </x:c>
      <x:c r="J2" s="121" t="n">
        <x:v>70.5</x:v>
      </x:c>
      <x:c r="K2" s="121" t="n">
        <x:v>70.5</x:v>
      </x:c>
      <x:c r="L2" s="121" t="n">
        <x:v>8</x:v>
      </x:c>
      <x:c r="M2" s="121" t="n">
        <x:v>0</x:v>
      </x:c>
      <x:c r="N2" s="121" t="n">
        <x:v>-4.439999999999998</x:v>
      </x:c>
      <x:c r="O2" s="121" t="n">
        <x:v>-4.439999999999998</x:v>
      </x:c>
      <x:c r="P2" s="121" t="n">
        <x:v>-1.3100000000000005</x:v>
      </x:c>
      <x:c r="Q2" s="121" t="n">
        <x:v>4.439999999999998</x:v>
      </x:c>
    </x:row>
    <x:row r="3">
      <x:c r="A3" t="n">
        <x:v>1000</x:v>
      </x:c>
      <x:c r="B3" t="n">
        <x:v>200</x:v>
      </x:c>
      <x:c r="C3" t="n">
        <x:v>20260707</x:v>
      </x:c>
      <x:c r="D3" t="str">
        <x:v>R1</x:v>
      </x:c>
      <x:c r="E3" t="str">
        <x:v>0–30</x:v>
      </x:c>
      <x:c r="F3" s="121" t="n">
        <x:v>0.625</x:v>
      </x:c>
      <x:c r="G3" s="121" t="n">
        <x:v>12</x:v>
      </x:c>
      <x:c r="H3" s="121" t="n">
        <x:v>0.125</x:v>
      </x:c>
      <x:c r="I3" s="121" t="n">
        <x:v>100</x:v>
      </x:c>
      <x:c r="J3" s="121" t="n">
        <x:v>70.5</x:v>
      </x:c>
      <x:c r="K3" s="121" t="n">
        <x:v>70.5</x:v>
      </x:c>
      <x:c r="L3" s="121" t="n">
        <x:v>8</x:v>
      </x:c>
      <x:c r="M3" s="121" t="n">
        <x:v>0</x:v>
      </x:c>
      <x:c r="N3" s="121" t="n">
        <x:v>-4.439999999999998</x:v>
      </x:c>
      <x:c r="O3" s="121" t="n">
        <x:v>-4.439999999999998</x:v>
      </x:c>
      <x:c r="P3" s="121" t="n">
        <x:v>-1.3100000000000005</x:v>
      </x:c>
      <x:c r="Q3" s="121" t="n">
        <x:v>4.439999999999998</x:v>
      </x:c>
    </x:row>
    <x:row r="4">
      <x:c r="A4" t="n">
        <x:v>1000</x:v>
      </x:c>
      <x:c r="B4" t="n">
        <x:v>200</x:v>
      </x:c>
      <x:c r="C4" t="n">
        <x:v>20260707</x:v>
      </x:c>
      <x:c r="D4" t="str">
        <x:v>R1</x:v>
      </x:c>
      <x:c r="E4" t="str">
        <x:v>0–30</x:v>
      </x:c>
      <x:c r="F4" s="121" t="n">
        <x:v>0.625</x:v>
      </x:c>
      <x:c r="G4" s="121" t="n">
        <x:v>12</x:v>
      </x:c>
      <x:c r="H4" s="121" t="n">
        <x:v>0.25</x:v>
      </x:c>
      <x:c r="I4" s="121" t="n">
        <x:v>100</x:v>
      </x:c>
      <x:c r="J4" s="121" t="n">
        <x:v>70.5</x:v>
      </x:c>
      <x:c r="K4" s="121" t="n">
        <x:v>70.5</x:v>
      </x:c>
      <x:c r="L4" s="121" t="n">
        <x:v>8</x:v>
      </x:c>
      <x:c r="M4" s="121" t="n">
        <x:v>0</x:v>
      </x:c>
      <x:c r="N4" s="121" t="n">
        <x:v>-4.439999999999998</x:v>
      </x:c>
      <x:c r="O4" s="121" t="n">
        <x:v>-4.439999999999998</x:v>
      </x:c>
      <x:c r="P4" s="121" t="n">
        <x:v>-1.3100000000000005</x:v>
      </x:c>
      <x:c r="Q4" s="121" t="n">
        <x:v>4.439999999999998</x:v>
      </x:c>
    </x:row>
    <x:row r="5">
      <x:c r="A5" t="n">
        <x:v>1000</x:v>
      </x:c>
      <x:c r="B5" t="n">
        <x:v>200</x:v>
      </x:c>
      <x:c r="C5" t="n">
        <x:v>20260707</x:v>
      </x:c>
      <x:c r="D5" t="str">
        <x:v>R1</x:v>
      </x:c>
      <x:c r="E5" t="str">
        <x:v>0–30</x:v>
      </x:c>
      <x:c r="F5" s="121" t="n">
        <x:v>0.625</x:v>
      </x:c>
      <x:c r="G5" s="121" t="n">
        <x:v>12</x:v>
      </x:c>
      <x:c r="H5" s="121" t="n">
        <x:v>0.5</x:v>
      </x:c>
      <x:c r="I5" s="121" t="n">
        <x:v>100</x:v>
      </x:c>
      <x:c r="J5" s="121" t="n">
        <x:v>70.5</x:v>
      </x:c>
      <x:c r="K5" s="121" t="n">
        <x:v>70.5</x:v>
      </x:c>
      <x:c r="L5" s="121" t="n">
        <x:v>8</x:v>
      </x:c>
      <x:c r="M5" s="121" t="n">
        <x:v>0.060000000000002274</x:v>
      </x:c>
      <x:c r="N5" s="121" t="n">
        <x:v>-4.439999999999998</x:v>
      </x:c>
      <x:c r="O5" s="121" t="n">
        <x:v>-4.439999999999998</x:v>
      </x:c>
      <x:c r="P5" s="121" t="n">
        <x:v>-1.3100000000000005</x:v>
      </x:c>
      <x:c r="Q5" s="121" t="n">
        <x:v>4.439999999999998</x:v>
      </x:c>
    </x:row>
    <x:row r="6">
      <x:c r="A6" t="n">
        <x:v>1000</x:v>
      </x:c>
      <x:c r="B6" t="n">
        <x:v>200</x:v>
      </x:c>
      <x:c r="C6" t="n">
        <x:v>20260707</x:v>
      </x:c>
      <x:c r="D6" t="str">
        <x:v>R1</x:v>
      </x:c>
      <x:c r="E6" t="str">
        <x:v>0–30</x:v>
      </x:c>
      <x:c r="F6" s="121" t="n">
        <x:v>0.625</x:v>
      </x:c>
      <x:c r="G6" s="121" t="n">
        <x:v>12</x:v>
      </x:c>
      <x:c r="H6" s="121" t="n">
        <x:v>1</x:v>
      </x:c>
      <x:c r="I6" s="121" t="n">
        <x:v>100</x:v>
      </x:c>
      <x:c r="J6" s="121" t="n">
        <x:v>70.5</x:v>
      </x:c>
      <x:c r="K6" s="121" t="n">
        <x:v>70.5</x:v>
      </x:c>
      <x:c r="L6" s="121" t="n">
        <x:v>8</x:v>
      </x:c>
      <x:c r="M6" s="121" t="n">
        <x:v>0.8599999999999994</x:v>
      </x:c>
      <x:c r="N6" s="121" t="n">
        <x:v>-4.439999999999998</x:v>
      </x:c>
      <x:c r="O6" s="121" t="n">
        <x:v>-4.439999999999998</x:v>
      </x:c>
      <x:c r="P6" s="121" t="n">
        <x:v>-1.3100000000000005</x:v>
      </x:c>
      <x:c r="Q6" s="121" t="n">
        <x:v>4.439999999999998</x:v>
      </x:c>
    </x:row>
    <x:row r="7">
      <x:c r="A7" t="n">
        <x:v>1000</x:v>
      </x:c>
      <x:c r="B7" t="n">
        <x:v>200</x:v>
      </x:c>
      <x:c r="C7" t="n">
        <x:v>20260707</x:v>
      </x:c>
      <x:c r="D7" t="str">
        <x:v>R1</x:v>
      </x:c>
      <x:c r="E7" t="str">
        <x:v>0–30</x:v>
      </x:c>
      <x:c r="F7" s="121" t="n">
        <x:v>0.625</x:v>
      </x:c>
      <x:c r="G7" s="121" t="n">
        <x:v>12</x:v>
      </x:c>
      <x:c r="H7" s="121" t="n">
        <x:v>2</x:v>
      </x:c>
      <x:c r="I7" s="121" t="n">
        <x:v>92</x:v>
      </x:c>
      <x:c r="J7" s="121" t="n">
        <x:v>70.5</x:v>
      </x:c>
      <x:c r="K7" s="121" t="n">
        <x:v>70.5</x:v>
      </x:c>
      <x:c r="L7" s="121" t="n">
        <x:v>8</x:v>
      </x:c>
      <x:c r="M7" s="121" t="n">
        <x:v>-0.09000000000000341</x:v>
      </x:c>
      <x:c r="N7" s="121" t="n">
        <x:v>-4.439999999999998</x:v>
      </x:c>
      <x:c r="O7" s="121" t="n">
        <x:v>-4.424999999999997</x:v>
      </x:c>
      <x:c r="P7" s="121" t="n">
        <x:v>-1.3100000000000005</x:v>
      </x:c>
      <x:c r="Q7" s="121" t="n">
        <x:v>4.424999999999997</x:v>
      </x:c>
    </x:row>
    <x:row r="8">
      <x:c r="A8" t="n">
        <x:v>1000</x:v>
      </x:c>
      <x:c r="B8" t="n">
        <x:v>200</x:v>
      </x:c>
      <x:c r="C8" t="n">
        <x:v>20260707</x:v>
      </x:c>
      <x:c r="D8" t="str">
        <x:v>R1</x:v>
      </x:c>
      <x:c r="E8" t="str">
        <x:v>0–30</x:v>
      </x:c>
      <x:c r="F8" s="121" t="n">
        <x:v>0.625</x:v>
      </x:c>
      <x:c r="G8" s="121" t="n">
        <x:v>12</x:v>
      </x:c>
      <x:c r="H8" s="121" t="n">
        <x:v>4</x:v>
      </x:c>
      <x:c r="I8" s="121" t="n">
        <x:v>66.5</x:v>
      </x:c>
      <x:c r="J8" s="121" t="n">
        <x:v>70.5</x:v>
      </x:c>
      <x:c r="K8" s="121" t="n">
        <x:v>63.5</x:v>
      </x:c>
      <x:c r="L8" s="121" t="n">
        <x:v>8</x:v>
      </x:c>
      <x:c r="M8" s="121" t="n">
        <x:v>-2.200000000000003</x:v>
      </x:c>
      <x:c r="N8" s="121" t="n">
        <x:v>-4.439999999999998</x:v>
      </x:c>
      <x:c r="O8" s="121" t="n">
        <x:v>-3.6599999999999966</x:v>
      </x:c>
      <x:c r="P8" s="121" t="n">
        <x:v>-1.3100000000000005</x:v>
      </x:c>
      <x:c r="Q8" s="121" t="n">
        <x:v>3.6599999999999966</x:v>
      </x:c>
    </x:row>
    <x:row r="9">
      <x:c r="A9" t="n">
        <x:v>1000</x:v>
      </x:c>
      <x:c r="B9" t="n">
        <x:v>200</x:v>
      </x:c>
      <x:c r="C9" t="n">
        <x:v>20260707</x:v>
      </x:c>
      <x:c r="D9" t="str">
        <x:v>R1</x:v>
      </x:c>
      <x:c r="E9" t="str">
        <x:v>0–30</x:v>
      </x:c>
      <x:c r="F9" s="121" t="n">
        <x:v>0.625</x:v>
      </x:c>
      <x:c r="G9" s="121" t="n">
        <x:v>12</x:v>
      </x:c>
      <x:c r="H9" s="121" t="n">
        <x:v>8</x:v>
      </x:c>
      <x:c r="I9" s="121" t="n">
        <x:v>32.5</x:v>
      </x:c>
      <x:c r="J9" s="121" t="n">
        <x:v>70.5</x:v>
      </x:c>
      <x:c r="K9" s="121" t="n">
        <x:v>32.5</x:v>
      </x:c>
      <x:c r="L9" s="121" t="n">
        <x:v>8</x:v>
      </x:c>
      <x:c r="M9" s="121" t="n">
        <x:v>-3.4849999999999994</x:v>
      </x:c>
      <x:c r="N9" s="121" t="n">
        <x:v>-4.439999999999998</x:v>
      </x:c>
      <x:c r="O9" s="121" t="n">
        <x:v>-3.4849999999999994</x:v>
      </x:c>
      <x:c r="P9" s="121" t="n">
        <x:v>-1.3100000000000005</x:v>
      </x:c>
      <x:c r="Q9" s="121" t="n">
        <x:v>3.4849999999999994</x:v>
      </x:c>
    </x:row>
    <x:row r="10">
      <x:c r="A10" t="n">
        <x:v>1000</x:v>
      </x:c>
      <x:c r="B10" t="n">
        <x:v>200</x:v>
      </x:c>
      <x:c r="C10" t="n">
        <x:v>20260707</x:v>
      </x:c>
      <x:c r="D10" t="str">
        <x:v>R1</x:v>
      </x:c>
      <x:c r="E10" t="str">
        <x:v>0–30</x:v>
      </x:c>
      <x:c r="F10" s="121" t="n">
        <x:v>0.625</x:v>
      </x:c>
      <x:c r="G10" s="121" t="n">
        <x:v>12</x:v>
      </x:c>
      <x:c r="H10" s="121" t="n">
        <x:v>16</x:v>
      </x:c>
      <x:c r="I10" s="121" t="n">
        <x:v>12.5</x:v>
      </x:c>
      <x:c r="J10" s="121" t="n">
        <x:v>70.5</x:v>
      </x:c>
      <x:c r="K10" s="121" t="n">
        <x:v>12.5</x:v>
      </x:c>
      <x:c r="L10" s="121" t="n">
        <x:v>8</x:v>
      </x:c>
      <x:c r="M10" s="121" t="n">
        <x:v>-2.1400000000000006</x:v>
      </x:c>
      <x:c r="N10" s="121" t="n">
        <x:v>-4.439999999999998</x:v>
      </x:c>
      <x:c r="O10" s="121" t="n">
        <x:v>-2.1400000000000006</x:v>
      </x:c>
      <x:c r="P10" s="121" t="n">
        <x:v>-1.3100000000000005</x:v>
      </x:c>
      <x:c r="Q10" s="121" t="n">
        <x:v>2.1400000000000006</x:v>
      </x:c>
    </x:row>
    <x:row r="11">
      <x:c r="A11" t="n">
        <x:v>1000</x:v>
      </x:c>
      <x:c r="B11" t="n">
        <x:v>200</x:v>
      </x:c>
      <x:c r="C11" t="n">
        <x:v>20260707</x:v>
      </x:c>
      <x:c r="D11" t="str">
        <x:v>R1</x:v>
      </x:c>
      <x:c r="E11" t="str">
        <x:v>0–30</x:v>
      </x:c>
      <x:c r="F11" s="121" t="n">
        <x:v>0.625</x:v>
      </x:c>
      <x:c r="G11" s="121" t="n">
        <x:v>12</x:v>
      </x:c>
      <x:c r="H11" s="121" t="n">
        <x:v>32</x:v>
      </x:c>
      <x:c r="I11" s="121" t="n">
        <x:v>5</x:v>
      </x:c>
      <x:c r="J11" s="121" t="n">
        <x:v>70.5</x:v>
      </x:c>
      <x:c r="K11" s="121" t="n">
        <x:v>5</x:v>
      </x:c>
      <x:c r="L11" s="121" t="n">
        <x:v>8</x:v>
      </x:c>
      <x:c r="M11" s="121" t="n">
        <x:v>-0.2999999999999998</x:v>
      </x:c>
      <x:c r="N11" s="121" t="n">
        <x:v>-4.439999999999998</x:v>
      </x:c>
      <x:c r="O11" s="121" t="n">
        <x:v>-0.2999999999999998</x:v>
      </x:c>
      <x:c r="P11" s="121" t="n">
        <x:v>-1.3100000000000005</x:v>
      </x:c>
      <x:c r="Q11" s="121" t="n">
        <x:v>0.2999999999999998</x:v>
      </x:c>
    </x:row>
    <x:row r="12">
      <x:c r="A12" t="n">
        <x:v>1000</x:v>
      </x:c>
      <x:c r="B12" t="n">
        <x:v>200</x:v>
      </x:c>
      <x:c r="C12" t="n">
        <x:v>20260707</x:v>
      </x:c>
      <x:c r="D12" t="str">
        <x:v>R1</x:v>
      </x:c>
      <x:c r="E12" t="str">
        <x:v>0–30</x:v>
      </x:c>
      <x:c r="F12" s="121" t="n">
        <x:v>0.625</x:v>
      </x:c>
      <x:c r="G12" s="121" t="n">
        <x:v>12</x:v>
      </x:c>
      <x:c r="H12" s="121" t="n">
        <x:v>64</x:v>
      </x:c>
      <x:c r="I12" s="121" t="n">
        <x:v>0.5</x:v>
      </x:c>
      <x:c r="J12" s="121" t="n">
        <x:v>70.5</x:v>
      </x:c>
      <x:c r="K12" s="121" t="n">
        <x:v>0.5</x:v>
      </x:c>
      <x:c r="L12" s="121" t="n">
        <x:v>8</x:v>
      </x:c>
      <x:c r="M12" s="121" t="n">
        <x:v>-1.5350000000000001</x:v>
      </x:c>
      <x:c r="N12" s="121" t="n">
        <x:v>-4.439999999999998</x:v>
      </x:c>
      <x:c r="O12" s="121" t="n">
        <x:v>-1.5350000000000001</x:v>
      </x:c>
      <x:c r="P12" s="121" t="n">
        <x:v>-1.3100000000000005</x:v>
      </x:c>
      <x:c r="Q12" s="121" t="n">
        <x:v>1.5350000000000001</x:v>
      </x:c>
    </x:row>
    <x:row r="13">
      <x:c r="A13" t="n">
        <x:v>1000</x:v>
      </x:c>
      <x:c r="B13" t="n">
        <x:v>200</x:v>
      </x:c>
      <x:c r="C13" t="n">
        <x:v>20260707</x:v>
      </x:c>
      <x:c r="D13" t="str">
        <x:v>R2</x:v>
      </x:c>
      <x:c r="E13" t="str">
        <x:v>0–30</x:v>
      </x:c>
      <x:c r="F13" s="121" t="n">
        <x:v>0.625</x:v>
      </x:c>
      <x:c r="G13" s="121" t="n">
        <x:v>8</x:v>
      </x:c>
      <x:c r="H13" s="121" t="n">
        <x:v>0.0625</x:v>
      </x:c>
      <x:c r="I13" s="121" t="n">
        <x:v>100</x:v>
      </x:c>
      <x:c r="J13" s="121" t="n">
        <x:v>85</x:v>
      </x:c>
      <x:c r="K13" s="121" t="n">
        <x:v>85</x:v>
      </x:c>
      <x:c r="L13" s="121" t="n">
        <x:v>15.5</x:v>
      </x:c>
      <x:c r="M13" s="121" t="n">
        <x:v>0</x:v>
      </x:c>
      <x:c r="N13" s="121" t="n">
        <x:v>-2.4299999999999926</x:v>
      </x:c>
      <x:c r="O13" s="121" t="n">
        <x:v>-2.4299999999999926</x:v>
      </x:c>
      <x:c r="P13" s="121" t="n">
        <x:v>-0.7200000000000024</x:v>
      </x:c>
      <x:c r="Q13" s="121" t="n">
        <x:v>2.4299999999999926</x:v>
      </x:c>
    </x:row>
    <x:row r="14">
      <x:c r="A14" t="n">
        <x:v>1000</x:v>
      </x:c>
      <x:c r="B14" t="n">
        <x:v>200</x:v>
      </x:c>
      <x:c r="C14" t="n">
        <x:v>20260707</x:v>
      </x:c>
      <x:c r="D14" t="str">
        <x:v>R2</x:v>
      </x:c>
      <x:c r="E14" t="str">
        <x:v>0–30</x:v>
      </x:c>
      <x:c r="F14" s="121" t="n">
        <x:v>0.625</x:v>
      </x:c>
      <x:c r="G14" s="121" t="n">
        <x:v>8</x:v>
      </x:c>
      <x:c r="H14" s="121" t="n">
        <x:v>0.125</x:v>
      </x:c>
      <x:c r="I14" s="121" t="n">
        <x:v>100</x:v>
      </x:c>
      <x:c r="J14" s="121" t="n">
        <x:v>85</x:v>
      </x:c>
      <x:c r="K14" s="121" t="n">
        <x:v>85</x:v>
      </x:c>
      <x:c r="L14" s="121" t="n">
        <x:v>15.5</x:v>
      </x:c>
      <x:c r="M14" s="121" t="n">
        <x:v>0</x:v>
      </x:c>
      <x:c r="N14" s="121" t="n">
        <x:v>-2.4299999999999926</x:v>
      </x:c>
      <x:c r="O14" s="121" t="n">
        <x:v>-2.4299999999999926</x:v>
      </x:c>
      <x:c r="P14" s="121" t="n">
        <x:v>-0.7200000000000024</x:v>
      </x:c>
      <x:c r="Q14" s="121" t="n">
        <x:v>2.4299999999999926</x:v>
      </x:c>
    </x:row>
    <x:row r="15">
      <x:c r="A15" t="n">
        <x:v>1000</x:v>
      </x:c>
      <x:c r="B15" t="n">
        <x:v>200</x:v>
      </x:c>
      <x:c r="C15" t="n">
        <x:v>20260707</x:v>
      </x:c>
      <x:c r="D15" t="str">
        <x:v>R2</x:v>
      </x:c>
      <x:c r="E15" t="str">
        <x:v>0–30</x:v>
      </x:c>
      <x:c r="F15" s="121" t="n">
        <x:v>0.625</x:v>
      </x:c>
      <x:c r="G15" s="121" t="n">
        <x:v>8</x:v>
      </x:c>
      <x:c r="H15" s="121" t="n">
        <x:v>0.25</x:v>
      </x:c>
      <x:c r="I15" s="121" t="n">
        <x:v>100</x:v>
      </x:c>
      <x:c r="J15" s="121" t="n">
        <x:v>85</x:v>
      </x:c>
      <x:c r="K15" s="121" t="n">
        <x:v>85</x:v>
      </x:c>
      <x:c r="L15" s="121" t="n">
        <x:v>15.5</x:v>
      </x:c>
      <x:c r="M15" s="121" t="n">
        <x:v>0</x:v>
      </x:c>
      <x:c r="N15" s="121" t="n">
        <x:v>-2.4299999999999926</x:v>
      </x:c>
      <x:c r="O15" s="121" t="n">
        <x:v>-2.4299999999999926</x:v>
      </x:c>
      <x:c r="P15" s="121" t="n">
        <x:v>-0.7200000000000024</x:v>
      </x:c>
      <x:c r="Q15" s="121" t="n">
        <x:v>2.4299999999999926</x:v>
      </x:c>
    </x:row>
    <x:row r="16">
      <x:c r="A16" t="n">
        <x:v>1000</x:v>
      </x:c>
      <x:c r="B16" t="n">
        <x:v>200</x:v>
      </x:c>
      <x:c r="C16" t="n">
        <x:v>20260707</x:v>
      </x:c>
      <x:c r="D16" t="str">
        <x:v>R2</x:v>
      </x:c>
      <x:c r="E16" t="str">
        <x:v>0–30</x:v>
      </x:c>
      <x:c r="F16" s="121" t="n">
        <x:v>0.625</x:v>
      </x:c>
      <x:c r="G16" s="121" t="n">
        <x:v>8</x:v>
      </x:c>
      <x:c r="H16" s="121" t="n">
        <x:v>0.5</x:v>
      </x:c>
      <x:c r="I16" s="121" t="n">
        <x:v>100</x:v>
      </x:c>
      <x:c r="J16" s="121" t="n">
        <x:v>85</x:v>
      </x:c>
      <x:c r="K16" s="121" t="n">
        <x:v>85</x:v>
      </x:c>
      <x:c r="L16" s="121" t="n">
        <x:v>15.5</x:v>
      </x:c>
      <x:c r="M16" s="121" t="n">
        <x:v>0</x:v>
      </x:c>
      <x:c r="N16" s="121" t="n">
        <x:v>-2.4299999999999926</x:v>
      </x:c>
      <x:c r="O16" s="121" t="n">
        <x:v>-2.4299999999999926</x:v>
      </x:c>
      <x:c r="P16" s="121" t="n">
        <x:v>-0.7200000000000024</x:v>
      </x:c>
      <x:c r="Q16" s="121" t="n">
        <x:v>2.4299999999999926</x:v>
      </x:c>
    </x:row>
    <x:row r="17">
      <x:c r="A17" t="n">
        <x:v>1000</x:v>
      </x:c>
      <x:c r="B17" t="n">
        <x:v>200</x:v>
      </x:c>
      <x:c r="C17" t="n">
        <x:v>20260707</x:v>
      </x:c>
      <x:c r="D17" t="str">
        <x:v>R2</x:v>
      </x:c>
      <x:c r="E17" t="str">
        <x:v>0–30</x:v>
      </x:c>
      <x:c r="F17" s="121" t="n">
        <x:v>0.625</x:v>
      </x:c>
      <x:c r="G17" s="121" t="n">
        <x:v>8</x:v>
      </x:c>
      <x:c r="H17" s="121" t="n">
        <x:v>1</x:v>
      </x:c>
      <x:c r="I17" s="121" t="n">
        <x:v>100</x:v>
      </x:c>
      <x:c r="J17" s="121" t="n">
        <x:v>85</x:v>
      </x:c>
      <x:c r="K17" s="121" t="n">
        <x:v>85</x:v>
      </x:c>
      <x:c r="L17" s="121" t="n">
        <x:v>15.5</x:v>
      </x:c>
      <x:c r="M17" s="121" t="n">
        <x:v>0.12000000000000455</x:v>
      </x:c>
      <x:c r="N17" s="121" t="n">
        <x:v>-2.4299999999999926</x:v>
      </x:c>
      <x:c r="O17" s="121" t="n">
        <x:v>-2.4299999999999926</x:v>
      </x:c>
      <x:c r="P17" s="121" t="n">
        <x:v>-0.7200000000000024</x:v>
      </x:c>
      <x:c r="Q17" s="121" t="n">
        <x:v>2.4299999999999926</x:v>
      </x:c>
    </x:row>
    <x:row r="18">
      <x:c r="A18" t="n">
        <x:v>1000</x:v>
      </x:c>
      <x:c r="B18" t="n">
        <x:v>200</x:v>
      </x:c>
      <x:c r="C18" t="n">
        <x:v>20260707</x:v>
      </x:c>
      <x:c r="D18" t="str">
        <x:v>R2</x:v>
      </x:c>
      <x:c r="E18" t="str">
        <x:v>0–30</x:v>
      </x:c>
      <x:c r="F18" s="121" t="n">
        <x:v>0.625</x:v>
      </x:c>
      <x:c r="G18" s="121" t="n">
        <x:v>8</x:v>
      </x:c>
      <x:c r="H18" s="121" t="n">
        <x:v>2</x:v>
      </x:c>
      <x:c r="I18" s="121" t="n">
        <x:v>99</x:v>
      </x:c>
      <x:c r="J18" s="121" t="n">
        <x:v>85</x:v>
      </x:c>
      <x:c r="K18" s="121" t="n">
        <x:v>85</x:v>
      </x:c>
      <x:c r="L18" s="121" t="n">
        <x:v>15.5</x:v>
      </x:c>
      <x:c r="M18" s="121" t="n">
        <x:v>1.3649999999999949</x:v>
      </x:c>
      <x:c r="N18" s="121" t="n">
        <x:v>-2.4299999999999926</x:v>
      </x:c>
      <x:c r="O18" s="121" t="n">
        <x:v>-2.4299999999999926</x:v>
      </x:c>
      <x:c r="P18" s="121" t="n">
        <x:v>-0.7200000000000024</x:v>
      </x:c>
      <x:c r="Q18" s="121" t="n">
        <x:v>2.4299999999999926</x:v>
      </x:c>
    </x:row>
    <x:row r="19">
      <x:c r="A19" t="n">
        <x:v>1000</x:v>
      </x:c>
      <x:c r="B19" t="n">
        <x:v>200</x:v>
      </x:c>
      <x:c r="C19" t="n">
        <x:v>20260707</x:v>
      </x:c>
      <x:c r="D19" t="str">
        <x:v>R2</x:v>
      </x:c>
      <x:c r="E19" t="str">
        <x:v>0–30</x:v>
      </x:c>
      <x:c r="F19" s="121" t="n">
        <x:v>0.625</x:v>
      </x:c>
      <x:c r="G19" s="121" t="n">
        <x:v>8</x:v>
      </x:c>
      <x:c r="H19" s="121" t="n">
        <x:v>4</x:v>
      </x:c>
      <x:c r="I19" s="121" t="n">
        <x:v>82.5</x:v>
      </x:c>
      <x:c r="J19" s="121" t="n">
        <x:v>85</x:v>
      </x:c>
      <x:c r="K19" s="121" t="n">
        <x:v>79.5</x:v>
      </x:c>
      <x:c r="L19" s="121" t="n">
        <x:v>15.5</x:v>
      </x:c>
      <x:c r="M19" s="121" t="n">
        <x:v>-2.0799999999999983</x:v>
      </x:c>
      <x:c r="N19" s="121" t="n">
        <x:v>-2.4299999999999926</x:v>
      </x:c>
      <x:c r="O19" s="121" t="n">
        <x:v>-3.644999999999996</x:v>
      </x:c>
      <x:c r="P19" s="121" t="n">
        <x:v>-0.7200000000000024</x:v>
      </x:c>
      <x:c r="Q19" s="121" t="n">
        <x:v>3.644999999999996</x:v>
      </x:c>
    </x:row>
    <x:row r="20">
      <x:c r="A20" t="n">
        <x:v>1000</x:v>
      </x:c>
      <x:c r="B20" t="n">
        <x:v>200</x:v>
      </x:c>
      <x:c r="C20" t="n">
        <x:v>20260707</x:v>
      </x:c>
      <x:c r="D20" t="str">
        <x:v>R2</x:v>
      </x:c>
      <x:c r="E20" t="str">
        <x:v>0–30</x:v>
      </x:c>
      <x:c r="F20" s="121" t="n">
        <x:v>0.625</x:v>
      </x:c>
      <x:c r="G20" s="121" t="n">
        <x:v>8</x:v>
      </x:c>
      <x:c r="H20" s="121" t="n">
        <x:v>8</x:v>
      </x:c>
      <x:c r="I20" s="121" t="n">
        <x:v>50.5</x:v>
      </x:c>
      <x:c r="J20" s="121" t="n">
        <x:v>85</x:v>
      </x:c>
      <x:c r="K20" s="121" t="n">
        <x:v>50.5</x:v>
      </x:c>
      <x:c r="L20" s="121" t="n">
        <x:v>15.5</x:v>
      </x:c>
      <x:c r="M20" s="121" t="n">
        <x:v>-4.205000000000005</x:v>
      </x:c>
      <x:c r="N20" s="121" t="n">
        <x:v>-2.4299999999999926</x:v>
      </x:c>
      <x:c r="O20" s="121" t="n">
        <x:v>-4.205000000000005</x:v>
      </x:c>
      <x:c r="P20" s="121" t="n">
        <x:v>-0.7200000000000024</x:v>
      </x:c>
      <x:c r="Q20" s="121" t="n">
        <x:v>4.205000000000005</x:v>
      </x:c>
    </x:row>
    <x:row r="21">
      <x:c r="A21" t="n">
        <x:v>1000</x:v>
      </x:c>
      <x:c r="B21" t="n">
        <x:v>200</x:v>
      </x:c>
      <x:c r="C21" t="n">
        <x:v>20260707</x:v>
      </x:c>
      <x:c r="D21" t="str">
        <x:v>R2</x:v>
      </x:c>
      <x:c r="E21" t="str">
        <x:v>0–30</x:v>
      </x:c>
      <x:c r="F21" s="121" t="n">
        <x:v>0.625</x:v>
      </x:c>
      <x:c r="G21" s="121" t="n">
        <x:v>8</x:v>
      </x:c>
      <x:c r="H21" s="121" t="n">
        <x:v>16</x:v>
      </x:c>
      <x:c r="I21" s="121" t="n">
        <x:v>23.5</x:v>
      </x:c>
      <x:c r="J21" s="121" t="n">
        <x:v>85</x:v>
      </x:c>
      <x:c r="K21" s="121" t="n">
        <x:v>23.5</x:v>
      </x:c>
      <x:c r="L21" s="121" t="n">
        <x:v>15.5</x:v>
      </x:c>
      <x:c r="M21" s="121" t="n">
        <x:v>-1.490000000000002</x:v>
      </x:c>
      <x:c r="N21" s="121" t="n">
        <x:v>-2.4299999999999926</x:v>
      </x:c>
      <x:c r="O21" s="121" t="n">
        <x:v>-1.490000000000002</x:v>
      </x:c>
      <x:c r="P21" s="121" t="n">
        <x:v>-0.7200000000000024</x:v>
      </x:c>
      <x:c r="Q21" s="121" t="n">
        <x:v>1.490000000000002</x:v>
      </x:c>
    </x:row>
    <x:row r="22">
      <x:c r="A22" t="n">
        <x:v>1000</x:v>
      </x:c>
      <x:c r="B22" t="n">
        <x:v>200</x:v>
      </x:c>
      <x:c r="C22" t="n">
        <x:v>20260707</x:v>
      </x:c>
      <x:c r="D22" t="str">
        <x:v>R2</x:v>
      </x:c>
      <x:c r="E22" t="str">
        <x:v>0–30</x:v>
      </x:c>
      <x:c r="F22" s="121" t="n">
        <x:v>0.625</x:v>
      </x:c>
      <x:c r="G22" s="121" t="n">
        <x:v>8</x:v>
      </x:c>
      <x:c r="H22" s="121" t="n">
        <x:v>32</x:v>
      </x:c>
      <x:c r="I22" s="121" t="n">
        <x:v>8</x:v>
      </x:c>
      <x:c r="J22" s="121" t="n">
        <x:v>85</x:v>
      </x:c>
      <x:c r="K22" s="121" t="n">
        <x:v>8</x:v>
      </x:c>
      <x:c r="L22" s="121" t="n">
        <x:v>15.5</x:v>
      </x:c>
      <x:c r="M22" s="121" t="n">
        <x:v>-1.825000000000001</x:v>
      </x:c>
      <x:c r="N22" s="121" t="n">
        <x:v>-2.4299999999999926</x:v>
      </x:c>
      <x:c r="O22" s="121" t="n">
        <x:v>-1.825000000000001</x:v>
      </x:c>
      <x:c r="P22" s="121" t="n">
        <x:v>-0.7200000000000024</x:v>
      </x:c>
      <x:c r="Q22" s="121" t="n">
        <x:v>1.825000000000001</x:v>
      </x:c>
    </x:row>
    <x:row r="23">
      <x:c r="A23" t="n">
        <x:v>1000</x:v>
      </x:c>
      <x:c r="B23" t="n">
        <x:v>200</x:v>
      </x:c>
      <x:c r="C23" t="n">
        <x:v>20260707</x:v>
      </x:c>
      <x:c r="D23" t="str">
        <x:v>R2</x:v>
      </x:c>
      <x:c r="E23" t="str">
        <x:v>0–30</x:v>
      </x:c>
      <x:c r="F23" s="121" t="n">
        <x:v>0.625</x:v>
      </x:c>
      <x:c r="G23" s="121" t="n">
        <x:v>8</x:v>
      </x:c>
      <x:c r="H23" s="121" t="n">
        <x:v>64</x:v>
      </x:c>
      <x:c r="I23" s="121" t="n">
        <x:v>4</x:v>
      </x:c>
      <x:c r="J23" s="121" t="n">
        <x:v>85</x:v>
      </x:c>
      <x:c r="K23" s="121" t="n">
        <x:v>4</x:v>
      </x:c>
      <x:c r="L23" s="121" t="n">
        <x:v>15.5</x:v>
      </x:c>
      <x:c r="M23" s="121" t="n">
        <x:v>0.3700000000000001</x:v>
      </x:c>
      <x:c r="N23" s="121" t="n">
        <x:v>-2.4299999999999926</x:v>
      </x:c>
      <x:c r="O23" s="121" t="n">
        <x:v>0.3700000000000001</x:v>
      </x:c>
      <x:c r="P23" s="121" t="n">
        <x:v>-0.7200000000000024</x:v>
      </x:c>
      <x:c r="Q23" s="121" t="n">
        <x:v>0.3700000000000001</x:v>
      </x:c>
    </x:row>
    <x:row r="24">
      <x:c r="A24" t="n">
        <x:v>1000</x:v>
      </x:c>
      <x:c r="B24" t="n">
        <x:v>200</x:v>
      </x:c>
      <x:c r="C24" t="n">
        <x:v>20260707</x:v>
      </x:c>
      <x:c r="D24" t="str">
        <x:v>R5</x:v>
      </x:c>
      <x:c r="E24" t="str">
        <x:v>31–60</x:v>
      </x:c>
      <x:c r="F24" s="121" t="n">
        <x:v>0.625</x:v>
      </x:c>
      <x:c r="G24" s="121" t="n">
        <x:v>8</x:v>
      </x:c>
      <x:c r="H24" s="121" t="n">
        <x:v>0.0625</x:v>
      </x:c>
      <x:c r="I24" s="121" t="n">
        <x:v>100</x:v>
      </x:c>
      <x:c r="J24" s="121" t="n">
        <x:v>45</x:v>
      </x:c>
      <x:c r="K24" s="121" t="n">
        <x:v>45</x:v>
      </x:c>
      <x:c r="L24" s="121" t="n">
        <x:v>0.5</x:v>
      </x:c>
      <x:c r="M24" s="121" t="n">
        <x:v>0</x:v>
      </x:c>
      <x:c r="N24" s="121" t="n">
        <x:v>0.035000000000003695</x:v>
      </x:c>
      <x:c r="O24" s="121" t="n">
        <x:v>0.035000000000003695</x:v>
      </x:c>
      <x:c r="P24" s="121" t="n">
        <x:v>0.255</x:v>
      </x:c>
      <x:c r="Q24" s="121" t="n">
        <x:v>0.035000000000003695</x:v>
      </x:c>
    </x:row>
    <x:row r="25">
      <x:c r="A25" t="n">
        <x:v>1000</x:v>
      </x:c>
      <x:c r="B25" t="n">
        <x:v>200</x:v>
      </x:c>
      <x:c r="C25" t="n">
        <x:v>20260707</x:v>
      </x:c>
      <x:c r="D25" t="str">
        <x:v>R5</x:v>
      </x:c>
      <x:c r="E25" t="str">
        <x:v>31–60</x:v>
      </x:c>
      <x:c r="F25" s="121" t="n">
        <x:v>0.625</x:v>
      </x:c>
      <x:c r="G25" s="121" t="n">
        <x:v>8</x:v>
      </x:c>
      <x:c r="H25" s="121" t="n">
        <x:v>0.125</x:v>
      </x:c>
      <x:c r="I25" s="121" t="n">
        <x:v>100</x:v>
      </x:c>
      <x:c r="J25" s="121" t="n">
        <x:v>45</x:v>
      </x:c>
      <x:c r="K25" s="121" t="n">
        <x:v>45</x:v>
      </x:c>
      <x:c r="L25" s="121" t="n">
        <x:v>0.5</x:v>
      </x:c>
      <x:c r="M25" s="121" t="n">
        <x:v>0</x:v>
      </x:c>
      <x:c r="N25" s="121" t="n">
        <x:v>0.035000000000003695</x:v>
      </x:c>
      <x:c r="O25" s="121" t="n">
        <x:v>0.035000000000003695</x:v>
      </x:c>
      <x:c r="P25" s="121" t="n">
        <x:v>0.255</x:v>
      </x:c>
      <x:c r="Q25" s="121" t="n">
        <x:v>0.035000000000003695</x:v>
      </x:c>
    </x:row>
    <x:row r="26">
      <x:c r="A26" t="n">
        <x:v>1000</x:v>
      </x:c>
      <x:c r="B26" t="n">
        <x:v>200</x:v>
      </x:c>
      <x:c r="C26" t="n">
        <x:v>20260707</x:v>
      </x:c>
      <x:c r="D26" t="str">
        <x:v>R5</x:v>
      </x:c>
      <x:c r="E26" t="str">
        <x:v>31–60</x:v>
      </x:c>
      <x:c r="F26" s="121" t="n">
        <x:v>0.625</x:v>
      </x:c>
      <x:c r="G26" s="121" t="n">
        <x:v>8</x:v>
      </x:c>
      <x:c r="H26" s="121" t="n">
        <x:v>0.25</x:v>
      </x:c>
      <x:c r="I26" s="121" t="n">
        <x:v>100</x:v>
      </x:c>
      <x:c r="J26" s="121" t="n">
        <x:v>45</x:v>
      </x:c>
      <x:c r="K26" s="121" t="n">
        <x:v>45</x:v>
      </x:c>
      <x:c r="L26" s="121" t="n">
        <x:v>0.5</x:v>
      </x:c>
      <x:c r="M26" s="121" t="n">
        <x:v>0</x:v>
      </x:c>
      <x:c r="N26" s="121" t="n">
        <x:v>0.035000000000003695</x:v>
      </x:c>
      <x:c r="O26" s="121" t="n">
        <x:v>0.035000000000003695</x:v>
      </x:c>
      <x:c r="P26" s="121" t="n">
        <x:v>0.255</x:v>
      </x:c>
      <x:c r="Q26" s="121" t="n">
        <x:v>0.035000000000003695</x:v>
      </x:c>
    </x:row>
    <x:row r="27">
      <x:c r="A27" t="n">
        <x:v>1000</x:v>
      </x:c>
      <x:c r="B27" t="n">
        <x:v>200</x:v>
      </x:c>
      <x:c r="C27" t="n">
        <x:v>20260707</x:v>
      </x:c>
      <x:c r="D27" t="str">
        <x:v>R5</x:v>
      </x:c>
      <x:c r="E27" t="str">
        <x:v>31–60</x:v>
      </x:c>
      <x:c r="F27" s="121" t="n">
        <x:v>0.625</x:v>
      </x:c>
      <x:c r="G27" s="121" t="n">
        <x:v>8</x:v>
      </x:c>
      <x:c r="H27" s="121" t="n">
        <x:v>0.5</x:v>
      </x:c>
      <x:c r="I27" s="121" t="n">
        <x:v>100</x:v>
      </x:c>
      <x:c r="J27" s="121" t="n">
        <x:v>45</x:v>
      </x:c>
      <x:c r="K27" s="121" t="n">
        <x:v>45</x:v>
      </x:c>
      <x:c r="L27" s="121" t="n">
        <x:v>0.5</x:v>
      </x:c>
      <x:c r="M27" s="121" t="n">
        <x:v>0.06499999999999773</x:v>
      </x:c>
      <x:c r="N27" s="121" t="n">
        <x:v>0.035000000000003695</x:v>
      </x:c>
      <x:c r="O27" s="121" t="n">
        <x:v>0.035000000000003695</x:v>
      </x:c>
      <x:c r="P27" s="121" t="n">
        <x:v>0.255</x:v>
      </x:c>
      <x:c r="Q27" s="121" t="n">
        <x:v>0.035000000000003695</x:v>
      </x:c>
    </x:row>
    <x:row r="28">
      <x:c r="A28" t="n">
        <x:v>1000</x:v>
      </x:c>
      <x:c r="B28" t="n">
        <x:v>200</x:v>
      </x:c>
      <x:c r="C28" t="n">
        <x:v>20260707</x:v>
      </x:c>
      <x:c r="D28" t="str">
        <x:v>R5</x:v>
      </x:c>
      <x:c r="E28" t="str">
        <x:v>31–60</x:v>
      </x:c>
      <x:c r="F28" s="121" t="n">
        <x:v>0.625</x:v>
      </x:c>
      <x:c r="G28" s="121" t="n">
        <x:v>8</x:v>
      </x:c>
      <x:c r="H28" s="121" t="n">
        <x:v>1</x:v>
      </x:c>
      <x:c r="I28" s="121" t="n">
        <x:v>98.5</x:v>
      </x:c>
      <x:c r="J28" s="121" t="n">
        <x:v>45</x:v>
      </x:c>
      <x:c r="K28" s="121" t="n">
        <x:v>45</x:v>
      </x:c>
      <x:c r="L28" s="121" t="n">
        <x:v>0.5</x:v>
      </x:c>
      <x:c r="M28" s="121" t="n">
        <x:v>0.625</x:v>
      </x:c>
      <x:c r="N28" s="121" t="n">
        <x:v>0.035000000000003695</x:v>
      </x:c>
      <x:c r="O28" s="121" t="n">
        <x:v>0.035000000000003695</x:v>
      </x:c>
      <x:c r="P28" s="121" t="n">
        <x:v>0.255</x:v>
      </x:c>
      <x:c r="Q28" s="121" t="n">
        <x:v>0.035000000000003695</x:v>
      </x:c>
    </x:row>
    <x:row r="29">
      <x:c r="A29" t="n">
        <x:v>1000</x:v>
      </x:c>
      <x:c r="B29" t="n">
        <x:v>200</x:v>
      </x:c>
      <x:c r="C29" t="n">
        <x:v>20260707</x:v>
      </x:c>
      <x:c r="D29" t="str">
        <x:v>R5</x:v>
      </x:c>
      <x:c r="E29" t="str">
        <x:v>31–60</x:v>
      </x:c>
      <x:c r="F29" s="121" t="n">
        <x:v>0.625</x:v>
      </x:c>
      <x:c r="G29" s="121" t="n">
        <x:v>8</x:v>
      </x:c>
      <x:c r="H29" s="121" t="n">
        <x:v>2</x:v>
      </x:c>
      <x:c r="I29" s="121" t="n">
        <x:v>82</x:v>
      </x:c>
      <x:c r="J29" s="121" t="n">
        <x:v>45</x:v>
      </x:c>
      <x:c r="K29" s="121" t="n">
        <x:v>45</x:v>
      </x:c>
      <x:c r="L29" s="121" t="n">
        <x:v>0.5</x:v>
      </x:c>
      <x:c r="M29" s="121" t="n">
        <x:v>-0.75</x:v>
      </x:c>
      <x:c r="N29" s="121" t="n">
        <x:v>0.035000000000003695</x:v>
      </x:c>
      <x:c r="O29" s="121" t="n">
        <x:v>0.035000000000003695</x:v>
      </x:c>
      <x:c r="P29" s="121" t="n">
        <x:v>0.255</x:v>
      </x:c>
      <x:c r="Q29" s="121" t="n">
        <x:v>0.035000000000003695</x:v>
      </x:c>
    </x:row>
    <x:row r="30">
      <x:c r="A30" t="n">
        <x:v>1000</x:v>
      </x:c>
      <x:c r="B30" t="n">
        <x:v>200</x:v>
      </x:c>
      <x:c r="C30" t="n">
        <x:v>20260707</x:v>
      </x:c>
      <x:c r="D30" t="str">
        <x:v>R5</x:v>
      </x:c>
      <x:c r="E30" t="str">
        <x:v>31–60</x:v>
      </x:c>
      <x:c r="F30" s="121" t="n">
        <x:v>0.625</x:v>
      </x:c>
      <x:c r="G30" s="121" t="n">
        <x:v>8</x:v>
      </x:c>
      <x:c r="H30" s="121" t="n">
        <x:v>4</x:v>
      </x:c>
      <x:c r="I30" s="121" t="n">
        <x:v>43.5</x:v>
      </x:c>
      <x:c r="J30" s="121" t="n">
        <x:v>45</x:v>
      </x:c>
      <x:c r="K30" s="121" t="n">
        <x:v>38</x:v>
      </x:c>
      <x:c r="L30" s="121" t="n">
        <x:v>0.5</x:v>
      </x:c>
      <x:c r="M30" s="121" t="n">
        <x:v>-0.8449999999999989</x:v>
      </x:c>
      <x:c r="N30" s="121" t="n">
        <x:v>0.035000000000003695</x:v>
      </x:c>
      <x:c r="O30" s="121" t="n">
        <x:v>-1.2800000000000011</x:v>
      </x:c>
      <x:c r="P30" s="121" t="n">
        <x:v>0.255</x:v>
      </x:c>
      <x:c r="Q30" s="121" t="n">
        <x:v>1.2800000000000011</x:v>
      </x:c>
    </x:row>
    <x:row r="31">
      <x:c r="A31" t="n">
        <x:v>1000</x:v>
      </x:c>
      <x:c r="B31" t="n">
        <x:v>200</x:v>
      </x:c>
      <x:c r="C31" t="n">
        <x:v>20260707</x:v>
      </x:c>
      <x:c r="D31" t="str">
        <x:v>R5</x:v>
      </x:c>
      <x:c r="E31" t="str">
        <x:v>31–60</x:v>
      </x:c>
      <x:c r="F31" s="121" t="n">
        <x:v>0.625</x:v>
      </x:c>
      <x:c r="G31" s="121" t="n">
        <x:v>8</x:v>
      </x:c>
      <x:c r="H31" s="121" t="n">
        <x:v>8</x:v>
      </x:c>
      <x:c r="I31" s="121" t="n">
        <x:v>13.5</x:v>
      </x:c>
      <x:c r="J31" s="121" t="n">
        <x:v>45</x:v>
      </x:c>
      <x:c r="K31" s="121" t="n">
        <x:v>13.5</x:v>
      </x:c>
      <x:c r="L31" s="121" t="n">
        <x:v>0.5</x:v>
      </x:c>
      <x:c r="M31" s="121" t="n">
        <x:v>3.1799999999999997</x:v>
      </x:c>
      <x:c r="N31" s="121" t="n">
        <x:v>0.035000000000003695</x:v>
      </x:c>
      <x:c r="O31" s="121" t="n">
        <x:v>3.1799999999999997</x:v>
      </x:c>
      <x:c r="P31" s="121" t="n">
        <x:v>0.255</x:v>
      </x:c>
      <x:c r="Q31" s="121" t="n">
        <x:v>3.1799999999999997</x:v>
      </x:c>
    </x:row>
    <x:row r="32">
      <x:c r="A32" t="n">
        <x:v>1000</x:v>
      </x:c>
      <x:c r="B32" t="n">
        <x:v>200</x:v>
      </x:c>
      <x:c r="C32" t="n">
        <x:v>20260707</x:v>
      </x:c>
      <x:c r="D32" t="str">
        <x:v>R5</x:v>
      </x:c>
      <x:c r="E32" t="str">
        <x:v>31–60</x:v>
      </x:c>
      <x:c r="F32" s="121" t="n">
        <x:v>0.625</x:v>
      </x:c>
      <x:c r="G32" s="121" t="n">
        <x:v>8</x:v>
      </x:c>
      <x:c r="H32" s="121" t="n">
        <x:v>16</x:v>
      </x:c>
      <x:c r="I32" s="121" t="n">
        <x:v>2</x:v>
      </x:c>
      <x:c r="J32" s="121" t="n">
        <x:v>45</x:v>
      </x:c>
      <x:c r="K32" s="121" t="n">
        <x:v>2</x:v>
      </x:c>
      <x:c r="L32" s="121" t="n">
        <x:v>0.5</x:v>
      </x:c>
      <x:c r="M32" s="121" t="n">
        <x:v>0.99</x:v>
      </x:c>
      <x:c r="N32" s="121" t="n">
        <x:v>0.035000000000003695</x:v>
      </x:c>
      <x:c r="O32" s="121" t="n">
        <x:v>0.99</x:v>
      </x:c>
      <x:c r="P32" s="121" t="n">
        <x:v>0.255</x:v>
      </x:c>
      <x:c r="Q32" s="121" t="n">
        <x:v>0.99</x:v>
      </x:c>
    </x:row>
    <x:row r="33">
      <x:c r="A33" t="n">
        <x:v>1000</x:v>
      </x:c>
      <x:c r="B33" t="n">
        <x:v>200</x:v>
      </x:c>
      <x:c r="C33" t="n">
        <x:v>20260707</x:v>
      </x:c>
      <x:c r="D33" t="str">
        <x:v>R5</x:v>
      </x:c>
      <x:c r="E33" t="str">
        <x:v>31–60</x:v>
      </x:c>
      <x:c r="F33" s="121" t="n">
        <x:v>0.625</x:v>
      </x:c>
      <x:c r="G33" s="121" t="n">
        <x:v>8</x:v>
      </x:c>
      <x:c r="H33" s="121" t="n">
        <x:v>32</x:v>
      </x:c>
      <x:c r="I33" s="121" t="n">
        <x:v>0</x:v>
      </x:c>
      <x:c r="J33" s="121" t="n">
        <x:v>45</x:v>
      </x:c>
      <x:c r="K33" s="121" t="n">
        <x:v>0</x:v>
      </x:c>
      <x:c r="L33" s="121" t="n">
        <x:v>0.5</x:v>
      </x:c>
      <x:c r="M33" s="121" t="n">
        <x:v>-0.03</x:v>
      </x:c>
      <x:c r="N33" s="121" t="n">
        <x:v>0.035000000000003695</x:v>
      </x:c>
      <x:c r="O33" s="121" t="n">
        <x:v>-0.03</x:v>
      </x:c>
      <x:c r="P33" s="121" t="n">
        <x:v>0.255</x:v>
      </x:c>
      <x:c r="Q33" s="121" t="n">
        <x:v>0.03</x:v>
      </x:c>
    </x:row>
    <x:row r="34">
      <x:c r="A34" t="n">
        <x:v>1000</x:v>
      </x:c>
      <x:c r="B34" t="n">
        <x:v>200</x:v>
      </x:c>
      <x:c r="C34" t="n">
        <x:v>20260707</x:v>
      </x:c>
      <x:c r="D34" t="str">
        <x:v>R5</x:v>
      </x:c>
      <x:c r="E34" t="str">
        <x:v>31–60</x:v>
      </x:c>
      <x:c r="F34" s="121" t="n">
        <x:v>0.625</x:v>
      </x:c>
      <x:c r="G34" s="121" t="n">
        <x:v>8</x:v>
      </x:c>
      <x:c r="H34" s="121" t="n">
        <x:v>64</x:v>
      </x:c>
      <x:c r="I34" s="121" t="n">
        <x:v>0</x:v>
      </x:c>
      <x:c r="J34" s="121" t="n">
        <x:v>45</x:v>
      </x:c>
      <x:c r="K34" s="121" t="n">
        <x:v>0</x:v>
      </x:c>
      <x:c r="L34" s="121" t="n">
        <x:v>0.5</x:v>
      </x:c>
      <x:c r="M34" s="121" t="n">
        <x:v>0</x:v>
      </x:c>
      <x:c r="N34" s="121" t="n">
        <x:v>0.035000000000003695</x:v>
      </x:c>
      <x:c r="O34" s="121" t="n">
        <x:v>0</x:v>
      </x:c>
      <x:c r="P34" s="121" t="n">
        <x:v>0.255</x:v>
      </x:c>
      <x:c r="Q34" s="121" t="n">
        <x:v>0</x:v>
      </x:c>
    </x:row>
    <x:row r="35">
      <x:c r="A35" t="n">
        <x:v>1000</x:v>
      </x:c>
      <x:c r="B35" t="n">
        <x:v>200</x:v>
      </x:c>
      <x:c r="C35" t="n">
        <x:v>20260707</x:v>
      </x:c>
      <x:c r="D35" t="str">
        <x:v>R6</x:v>
      </x:c>
      <x:c r="E35" t="str">
        <x:v>31–60</x:v>
      </x:c>
      <x:c r="F35" s="121" t="n">
        <x:v>1.25</x:v>
      </x:c>
      <x:c r="G35" s="121" t="n">
        <x:v>12</x:v>
      </x:c>
      <x:c r="H35" s="121" t="n">
        <x:v>0.0625</x:v>
      </x:c>
      <x:c r="I35" s="121" t="n">
        <x:v>100</x:v>
      </x:c>
      <x:c r="J35" s="121" t="n">
        <x:v>59</x:v>
      </x:c>
      <x:c r="K35" s="121" t="n">
        <x:v>59</x:v>
      </x:c>
      <x:c r="L35" s="121" t="n">
        <x:v>2</x:v>
      </x:c>
      <x:c r="M35" s="121" t="n">
        <x:v>0</x:v>
      </x:c>
      <x:c r="N35" s="121" t="n">
        <x:v>-2.0349999999999966</x:v>
      </x:c>
      <x:c r="O35" s="121" t="n">
        <x:v>-2.0349999999999966</x:v>
      </x:c>
      <x:c r="P35" s="121" t="n">
        <x:v>1.1099999999999999</x:v>
      </x:c>
      <x:c r="Q35" s="121" t="n">
        <x:v>2.0349999999999966</x:v>
      </x:c>
    </x:row>
    <x:row r="36">
      <x:c r="A36" t="n">
        <x:v>1000</x:v>
      </x:c>
      <x:c r="B36" t="n">
        <x:v>200</x:v>
      </x:c>
      <x:c r="C36" t="n">
        <x:v>20260707</x:v>
      </x:c>
      <x:c r="D36" t="str">
        <x:v>R6</x:v>
      </x:c>
      <x:c r="E36" t="str">
        <x:v>31–60</x:v>
      </x:c>
      <x:c r="F36" s="121" t="n">
        <x:v>1.25</x:v>
      </x:c>
      <x:c r="G36" s="121" t="n">
        <x:v>12</x:v>
      </x:c>
      <x:c r="H36" s="121" t="n">
        <x:v>0.125</x:v>
      </x:c>
      <x:c r="I36" s="121" t="n">
        <x:v>100</x:v>
      </x:c>
      <x:c r="J36" s="121" t="n">
        <x:v>59</x:v>
      </x:c>
      <x:c r="K36" s="121" t="n">
        <x:v>59</x:v>
      </x:c>
      <x:c r="L36" s="121" t="n">
        <x:v>2</x:v>
      </x:c>
      <x:c r="M36" s="121" t="n">
        <x:v>0</x:v>
      </x:c>
      <x:c r="N36" s="121" t="n">
        <x:v>-2.0349999999999966</x:v>
      </x:c>
      <x:c r="O36" s="121" t="n">
        <x:v>-2.0349999999999966</x:v>
      </x:c>
      <x:c r="P36" s="121" t="n">
        <x:v>1.1099999999999999</x:v>
      </x:c>
      <x:c r="Q36" s="121" t="n">
        <x:v>2.0349999999999966</x:v>
      </x:c>
    </x:row>
    <x:row r="37">
      <x:c r="A37" t="n">
        <x:v>1000</x:v>
      </x:c>
      <x:c r="B37" t="n">
        <x:v>200</x:v>
      </x:c>
      <x:c r="C37" t="n">
        <x:v>20260707</x:v>
      </x:c>
      <x:c r="D37" t="str">
        <x:v>R6</x:v>
      </x:c>
      <x:c r="E37" t="str">
        <x:v>31–60</x:v>
      </x:c>
      <x:c r="F37" s="121" t="n">
        <x:v>1.25</x:v>
      </x:c>
      <x:c r="G37" s="121" t="n">
        <x:v>12</x:v>
      </x:c>
      <x:c r="H37" s="121" t="n">
        <x:v>0.25</x:v>
      </x:c>
      <x:c r="I37" s="121" t="n">
        <x:v>100</x:v>
      </x:c>
      <x:c r="J37" s="121" t="n">
        <x:v>59</x:v>
      </x:c>
      <x:c r="K37" s="121" t="n">
        <x:v>59</x:v>
      </x:c>
      <x:c r="L37" s="121" t="n">
        <x:v>2</x:v>
      </x:c>
      <x:c r="M37" s="121" t="n">
        <x:v>0</x:v>
      </x:c>
      <x:c r="N37" s="121" t="n">
        <x:v>-2.0349999999999966</x:v>
      </x:c>
      <x:c r="O37" s="121" t="n">
        <x:v>-2.0349999999999966</x:v>
      </x:c>
      <x:c r="P37" s="121" t="n">
        <x:v>1.1099999999999999</x:v>
      </x:c>
      <x:c r="Q37" s="121" t="n">
        <x:v>2.0349999999999966</x:v>
      </x:c>
    </x:row>
    <x:row r="38">
      <x:c r="A38" t="n">
        <x:v>1000</x:v>
      </x:c>
      <x:c r="B38" t="n">
        <x:v>200</x:v>
      </x:c>
      <x:c r="C38" t="n">
        <x:v>20260707</x:v>
      </x:c>
      <x:c r="D38" t="str">
        <x:v>R6</x:v>
      </x:c>
      <x:c r="E38" t="str">
        <x:v>31–60</x:v>
      </x:c>
      <x:c r="F38" s="121" t="n">
        <x:v>1.25</x:v>
      </x:c>
      <x:c r="G38" s="121" t="n">
        <x:v>12</x:v>
      </x:c>
      <x:c r="H38" s="121" t="n">
        <x:v>0.5</x:v>
      </x:c>
      <x:c r="I38" s="121" t="n">
        <x:v>100</x:v>
      </x:c>
      <x:c r="J38" s="121" t="n">
        <x:v>59</x:v>
      </x:c>
      <x:c r="K38" s="121" t="n">
        <x:v>59</x:v>
      </x:c>
      <x:c r="L38" s="121" t="n">
        <x:v>2</x:v>
      </x:c>
      <x:c r="M38" s="121" t="n">
        <x:v>0.0049999999999954525</x:v>
      </x:c>
      <x:c r="N38" s="121" t="n">
        <x:v>-2.0349999999999966</x:v>
      </x:c>
      <x:c r="O38" s="121" t="n">
        <x:v>-2.0349999999999966</x:v>
      </x:c>
      <x:c r="P38" s="121" t="n">
        <x:v>1.1099999999999999</x:v>
      </x:c>
      <x:c r="Q38" s="121" t="n">
        <x:v>2.0349999999999966</x:v>
      </x:c>
    </x:row>
    <x:row r="39">
      <x:c r="A39" t="n">
        <x:v>1000</x:v>
      </x:c>
      <x:c r="B39" t="n">
        <x:v>200</x:v>
      </x:c>
      <x:c r="C39" t="n">
        <x:v>20260707</x:v>
      </x:c>
      <x:c r="D39" t="str">
        <x:v>R6</x:v>
      </x:c>
      <x:c r="E39" t="str">
        <x:v>31–60</x:v>
      </x:c>
      <x:c r="F39" s="121" t="n">
        <x:v>1.25</x:v>
      </x:c>
      <x:c r="G39" s="121" t="n">
        <x:v>12</x:v>
      </x:c>
      <x:c r="H39" s="121" t="n">
        <x:v>1</x:v>
      </x:c>
      <x:c r="I39" s="121" t="n">
        <x:v>99.5</x:v>
      </x:c>
      <x:c r="J39" s="121" t="n">
        <x:v>59</x:v>
      </x:c>
      <x:c r="K39" s="121" t="n">
        <x:v>59</x:v>
      </x:c>
      <x:c r="L39" s="121" t="n">
        <x:v>2</x:v>
      </x:c>
      <x:c r="M39" s="121" t="n">
        <x:v>0.10999999999999943</x:v>
      </x:c>
      <x:c r="N39" s="121" t="n">
        <x:v>-2.0349999999999966</x:v>
      </x:c>
      <x:c r="O39" s="121" t="n">
        <x:v>-2.0349999999999966</x:v>
      </x:c>
      <x:c r="P39" s="121" t="n">
        <x:v>1.1099999999999999</x:v>
      </x:c>
      <x:c r="Q39" s="121" t="n">
        <x:v>2.0349999999999966</x:v>
      </x:c>
    </x:row>
    <x:row r="40">
      <x:c r="A40" t="n">
        <x:v>1000</x:v>
      </x:c>
      <x:c r="B40" t="n">
        <x:v>200</x:v>
      </x:c>
      <x:c r="C40" t="n">
        <x:v>20260707</x:v>
      </x:c>
      <x:c r="D40" t="str">
        <x:v>R6</x:v>
      </x:c>
      <x:c r="E40" t="str">
        <x:v>31–60</x:v>
      </x:c>
      <x:c r="F40" s="121" t="n">
        <x:v>1.25</x:v>
      </x:c>
      <x:c r="G40" s="121" t="n">
        <x:v>12</x:v>
      </x:c>
      <x:c r="H40" s="121" t="n">
        <x:v>2</x:v>
      </x:c>
      <x:c r="I40" s="121" t="n">
        <x:v>91.5</x:v>
      </x:c>
      <x:c r="J40" s="121" t="n">
        <x:v>59</x:v>
      </x:c>
      <x:c r="K40" s="121" t="n">
        <x:v>59</x:v>
      </x:c>
      <x:c r="L40" s="121" t="n">
        <x:v>2</x:v>
      </x:c>
      <x:c r="M40" s="121" t="n">
        <x:v>-0.3200000000000074</x:v>
      </x:c>
      <x:c r="N40" s="121" t="n">
        <x:v>-2.0349999999999966</x:v>
      </x:c>
      <x:c r="O40" s="121" t="n">
        <x:v>-2.0349999999999966</x:v>
      </x:c>
      <x:c r="P40" s="121" t="n">
        <x:v>1.1099999999999999</x:v>
      </x:c>
      <x:c r="Q40" s="121" t="n">
        <x:v>2.0349999999999966</x:v>
      </x:c>
    </x:row>
    <x:row r="41">
      <x:c r="A41" t="n">
        <x:v>1000</x:v>
      </x:c>
      <x:c r="B41" t="n">
        <x:v>200</x:v>
      </x:c>
      <x:c r="C41" t="n">
        <x:v>20260707</x:v>
      </x:c>
      <x:c r="D41" t="str">
        <x:v>R6</x:v>
      </x:c>
      <x:c r="E41" t="str">
        <x:v>31–60</x:v>
      </x:c>
      <x:c r="F41" s="121" t="n">
        <x:v>1.25</x:v>
      </x:c>
      <x:c r="G41" s="121" t="n">
        <x:v>12</x:v>
      </x:c>
      <x:c r="H41" s="121" t="n">
        <x:v>4</x:v>
      </x:c>
      <x:c r="I41" s="121" t="n">
        <x:v>59.5</x:v>
      </x:c>
      <x:c r="J41" s="121" t="n">
        <x:v>59</x:v>
      </x:c>
      <x:c r="K41" s="121" t="n">
        <x:v>54.50000000000001</x:v>
      </x:c>
      <x:c r="L41" s="121" t="n">
        <x:v>2</x:v>
      </x:c>
      <x:c r="M41" s="121" t="n">
        <x:v>-2.6099999999999994</x:v>
      </x:c>
      <x:c r="N41" s="121" t="n">
        <x:v>-2.0349999999999966</x:v>
      </x:c>
      <x:c r="O41" s="121" t="n">
        <x:v>-1.8899999999999864</x:v>
      </x:c>
      <x:c r="P41" s="121" t="n">
        <x:v>1.1099999999999999</x:v>
      </x:c>
      <x:c r="Q41" s="121" t="n">
        <x:v>1.8899999999999864</x:v>
      </x:c>
    </x:row>
    <x:row r="42">
      <x:c r="A42" t="n">
        <x:v>1000</x:v>
      </x:c>
      <x:c r="B42" t="n">
        <x:v>200</x:v>
      </x:c>
      <x:c r="C42" t="n">
        <x:v>20260707</x:v>
      </x:c>
      <x:c r="D42" t="str">
        <x:v>R6</x:v>
      </x:c>
      <x:c r="E42" t="str">
        <x:v>31–60</x:v>
      </x:c>
      <x:c r="F42" s="121" t="n">
        <x:v>1.25</x:v>
      </x:c>
      <x:c r="G42" s="121" t="n">
        <x:v>12</x:v>
      </x:c>
      <x:c r="H42" s="121" t="n">
        <x:v>8</x:v>
      </x:c>
      <x:c r="I42" s="121" t="n">
        <x:v>21.5</x:v>
      </x:c>
      <x:c r="J42" s="121" t="n">
        <x:v>59</x:v>
      </x:c>
      <x:c r="K42" s="121" t="n">
        <x:v>21.5</x:v>
      </x:c>
      <x:c r="L42" s="121" t="n">
        <x:v>2</x:v>
      </x:c>
      <x:c r="M42" s="121" t="n">
        <x:v>-0.3500000000000014</x:v>
      </x:c>
      <x:c r="N42" s="121" t="n">
        <x:v>-2.0349999999999966</x:v>
      </x:c>
      <x:c r="O42" s="121" t="n">
        <x:v>-0.33999999999999986</x:v>
      </x:c>
      <x:c r="P42" s="121" t="n">
        <x:v>1.1099999999999999</x:v>
      </x:c>
      <x:c r="Q42" s="121" t="n">
        <x:v>0.33999999999999986</x:v>
      </x:c>
    </x:row>
    <x:row r="43">
      <x:c r="A43" t="n">
        <x:v>1000</x:v>
      </x:c>
      <x:c r="B43" t="n">
        <x:v>200</x:v>
      </x:c>
      <x:c r="C43" t="n">
        <x:v>20260707</x:v>
      </x:c>
      <x:c r="D43" t="str">
        <x:v>R6</x:v>
      </x:c>
      <x:c r="E43" t="str">
        <x:v>31–60</x:v>
      </x:c>
      <x:c r="F43" s="121" t="n">
        <x:v>1.25</x:v>
      </x:c>
      <x:c r="G43" s="121" t="n">
        <x:v>12</x:v>
      </x:c>
      <x:c r="H43" s="121" t="n">
        <x:v>16</x:v>
      </x:c>
      <x:c r="I43" s="121" t="n">
        <x:v>4.5</x:v>
      </x:c>
      <x:c r="J43" s="121" t="n">
        <x:v>59</x:v>
      </x:c>
      <x:c r="K43" s="121" t="n">
        <x:v>4.5</x:v>
      </x:c>
      <x:c r="L43" s="121" t="n">
        <x:v>2</x:v>
      </x:c>
      <x:c r="M43" s="121" t="n">
        <x:v>1.5699999999999998</x:v>
      </x:c>
      <x:c r="N43" s="121" t="n">
        <x:v>-2.0349999999999966</x:v>
      </x:c>
      <x:c r="O43" s="121" t="n">
        <x:v>1.5699999999999998</x:v>
      </x:c>
      <x:c r="P43" s="121" t="n">
        <x:v>1.1099999999999999</x:v>
      </x:c>
      <x:c r="Q43" s="121" t="n">
        <x:v>1.5699999999999998</x:v>
      </x:c>
    </x:row>
    <x:row r="44">
      <x:c r="A44" t="n">
        <x:v>1000</x:v>
      </x:c>
      <x:c r="B44" t="n">
        <x:v>200</x:v>
      </x:c>
      <x:c r="C44" t="n">
        <x:v>20260707</x:v>
      </x:c>
      <x:c r="D44" t="str">
        <x:v>R6</x:v>
      </x:c>
      <x:c r="E44" t="str">
        <x:v>31–60</x:v>
      </x:c>
      <x:c r="F44" s="121" t="n">
        <x:v>1.25</x:v>
      </x:c>
      <x:c r="G44" s="121" t="n">
        <x:v>12</x:v>
      </x:c>
      <x:c r="H44" s="121" t="n">
        <x:v>32</x:v>
      </x:c>
      <x:c r="I44" s="121" t="n">
        <x:v>0</x:v>
      </x:c>
      <x:c r="J44" s="121" t="n">
        <x:v>59</x:v>
      </x:c>
      <x:c r="K44" s="121" t="n">
        <x:v>0</x:v>
      </x:c>
      <x:c r="L44" s="121" t="n">
        <x:v>2</x:v>
      </x:c>
      <x:c r="M44" s="121" t="n">
        <x:v>-0.165</x:v>
      </x:c>
      <x:c r="N44" s="121" t="n">
        <x:v>-2.0349999999999966</x:v>
      </x:c>
      <x:c r="O44" s="121" t="n">
        <x:v>-0.165</x:v>
      </x:c>
      <x:c r="P44" s="121" t="n">
        <x:v>1.1099999999999999</x:v>
      </x:c>
      <x:c r="Q44" s="121" t="n">
        <x:v>0.165</x:v>
      </x:c>
    </x:row>
    <x:row r="45">
      <x:c r="A45" t="n">
        <x:v>1000</x:v>
      </x:c>
      <x:c r="B45" t="n">
        <x:v>200</x:v>
      </x:c>
      <x:c r="C45" t="n">
        <x:v>20260707</x:v>
      </x:c>
      <x:c r="D45" t="str">
        <x:v>R6</x:v>
      </x:c>
      <x:c r="E45" t="str">
        <x:v>31–60</x:v>
      </x:c>
      <x:c r="F45" s="121" t="n">
        <x:v>1.25</x:v>
      </x:c>
      <x:c r="G45" s="121" t="n">
        <x:v>12</x:v>
      </x:c>
      <x:c r="H45" s="121" t="n">
        <x:v>64</x:v>
      </x:c>
      <x:c r="I45" s="121" t="n">
        <x:v>0</x:v>
      </x:c>
      <x:c r="J45" s="121" t="n">
        <x:v>59</x:v>
      </x:c>
      <x:c r="K45" s="121" t="n">
        <x:v>0</x:v>
      </x:c>
      <x:c r="L45" s="121" t="n">
        <x:v>2</x:v>
      </x:c>
      <x:c r="M45" s="121" t="n">
        <x:v>0</x:v>
      </x:c>
      <x:c r="N45" s="121" t="n">
        <x:v>-2.0349999999999966</x:v>
      </x:c>
      <x:c r="O45" s="121" t="n">
        <x:v>0</x:v>
      </x:c>
      <x:c r="P45" s="121" t="n">
        <x:v>1.1099999999999999</x:v>
      </x:c>
      <x:c r="Q45" s="121" t="n">
        <x:v>0</x:v>
      </x:c>
    </x:row>
    <x:row r="46">
      <x:c r="A46" t="n">
        <x:v>1000</x:v>
      </x:c>
      <x:c r="B46" t="n">
        <x:v>200</x:v>
      </x:c>
      <x:c r="C46" t="n">
        <x:v>20260707</x:v>
      </x:c>
      <x:c r="D46" t="str">
        <x:v>R7</x:v>
      </x:c>
      <x:c r="E46" t="str">
        <x:v>31–60</x:v>
      </x:c>
      <x:c r="F46" s="121" t="n">
        <x:v>1.25</x:v>
      </x:c>
      <x:c r="G46" s="121" t="n">
        <x:v>8</x:v>
      </x:c>
      <x:c r="H46" s="121" t="n">
        <x:v>0.0625</x:v>
      </x:c>
      <x:c r="I46" s="121" t="n">
        <x:v>100</x:v>
      </x:c>
      <x:c r="J46" s="121" t="n">
        <x:v>78</x:v>
      </x:c>
      <x:c r="K46" s="121" t="n">
        <x:v>78</x:v>
      </x:c>
      <x:c r="L46" s="121" t="n">
        <x:v>5</x:v>
      </x:c>
      <x:c r="M46" s="121" t="n">
        <x:v>0</x:v>
      </x:c>
      <x:c r="N46" s="121" t="n">
        <x:v>-2.4350000000000023</x:v>
      </x:c>
      <x:c r="O46" s="121" t="n">
        <x:v>-2.4350000000000023</x:v>
      </x:c>
      <x:c r="P46" s="121" t="n">
        <x:v>1.1649999999999996</x:v>
      </x:c>
      <x:c r="Q46" s="121" t="n">
        <x:v>2.4350000000000023</x:v>
      </x:c>
    </x:row>
    <x:row r="47">
      <x:c r="A47" t="n">
        <x:v>1000</x:v>
      </x:c>
      <x:c r="B47" t="n">
        <x:v>200</x:v>
      </x:c>
      <x:c r="C47" t="n">
        <x:v>20260707</x:v>
      </x:c>
      <x:c r="D47" t="str">
        <x:v>R7</x:v>
      </x:c>
      <x:c r="E47" t="str">
        <x:v>31–60</x:v>
      </x:c>
      <x:c r="F47" s="121" t="n">
        <x:v>1.25</x:v>
      </x:c>
      <x:c r="G47" s="121" t="n">
        <x:v>8</x:v>
      </x:c>
      <x:c r="H47" s="121" t="n">
        <x:v>0.125</x:v>
      </x:c>
      <x:c r="I47" s="121" t="n">
        <x:v>100</x:v>
      </x:c>
      <x:c r="J47" s="121" t="n">
        <x:v>78</x:v>
      </x:c>
      <x:c r="K47" s="121" t="n">
        <x:v>78</x:v>
      </x:c>
      <x:c r="L47" s="121" t="n">
        <x:v>5</x:v>
      </x:c>
      <x:c r="M47" s="121" t="n">
        <x:v>0</x:v>
      </x:c>
      <x:c r="N47" s="121" t="n">
        <x:v>-2.4350000000000023</x:v>
      </x:c>
      <x:c r="O47" s="121" t="n">
        <x:v>-2.4350000000000023</x:v>
      </x:c>
      <x:c r="P47" s="121" t="n">
        <x:v>1.1649999999999996</x:v>
      </x:c>
      <x:c r="Q47" s="121" t="n">
        <x:v>2.4350000000000023</x:v>
      </x:c>
    </x:row>
    <x:row r="48">
      <x:c r="A48" t="n">
        <x:v>1000</x:v>
      </x:c>
      <x:c r="B48" t="n">
        <x:v>200</x:v>
      </x:c>
      <x:c r="C48" t="n">
        <x:v>20260707</x:v>
      </x:c>
      <x:c r="D48" t="str">
        <x:v>R7</x:v>
      </x:c>
      <x:c r="E48" t="str">
        <x:v>31–60</x:v>
      </x:c>
      <x:c r="F48" s="121" t="n">
        <x:v>1.25</x:v>
      </x:c>
      <x:c r="G48" s="121" t="n">
        <x:v>8</x:v>
      </x:c>
      <x:c r="H48" s="121" t="n">
        <x:v>0.25</x:v>
      </x:c>
      <x:c r="I48" s="121" t="n">
        <x:v>100</x:v>
      </x:c>
      <x:c r="J48" s="121" t="n">
        <x:v>78</x:v>
      </x:c>
      <x:c r="K48" s="121" t="n">
        <x:v>78</x:v>
      </x:c>
      <x:c r="L48" s="121" t="n">
        <x:v>5</x:v>
      </x:c>
      <x:c r="M48" s="121" t="n">
        <x:v>0</x:v>
      </x:c>
      <x:c r="N48" s="121" t="n">
        <x:v>-2.4350000000000023</x:v>
      </x:c>
      <x:c r="O48" s="121" t="n">
        <x:v>-2.4350000000000023</x:v>
      </x:c>
      <x:c r="P48" s="121" t="n">
        <x:v>1.1649999999999996</x:v>
      </x:c>
      <x:c r="Q48" s="121" t="n">
        <x:v>2.4350000000000023</x:v>
      </x:c>
    </x:row>
    <x:row r="49">
      <x:c r="A49" t="n">
        <x:v>1000</x:v>
      </x:c>
      <x:c r="B49" t="n">
        <x:v>200</x:v>
      </x:c>
      <x:c r="C49" t="n">
        <x:v>20260707</x:v>
      </x:c>
      <x:c r="D49" t="str">
        <x:v>R7</x:v>
      </x:c>
      <x:c r="E49" t="str">
        <x:v>31–60</x:v>
      </x:c>
      <x:c r="F49" s="121" t="n">
        <x:v>1.25</x:v>
      </x:c>
      <x:c r="G49" s="121" t="n">
        <x:v>8</x:v>
      </x:c>
      <x:c r="H49" s="121" t="n">
        <x:v>0.5</x:v>
      </x:c>
      <x:c r="I49" s="121" t="n">
        <x:v>100</x:v>
      </x:c>
      <x:c r="J49" s="121" t="n">
        <x:v>78</x:v>
      </x:c>
      <x:c r="K49" s="121" t="n">
        <x:v>78</x:v>
      </x:c>
      <x:c r="L49" s="121" t="n">
        <x:v>5</x:v>
      </x:c>
      <x:c r="M49" s="121" t="n">
        <x:v>0</x:v>
      </x:c>
      <x:c r="N49" s="121" t="n">
        <x:v>-2.4350000000000023</x:v>
      </x:c>
      <x:c r="O49" s="121" t="n">
        <x:v>-2.4350000000000023</x:v>
      </x:c>
      <x:c r="P49" s="121" t="n">
        <x:v>1.1649999999999996</x:v>
      </x:c>
      <x:c r="Q49" s="121" t="n">
        <x:v>2.4350000000000023</x:v>
      </x:c>
    </x:row>
    <x:row r="50">
      <x:c r="A50" t="n">
        <x:v>1000</x:v>
      </x:c>
      <x:c r="B50" t="n">
        <x:v>200</x:v>
      </x:c>
      <x:c r="C50" t="n">
        <x:v>20260707</x:v>
      </x:c>
      <x:c r="D50" t="str">
        <x:v>R7</x:v>
      </x:c>
      <x:c r="E50" t="str">
        <x:v>31–60</x:v>
      </x:c>
      <x:c r="F50" s="121" t="n">
        <x:v>1.25</x:v>
      </x:c>
      <x:c r="G50" s="121" t="n">
        <x:v>8</x:v>
      </x:c>
      <x:c r="H50" s="121" t="n">
        <x:v>1</x:v>
      </x:c>
      <x:c r="I50" s="121" t="n">
        <x:v>100</x:v>
      </x:c>
      <x:c r="J50" s="121" t="n">
        <x:v>78</x:v>
      </x:c>
      <x:c r="K50" s="121" t="n">
        <x:v>78</x:v>
      </x:c>
      <x:c r="L50" s="121" t="n">
        <x:v>5</x:v>
      </x:c>
      <x:c r="M50" s="121" t="n">
        <x:v>0.06499999999999773</x:v>
      </x:c>
      <x:c r="N50" s="121" t="n">
        <x:v>-2.4350000000000023</x:v>
      </x:c>
      <x:c r="O50" s="121" t="n">
        <x:v>-2.4350000000000023</x:v>
      </x:c>
      <x:c r="P50" s="121" t="n">
        <x:v>1.1649999999999996</x:v>
      </x:c>
      <x:c r="Q50" s="121" t="n">
        <x:v>2.4350000000000023</x:v>
      </x:c>
    </x:row>
    <x:row r="51">
      <x:c r="A51" t="n">
        <x:v>1000</x:v>
      </x:c>
      <x:c r="B51" t="n">
        <x:v>200</x:v>
      </x:c>
      <x:c r="C51" t="n">
        <x:v>20260707</x:v>
      </x:c>
      <x:c r="D51" t="str">
        <x:v>R7</x:v>
      </x:c>
      <x:c r="E51" t="str">
        <x:v>31–60</x:v>
      </x:c>
      <x:c r="F51" s="121" t="n">
        <x:v>1.25</x:v>
      </x:c>
      <x:c r="G51" s="121" t="n">
        <x:v>8</x:v>
      </x:c>
      <x:c r="H51" s="121" t="n">
        <x:v>2</x:v>
      </x:c>
      <x:c r="I51" s="121" t="n">
        <x:v>98.5</x:v>
      </x:c>
      <x:c r="J51" s="121" t="n">
        <x:v>78</x:v>
      </x:c>
      <x:c r="K51" s="121" t="n">
        <x:v>78</x:v>
      </x:c>
      <x:c r="L51" s="121" t="n">
        <x:v>5</x:v>
      </x:c>
      <x:c r="M51" s="121" t="n">
        <x:v>0.625</x:v>
      </x:c>
      <x:c r="N51" s="121" t="n">
        <x:v>-2.4350000000000023</x:v>
      </x:c>
      <x:c r="O51" s="121" t="n">
        <x:v>-2.4350000000000023</x:v>
      </x:c>
      <x:c r="P51" s="121" t="n">
        <x:v>1.1649999999999996</x:v>
      </x:c>
      <x:c r="Q51" s="121" t="n">
        <x:v>2.4350000000000023</x:v>
      </x:c>
    </x:row>
    <x:row r="52">
      <x:c r="A52" t="n">
        <x:v>1000</x:v>
      </x:c>
      <x:c r="B52" t="n">
        <x:v>200</x:v>
      </x:c>
      <x:c r="C52" t="n">
        <x:v>20260707</x:v>
      </x:c>
      <x:c r="D52" t="str">
        <x:v>R7</x:v>
      </x:c>
      <x:c r="E52" t="str">
        <x:v>31–60</x:v>
      </x:c>
      <x:c r="F52" s="121" t="n">
        <x:v>1.25</x:v>
      </x:c>
      <x:c r="G52" s="121" t="n">
        <x:v>8</x:v>
      </x:c>
      <x:c r="H52" s="121" t="n">
        <x:v>4</x:v>
      </x:c>
      <x:c r="I52" s="121" t="n">
        <x:v>82</x:v>
      </x:c>
      <x:c r="J52" s="121" t="n">
        <x:v>78</x:v>
      </x:c>
      <x:c r="K52" s="121" t="n">
        <x:v>77</x:v>
      </x:c>
      <x:c r="L52" s="121" t="n">
        <x:v>5</x:v>
      </x:c>
      <x:c r="M52" s="121" t="n">
        <x:v>-0.75</x:v>
      </x:c>
      <x:c r="N52" s="121" t="n">
        <x:v>-2.4350000000000023</x:v>
      </x:c>
      <x:c r="O52" s="121" t="n">
        <x:v>-0.8950000000000102</x:v>
      </x:c>
      <x:c r="P52" s="121" t="n">
        <x:v>1.1649999999999996</x:v>
      </x:c>
      <x:c r="Q52" s="121" t="n">
        <x:v>0.8950000000000102</x:v>
      </x:c>
    </x:row>
    <x:row r="53">
      <x:c r="A53" t="n">
        <x:v>1000</x:v>
      </x:c>
      <x:c r="B53" t="n">
        <x:v>200</x:v>
      </x:c>
      <x:c r="C53" t="n">
        <x:v>20260707</x:v>
      </x:c>
      <x:c r="D53" t="str">
        <x:v>R7</x:v>
      </x:c>
      <x:c r="E53" t="str">
        <x:v>31–60</x:v>
      </x:c>
      <x:c r="F53" s="121" t="n">
        <x:v>1.25</x:v>
      </x:c>
      <x:c r="G53" s="121" t="n">
        <x:v>8</x:v>
      </x:c>
      <x:c r="H53" s="121" t="n">
        <x:v>8</x:v>
      </x:c>
      <x:c r="I53" s="121" t="n">
        <x:v>43.5</x:v>
      </x:c>
      <x:c r="J53" s="121" t="n">
        <x:v>78</x:v>
      </x:c>
      <x:c r="K53" s="121" t="n">
        <x:v>43.5</x:v>
      </x:c>
      <x:c r="L53" s="121" t="n">
        <x:v>5</x:v>
      </x:c>
      <x:c r="M53" s="121" t="n">
        <x:v>-0.8449999999999989</x:v>
      </x:c>
      <x:c r="N53" s="121" t="n">
        <x:v>-2.4350000000000023</x:v>
      </x:c>
      <x:c r="O53" s="121" t="n">
        <x:v>-0.8400000000000034</x:v>
      </x:c>
      <x:c r="P53" s="121" t="n">
        <x:v>1.1649999999999996</x:v>
      </x:c>
      <x:c r="Q53" s="121" t="n">
        <x:v>0.8400000000000034</x:v>
      </x:c>
    </x:row>
    <x:row r="54">
      <x:c r="A54" t="n">
        <x:v>1000</x:v>
      </x:c>
      <x:c r="B54" t="n">
        <x:v>200</x:v>
      </x:c>
      <x:c r="C54" t="n">
        <x:v>20260707</x:v>
      </x:c>
      <x:c r="D54" t="str">
        <x:v>R7</x:v>
      </x:c>
      <x:c r="E54" t="str">
        <x:v>31–60</x:v>
      </x:c>
      <x:c r="F54" s="121" t="n">
        <x:v>1.25</x:v>
      </x:c>
      <x:c r="G54" s="121" t="n">
        <x:v>8</x:v>
      </x:c>
      <x:c r="H54" s="121" t="n">
        <x:v>16</x:v>
      </x:c>
      <x:c r="I54" s="121" t="n">
        <x:v>13.5</x:v>
      </x:c>
      <x:c r="J54" s="121" t="n">
        <x:v>78</x:v>
      </x:c>
      <x:c r="K54" s="121" t="n">
        <x:v>13.5</x:v>
      </x:c>
      <x:c r="L54" s="121" t="n">
        <x:v>5</x:v>
      </x:c>
      <x:c r="M54" s="121" t="n">
        <x:v>3.1799999999999997</x:v>
      </x:c>
      <x:c r="N54" s="121" t="n">
        <x:v>-2.4350000000000023</x:v>
      </x:c>
      <x:c r="O54" s="121" t="n">
        <x:v>3.1799999999999997</x:v>
      </x:c>
      <x:c r="P54" s="121" t="n">
        <x:v>1.1649999999999996</x:v>
      </x:c>
      <x:c r="Q54" s="121" t="n">
        <x:v>3.1799999999999997</x:v>
      </x:c>
    </x:row>
    <x:row r="55">
      <x:c r="A55" t="n">
        <x:v>1000</x:v>
      </x:c>
      <x:c r="B55" t="n">
        <x:v>200</x:v>
      </x:c>
      <x:c r="C55" t="n">
        <x:v>20260707</x:v>
      </x:c>
      <x:c r="D55" t="str">
        <x:v>R7</x:v>
      </x:c>
      <x:c r="E55" t="str">
        <x:v>31–60</x:v>
      </x:c>
      <x:c r="F55" s="121" t="n">
        <x:v>1.25</x:v>
      </x:c>
      <x:c r="G55" s="121" t="n">
        <x:v>8</x:v>
      </x:c>
      <x:c r="H55" s="121" t="n">
        <x:v>32</x:v>
      </x:c>
      <x:c r="I55" s="121" t="n">
        <x:v>2</x:v>
      </x:c>
      <x:c r="J55" s="121" t="n">
        <x:v>78</x:v>
      </x:c>
      <x:c r="K55" s="121" t="n">
        <x:v>2</x:v>
      </x:c>
      <x:c r="L55" s="121" t="n">
        <x:v>5</x:v>
      </x:c>
      <x:c r="M55" s="121" t="n">
        <x:v>0.99</x:v>
      </x:c>
      <x:c r="N55" s="121" t="n">
        <x:v>-2.4350000000000023</x:v>
      </x:c>
      <x:c r="O55" s="121" t="n">
        <x:v>0.99</x:v>
      </x:c>
      <x:c r="P55" s="121" t="n">
        <x:v>1.1649999999999996</x:v>
      </x:c>
      <x:c r="Q55" s="121" t="n">
        <x:v>0.99</x:v>
      </x:c>
    </x:row>
    <x:row r="56">
      <x:c r="A56" t="n">
        <x:v>1000</x:v>
      </x:c>
      <x:c r="B56" t="n">
        <x:v>200</x:v>
      </x:c>
      <x:c r="C56" t="n">
        <x:v>20260707</x:v>
      </x:c>
      <x:c r="D56" t="str">
        <x:v>R7</x:v>
      </x:c>
      <x:c r="E56" t="str">
        <x:v>31–60</x:v>
      </x:c>
      <x:c r="F56" s="121" t="n">
        <x:v>1.25</x:v>
      </x:c>
      <x:c r="G56" s="121" t="n">
        <x:v>8</x:v>
      </x:c>
      <x:c r="H56" s="121" t="n">
        <x:v>64</x:v>
      </x:c>
      <x:c r="I56" s="121" t="n">
        <x:v>0</x:v>
      </x:c>
      <x:c r="J56" s="121" t="n">
        <x:v>78</x:v>
      </x:c>
      <x:c r="K56" s="121" t="n">
        <x:v>0</x:v>
      </x:c>
      <x:c r="L56" s="121" t="n">
        <x:v>5</x:v>
      </x:c>
      <x:c r="M56" s="121" t="n">
        <x:v>-0.03</x:v>
      </x:c>
      <x:c r="N56" s="121" t="n">
        <x:v>-2.4350000000000023</x:v>
      </x:c>
      <x:c r="O56" s="121" t="n">
        <x:v>-0.03</x:v>
      </x:c>
      <x:c r="P56" s="121" t="n">
        <x:v>1.1649999999999996</x:v>
      </x:c>
      <x:c r="Q56" s="121" t="n">
        <x:v>0.03</x:v>
      </x:c>
    </x:row>
    <x:row r="57">
      <x:c r="A57" t="n">
        <x:v>1000</x:v>
      </x:c>
      <x:c r="B57" t="n">
        <x:v>200</x:v>
      </x:c>
      <x:c r="C57" t="n">
        <x:v>20260707</x:v>
      </x:c>
      <x:c r="D57" t="str">
        <x:v>R8</x:v>
      </x:c>
      <x:c r="E57" t="str">
        <x:v>31–60</x:v>
      </x:c>
      <x:c r="F57" s="121" t="n">
        <x:v>2.5</x:v>
      </x:c>
      <x:c r="G57" s="121" t="n">
        <x:v>12</x:v>
      </x:c>
      <x:c r="H57" s="121" t="n">
        <x:v>0.0625</x:v>
      </x:c>
      <x:c r="I57" s="121" t="n">
        <x:v>100</x:v>
      </x:c>
      <x:c r="J57" s="121" t="n">
        <x:v>87</x:v>
      </x:c>
      <x:c r="K57" s="121" t="n">
        <x:v>87</x:v>
      </x:c>
      <x:c r="L57" s="121" t="n">
        <x:v>13.5</x:v>
      </x:c>
      <x:c r="M57" s="121" t="n">
        <x:v>0</x:v>
      </x:c>
      <x:c r="N57" s="121" t="n">
        <x:v>-2.450000000000003</x:v>
      </x:c>
      <x:c r="O57" s="121" t="n">
        <x:v>-2.450000000000003</x:v>
      </x:c>
      <x:c r="P57" s="121" t="n">
        <x:v>4.164999999999999</x:v>
      </x:c>
      <x:c r="Q57" s="121" t="n">
        <x:v>2.450000000000003</x:v>
      </x:c>
    </x:row>
    <x:row r="58">
      <x:c r="A58" t="n">
        <x:v>1000</x:v>
      </x:c>
      <x:c r="B58" t="n">
        <x:v>200</x:v>
      </x:c>
      <x:c r="C58" t="n">
        <x:v>20260707</x:v>
      </x:c>
      <x:c r="D58" t="str">
        <x:v>R8</x:v>
      </x:c>
      <x:c r="E58" t="str">
        <x:v>31–60</x:v>
      </x:c>
      <x:c r="F58" s="121" t="n">
        <x:v>2.5</x:v>
      </x:c>
      <x:c r="G58" s="121" t="n">
        <x:v>12</x:v>
      </x:c>
      <x:c r="H58" s="121" t="n">
        <x:v>0.125</x:v>
      </x:c>
      <x:c r="I58" s="121" t="n">
        <x:v>100</x:v>
      </x:c>
      <x:c r="J58" s="121" t="n">
        <x:v>87</x:v>
      </x:c>
      <x:c r="K58" s="121" t="n">
        <x:v>87</x:v>
      </x:c>
      <x:c r="L58" s="121" t="n">
        <x:v>13.5</x:v>
      </x:c>
      <x:c r="M58" s="121" t="n">
        <x:v>0</x:v>
      </x:c>
      <x:c r="N58" s="121" t="n">
        <x:v>-2.450000000000003</x:v>
      </x:c>
      <x:c r="O58" s="121" t="n">
        <x:v>-2.450000000000003</x:v>
      </x:c>
      <x:c r="P58" s="121" t="n">
        <x:v>4.164999999999999</x:v>
      </x:c>
      <x:c r="Q58" s="121" t="n">
        <x:v>2.450000000000003</x:v>
      </x:c>
    </x:row>
    <x:row r="59">
      <x:c r="A59" t="n">
        <x:v>1000</x:v>
      </x:c>
      <x:c r="B59" t="n">
        <x:v>200</x:v>
      </x:c>
      <x:c r="C59" t="n">
        <x:v>20260707</x:v>
      </x:c>
      <x:c r="D59" t="str">
        <x:v>R8</x:v>
      </x:c>
      <x:c r="E59" t="str">
        <x:v>31–60</x:v>
      </x:c>
      <x:c r="F59" s="121" t="n">
        <x:v>2.5</x:v>
      </x:c>
      <x:c r="G59" s="121" t="n">
        <x:v>12</x:v>
      </x:c>
      <x:c r="H59" s="121" t="n">
        <x:v>0.25</x:v>
      </x:c>
      <x:c r="I59" s="121" t="n">
        <x:v>100</x:v>
      </x:c>
      <x:c r="J59" s="121" t="n">
        <x:v>87</x:v>
      </x:c>
      <x:c r="K59" s="121" t="n">
        <x:v>87</x:v>
      </x:c>
      <x:c r="L59" s="121" t="n">
        <x:v>13.5</x:v>
      </x:c>
      <x:c r="M59" s="121" t="n">
        <x:v>0</x:v>
      </x:c>
      <x:c r="N59" s="121" t="n">
        <x:v>-2.450000000000003</x:v>
      </x:c>
      <x:c r="O59" s="121" t="n">
        <x:v>-2.450000000000003</x:v>
      </x:c>
      <x:c r="P59" s="121" t="n">
        <x:v>4.164999999999999</x:v>
      </x:c>
      <x:c r="Q59" s="121" t="n">
        <x:v>2.450000000000003</x:v>
      </x:c>
    </x:row>
    <x:row r="60">
      <x:c r="A60" t="n">
        <x:v>1000</x:v>
      </x:c>
      <x:c r="B60" t="n">
        <x:v>200</x:v>
      </x:c>
      <x:c r="C60" t="n">
        <x:v>20260707</x:v>
      </x:c>
      <x:c r="D60" t="str">
        <x:v>R8</x:v>
      </x:c>
      <x:c r="E60" t="str">
        <x:v>31–60</x:v>
      </x:c>
      <x:c r="F60" s="121" t="n">
        <x:v>2.5</x:v>
      </x:c>
      <x:c r="G60" s="121" t="n">
        <x:v>12</x:v>
      </x:c>
      <x:c r="H60" s="121" t="n">
        <x:v>0.5</x:v>
      </x:c>
      <x:c r="I60" s="121" t="n">
        <x:v>100</x:v>
      </x:c>
      <x:c r="J60" s="121" t="n">
        <x:v>87</x:v>
      </x:c>
      <x:c r="K60" s="121" t="n">
        <x:v>87</x:v>
      </x:c>
      <x:c r="L60" s="121" t="n">
        <x:v>13.5</x:v>
      </x:c>
      <x:c r="M60" s="121" t="n">
        <x:v>0</x:v>
      </x:c>
      <x:c r="N60" s="121" t="n">
        <x:v>-2.450000000000003</x:v>
      </x:c>
      <x:c r="O60" s="121" t="n">
        <x:v>-2.450000000000003</x:v>
      </x:c>
      <x:c r="P60" s="121" t="n">
        <x:v>4.164999999999999</x:v>
      </x:c>
      <x:c r="Q60" s="121" t="n">
        <x:v>2.450000000000003</x:v>
      </x:c>
    </x:row>
    <x:row r="61">
      <x:c r="A61" t="n">
        <x:v>1000</x:v>
      </x:c>
      <x:c r="B61" t="n">
        <x:v>200</x:v>
      </x:c>
      <x:c r="C61" t="n">
        <x:v>20260707</x:v>
      </x:c>
      <x:c r="D61" t="str">
        <x:v>R8</x:v>
      </x:c>
      <x:c r="E61" t="str">
        <x:v>31–60</x:v>
      </x:c>
      <x:c r="F61" s="121" t="n">
        <x:v>2.5</x:v>
      </x:c>
      <x:c r="G61" s="121" t="n">
        <x:v>12</x:v>
      </x:c>
      <x:c r="H61" s="121" t="n">
        <x:v>1</x:v>
      </x:c>
      <x:c r="I61" s="121" t="n">
        <x:v>100</x:v>
      </x:c>
      <x:c r="J61" s="121" t="n">
        <x:v>87</x:v>
      </x:c>
      <x:c r="K61" s="121" t="n">
        <x:v>87</x:v>
      </x:c>
      <x:c r="L61" s="121" t="n">
        <x:v>13.5</x:v>
      </x:c>
      <x:c r="M61" s="121" t="n">
        <x:v>0.0049999999999954525</x:v>
      </x:c>
      <x:c r="N61" s="121" t="n">
        <x:v>-2.450000000000003</x:v>
      </x:c>
      <x:c r="O61" s="121" t="n">
        <x:v>-2.450000000000003</x:v>
      </x:c>
      <x:c r="P61" s="121" t="n">
        <x:v>4.164999999999999</x:v>
      </x:c>
      <x:c r="Q61" s="121" t="n">
        <x:v>2.450000000000003</x:v>
      </x:c>
    </x:row>
    <x:row r="62">
      <x:c r="A62" t="n">
        <x:v>1000</x:v>
      </x:c>
      <x:c r="B62" t="n">
        <x:v>200</x:v>
      </x:c>
      <x:c r="C62" t="n">
        <x:v>20260707</x:v>
      </x:c>
      <x:c r="D62" t="str">
        <x:v>R8</x:v>
      </x:c>
      <x:c r="E62" t="str">
        <x:v>31–60</x:v>
      </x:c>
      <x:c r="F62" s="121" t="n">
        <x:v>2.5</x:v>
      </x:c>
      <x:c r="G62" s="121" t="n">
        <x:v>12</x:v>
      </x:c>
      <x:c r="H62" s="121" t="n">
        <x:v>2</x:v>
      </x:c>
      <x:c r="I62" s="121" t="n">
        <x:v>99.5</x:v>
      </x:c>
      <x:c r="J62" s="121" t="n">
        <x:v>87</x:v>
      </x:c>
      <x:c r="K62" s="121" t="n">
        <x:v>87</x:v>
      </x:c>
      <x:c r="L62" s="121" t="n">
        <x:v>13.5</x:v>
      </x:c>
      <x:c r="M62" s="121" t="n">
        <x:v>0.10999999999999943</x:v>
      </x:c>
      <x:c r="N62" s="121" t="n">
        <x:v>-2.450000000000003</x:v>
      </x:c>
      <x:c r="O62" s="121" t="n">
        <x:v>-2.450000000000003</x:v>
      </x:c>
      <x:c r="P62" s="121" t="n">
        <x:v>4.164999999999999</x:v>
      </x:c>
      <x:c r="Q62" s="121" t="n">
        <x:v>2.450000000000003</x:v>
      </x:c>
    </x:row>
    <x:row r="63">
      <x:c r="A63" t="n">
        <x:v>1000</x:v>
      </x:c>
      <x:c r="B63" t="n">
        <x:v>200</x:v>
      </x:c>
      <x:c r="C63" t="n">
        <x:v>20260707</x:v>
      </x:c>
      <x:c r="D63" t="str">
        <x:v>R8</x:v>
      </x:c>
      <x:c r="E63" t="str">
        <x:v>31–60</x:v>
      </x:c>
      <x:c r="F63" s="121" t="n">
        <x:v>2.5</x:v>
      </x:c>
      <x:c r="G63" s="121" t="n">
        <x:v>12</x:v>
      </x:c>
      <x:c r="H63" s="121" t="n">
        <x:v>4</x:v>
      </x:c>
      <x:c r="I63" s="121" t="n">
        <x:v>91.5</x:v>
      </x:c>
      <x:c r="J63" s="121" t="n">
        <x:v>87</x:v>
      </x:c>
      <x:c r="K63" s="121" t="n">
        <x:v>86.5</x:v>
      </x:c>
      <x:c r="L63" s="121" t="n">
        <x:v>13.5</x:v>
      </x:c>
      <x:c r="M63" s="121" t="n">
        <x:v>-0.3200000000000074</x:v>
      </x:c>
      <x:c r="N63" s="121" t="n">
        <x:v>-2.450000000000003</x:v>
      </x:c>
      <x:c r="O63" s="121" t="n">
        <x:v>-1.7800000000000011</x:v>
      </x:c>
      <x:c r="P63" s="121" t="n">
        <x:v>4.164999999999999</x:v>
      </x:c>
      <x:c r="Q63" s="121" t="n">
        <x:v>1.7800000000000011</x:v>
      </x:c>
    </x:row>
    <x:row r="64">
      <x:c r="A64" t="n">
        <x:v>1000</x:v>
      </x:c>
      <x:c r="B64" t="n">
        <x:v>200</x:v>
      </x:c>
      <x:c r="C64" t="n">
        <x:v>20260707</x:v>
      </x:c>
      <x:c r="D64" t="str">
        <x:v>R8</x:v>
      </x:c>
      <x:c r="E64" t="str">
        <x:v>31–60</x:v>
      </x:c>
      <x:c r="F64" s="121" t="n">
        <x:v>2.5</x:v>
      </x:c>
      <x:c r="G64" s="121" t="n">
        <x:v>12</x:v>
      </x:c>
      <x:c r="H64" s="121" t="n">
        <x:v>8</x:v>
      </x:c>
      <x:c r="I64" s="121" t="n">
        <x:v>59.5</x:v>
      </x:c>
      <x:c r="J64" s="121" t="n">
        <x:v>87</x:v>
      </x:c>
      <x:c r="K64" s="121" t="n">
        <x:v>59.5</x:v>
      </x:c>
      <x:c r="L64" s="121" t="n">
        <x:v>13.5</x:v>
      </x:c>
      <x:c r="M64" s="121" t="n">
        <x:v>-2.6099999999999994</x:v>
      </x:c>
      <x:c r="N64" s="121" t="n">
        <x:v>-2.450000000000003</x:v>
      </x:c>
      <x:c r="O64" s="121" t="n">
        <x:v>-2.5900000000000034</x:v>
      </x:c>
      <x:c r="P64" s="121" t="n">
        <x:v>4.164999999999999</x:v>
      </x:c>
      <x:c r="Q64" s="121" t="n">
        <x:v>2.5900000000000034</x:v>
      </x:c>
    </x:row>
    <x:row r="65">
      <x:c r="A65" t="n">
        <x:v>1000</x:v>
      </x:c>
      <x:c r="B65" t="n">
        <x:v>200</x:v>
      </x:c>
      <x:c r="C65" t="n">
        <x:v>20260707</x:v>
      </x:c>
      <x:c r="D65" t="str">
        <x:v>R8</x:v>
      </x:c>
      <x:c r="E65" t="str">
        <x:v>31–60</x:v>
      </x:c>
      <x:c r="F65" s="121" t="n">
        <x:v>2.5</x:v>
      </x:c>
      <x:c r="G65" s="121" t="n">
        <x:v>12</x:v>
      </x:c>
      <x:c r="H65" s="121" t="n">
        <x:v>16</x:v>
      </x:c>
      <x:c r="I65" s="121" t="n">
        <x:v>21.5</x:v>
      </x:c>
      <x:c r="J65" s="121" t="n">
        <x:v>87</x:v>
      </x:c>
      <x:c r="K65" s="121" t="n">
        <x:v>21.5</x:v>
      </x:c>
      <x:c r="L65" s="121" t="n">
        <x:v>13.5</x:v>
      </x:c>
      <x:c r="M65" s="121" t="n">
        <x:v>-0.3500000000000014</x:v>
      </x:c>
      <x:c r="N65" s="121" t="n">
        <x:v>-2.450000000000003</x:v>
      </x:c>
      <x:c r="O65" s="121" t="n">
        <x:v>-0.3500000000000014</x:v>
      </x:c>
      <x:c r="P65" s="121" t="n">
        <x:v>4.164999999999999</x:v>
      </x:c>
      <x:c r="Q65" s="121" t="n">
        <x:v>0.3500000000000014</x:v>
      </x:c>
    </x:row>
    <x:row r="66">
      <x:c r="A66" t="n">
        <x:v>1000</x:v>
      </x:c>
      <x:c r="B66" t="n">
        <x:v>200</x:v>
      </x:c>
      <x:c r="C66" t="n">
        <x:v>20260707</x:v>
      </x:c>
      <x:c r="D66" t="str">
        <x:v>R8</x:v>
      </x:c>
      <x:c r="E66" t="str">
        <x:v>31–60</x:v>
      </x:c>
      <x:c r="F66" s="121" t="n">
        <x:v>2.5</x:v>
      </x:c>
      <x:c r="G66" s="121" t="n">
        <x:v>12</x:v>
      </x:c>
      <x:c r="H66" s="121" t="n">
        <x:v>32</x:v>
      </x:c>
      <x:c r="I66" s="121" t="n">
        <x:v>4.5</x:v>
      </x:c>
      <x:c r="J66" s="121" t="n">
        <x:v>87</x:v>
      </x:c>
      <x:c r="K66" s="121" t="n">
        <x:v>4.5</x:v>
      </x:c>
      <x:c r="L66" s="121" t="n">
        <x:v>13.5</x:v>
      </x:c>
      <x:c r="M66" s="121" t="n">
        <x:v>1.5699999999999998</x:v>
      </x:c>
      <x:c r="N66" s="121" t="n">
        <x:v>-2.450000000000003</x:v>
      </x:c>
      <x:c r="O66" s="121" t="n">
        <x:v>1.5699999999999998</x:v>
      </x:c>
      <x:c r="P66" s="121" t="n">
        <x:v>4.164999999999999</x:v>
      </x:c>
      <x:c r="Q66" s="121" t="n">
        <x:v>1.5699999999999998</x:v>
      </x:c>
    </x:row>
    <x:row r="67">
      <x:c r="A67" t="n">
        <x:v>1000</x:v>
      </x:c>
      <x:c r="B67" t="n">
        <x:v>200</x:v>
      </x:c>
      <x:c r="C67" t="n">
        <x:v>20260707</x:v>
      </x:c>
      <x:c r="D67" t="str">
        <x:v>R8</x:v>
      </x:c>
      <x:c r="E67" t="str">
        <x:v>31–60</x:v>
      </x:c>
      <x:c r="F67" s="121" t="n">
        <x:v>2.5</x:v>
      </x:c>
      <x:c r="G67" s="121" t="n">
        <x:v>12</x:v>
      </x:c>
      <x:c r="H67" s="121" t="n">
        <x:v>64</x:v>
      </x:c>
      <x:c r="I67" s="121" t="n">
        <x:v>0</x:v>
      </x:c>
      <x:c r="J67" s="121" t="n">
        <x:v>87</x:v>
      </x:c>
      <x:c r="K67" s="121" t="n">
        <x:v>0</x:v>
      </x:c>
      <x:c r="L67" s="121" t="n">
        <x:v>13.5</x:v>
      </x:c>
      <x:c r="M67" s="121" t="n">
        <x:v>-0.165</x:v>
      </x:c>
      <x:c r="N67" s="121" t="n">
        <x:v>-2.450000000000003</x:v>
      </x:c>
      <x:c r="O67" s="121" t="n">
        <x:v>-0.165</x:v>
      </x:c>
      <x:c r="P67" s="121" t="n">
        <x:v>4.164999999999999</x:v>
      </x:c>
      <x:c r="Q67" s="121" t="n">
        <x:v>0.165</x:v>
      </x:c>
    </x:row>
    <x:row r="68">
      <x:c r="A68" t="n">
        <x:v>1000</x:v>
      </x:c>
      <x:c r="B68" t="n">
        <x:v>200</x:v>
      </x:c>
      <x:c r="C68" t="n">
        <x:v>20260707</x:v>
      </x:c>
      <x:c r="D68" t="str">
        <x:v>R9</x:v>
      </x:c>
      <x:c r="E68" t="str">
        <x:v>61–90</x:v>
      </x:c>
      <x:c r="F68" s="121" t="n">
        <x:v>2.5</x:v>
      </x:c>
      <x:c r="G68" s="121" t="n">
        <x:v>12</x:v>
      </x:c>
      <x:c r="H68" s="121" t="n">
        <x:v>0.0625</x:v>
      </x:c>
      <x:c r="I68" s="121" t="n">
        <x:v>100</x:v>
      </x:c>
      <x:c r="J68" s="121" t="n">
        <x:v>75.5</x:v>
      </x:c>
      <x:c r="K68" s="121" t="n">
        <x:v>75.5</x:v>
      </x:c>
      <x:c r="L68" s="121" t="n">
        <x:v>3.5000000000000004</x:v>
      </x:c>
      <x:c r="M68" s="121" t="n">
        <x:v>0</x:v>
      </x:c>
      <x:c r="N68" s="121" t="n">
        <x:v>2.2750000000000057</x:v>
      </x:c>
      <x:c r="O68" s="121" t="n">
        <x:v>2.2750000000000057</x:v>
      </x:c>
      <x:c r="P68" s="121" t="n">
        <x:v>0.5200000000000005</x:v>
      </x:c>
      <x:c r="Q68" s="121" t="n">
        <x:v>2.2750000000000057</x:v>
      </x:c>
    </x:row>
    <x:row r="69">
      <x:c r="A69" t="n">
        <x:v>1000</x:v>
      </x:c>
      <x:c r="B69" t="n">
        <x:v>200</x:v>
      </x:c>
      <x:c r="C69" t="n">
        <x:v>20260707</x:v>
      </x:c>
      <x:c r="D69" t="str">
        <x:v>R9</x:v>
      </x:c>
      <x:c r="E69" t="str">
        <x:v>61–90</x:v>
      </x:c>
      <x:c r="F69" s="121" t="n">
        <x:v>2.5</x:v>
      </x:c>
      <x:c r="G69" s="121" t="n">
        <x:v>12</x:v>
      </x:c>
      <x:c r="H69" s="121" t="n">
        <x:v>0.125</x:v>
      </x:c>
      <x:c r="I69" s="121" t="n">
        <x:v>100</x:v>
      </x:c>
      <x:c r="J69" s="121" t="n">
        <x:v>75.5</x:v>
      </x:c>
      <x:c r="K69" s="121" t="n">
        <x:v>75.5</x:v>
      </x:c>
      <x:c r="L69" s="121" t="n">
        <x:v>3.5000000000000004</x:v>
      </x:c>
      <x:c r="M69" s="121" t="n">
        <x:v>0</x:v>
      </x:c>
      <x:c r="N69" s="121" t="n">
        <x:v>2.2750000000000057</x:v>
      </x:c>
      <x:c r="O69" s="121" t="n">
        <x:v>2.2750000000000057</x:v>
      </x:c>
      <x:c r="P69" s="121" t="n">
        <x:v>0.5200000000000005</x:v>
      </x:c>
      <x:c r="Q69" s="121" t="n">
        <x:v>2.2750000000000057</x:v>
      </x:c>
    </x:row>
    <x:row r="70">
      <x:c r="A70" t="n">
        <x:v>1000</x:v>
      </x:c>
      <x:c r="B70" t="n">
        <x:v>200</x:v>
      </x:c>
      <x:c r="C70" t="n">
        <x:v>20260707</x:v>
      </x:c>
      <x:c r="D70" t="str">
        <x:v>R9</x:v>
      </x:c>
      <x:c r="E70" t="str">
        <x:v>61–90</x:v>
      </x:c>
      <x:c r="F70" s="121" t="n">
        <x:v>2.5</x:v>
      </x:c>
      <x:c r="G70" s="121" t="n">
        <x:v>12</x:v>
      </x:c>
      <x:c r="H70" s="121" t="n">
        <x:v>0.25</x:v>
      </x:c>
      <x:c r="I70" s="121" t="n">
        <x:v>100</x:v>
      </x:c>
      <x:c r="J70" s="121" t="n">
        <x:v>75.5</x:v>
      </x:c>
      <x:c r="K70" s="121" t="n">
        <x:v>75.5</x:v>
      </x:c>
      <x:c r="L70" s="121" t="n">
        <x:v>3.5000000000000004</x:v>
      </x:c>
      <x:c r="M70" s="121" t="n">
        <x:v>0</x:v>
      </x:c>
      <x:c r="N70" s="121" t="n">
        <x:v>2.2750000000000057</x:v>
      </x:c>
      <x:c r="O70" s="121" t="n">
        <x:v>2.2750000000000057</x:v>
      </x:c>
      <x:c r="P70" s="121" t="n">
        <x:v>0.5200000000000005</x:v>
      </x:c>
      <x:c r="Q70" s="121" t="n">
        <x:v>2.2750000000000057</x:v>
      </x:c>
    </x:row>
    <x:row r="71">
      <x:c r="A71" t="n">
        <x:v>1000</x:v>
      </x:c>
      <x:c r="B71" t="n">
        <x:v>200</x:v>
      </x:c>
      <x:c r="C71" t="n">
        <x:v>20260707</x:v>
      </x:c>
      <x:c r="D71" t="str">
        <x:v>R9</x:v>
      </x:c>
      <x:c r="E71" t="str">
        <x:v>61–90</x:v>
      </x:c>
      <x:c r="F71" s="121" t="n">
        <x:v>2.5</x:v>
      </x:c>
      <x:c r="G71" s="121" t="n">
        <x:v>12</x:v>
      </x:c>
      <x:c r="H71" s="121" t="n">
        <x:v>0.5</x:v>
      </x:c>
      <x:c r="I71" s="121" t="n">
        <x:v>100</x:v>
      </x:c>
      <x:c r="J71" s="121" t="n">
        <x:v>75.5</x:v>
      </x:c>
      <x:c r="K71" s="121" t="n">
        <x:v>75.5</x:v>
      </x:c>
      <x:c r="L71" s="121" t="n">
        <x:v>3.5000000000000004</x:v>
      </x:c>
      <x:c r="M71" s="121" t="n">
        <x:v>0.0049999999999954525</x:v>
      </x:c>
      <x:c r="N71" s="121" t="n">
        <x:v>2.2750000000000057</x:v>
      </x:c>
      <x:c r="O71" s="121" t="n">
        <x:v>2.2750000000000057</x:v>
      </x:c>
      <x:c r="P71" s="121" t="n">
        <x:v>0.5200000000000005</x:v>
      </x:c>
      <x:c r="Q71" s="121" t="n">
        <x:v>2.2750000000000057</x:v>
      </x:c>
    </x:row>
    <x:row r="72">
      <x:c r="A72" t="n">
        <x:v>1000</x:v>
      </x:c>
      <x:c r="B72" t="n">
        <x:v>200</x:v>
      </x:c>
      <x:c r="C72" t="n">
        <x:v>20260707</x:v>
      </x:c>
      <x:c r="D72" t="str">
        <x:v>R9</x:v>
      </x:c>
      <x:c r="E72" t="str">
        <x:v>61–90</x:v>
      </x:c>
      <x:c r="F72" s="121" t="n">
        <x:v>2.5</x:v>
      </x:c>
      <x:c r="G72" s="121" t="n">
        <x:v>12</x:v>
      </x:c>
      <x:c r="H72" s="121" t="n">
        <x:v>1</x:v>
      </x:c>
      <x:c r="I72" s="121" t="n">
        <x:v>100</x:v>
      </x:c>
      <x:c r="J72" s="121" t="n">
        <x:v>75.5</x:v>
      </x:c>
      <x:c r="K72" s="121" t="n">
        <x:v>75.5</x:v>
      </x:c>
      <x:c r="L72" s="121" t="n">
        <x:v>3.5000000000000004</x:v>
      </x:c>
      <x:c r="M72" s="121" t="n">
        <x:v>0.08500000000000796</x:v>
      </x:c>
      <x:c r="N72" s="121" t="n">
        <x:v>2.2750000000000057</x:v>
      </x:c>
      <x:c r="O72" s="121" t="n">
        <x:v>2.2750000000000057</x:v>
      </x:c>
      <x:c r="P72" s="121" t="n">
        <x:v>0.5200000000000005</x:v>
      </x:c>
      <x:c r="Q72" s="121" t="n">
        <x:v>2.2750000000000057</x:v>
      </x:c>
    </x:row>
    <x:row r="73">
      <x:c r="A73" t="n">
        <x:v>1000</x:v>
      </x:c>
      <x:c r="B73" t="n">
        <x:v>200</x:v>
      </x:c>
      <x:c r="C73" t="n">
        <x:v>20260707</x:v>
      </x:c>
      <x:c r="D73" t="str">
        <x:v>R9</x:v>
      </x:c>
      <x:c r="E73" t="str">
        <x:v>61–90</x:v>
      </x:c>
      <x:c r="F73" s="121" t="n">
        <x:v>2.5</x:v>
      </x:c>
      <x:c r="G73" s="121" t="n">
        <x:v>12</x:v>
      </x:c>
      <x:c r="H73" s="121" t="n">
        <x:v>2</x:v>
      </x:c>
      <x:c r="I73" s="121" t="n">
        <x:v>98</x:v>
      </x:c>
      <x:c r="J73" s="121" t="n">
        <x:v>75.5</x:v>
      </x:c>
      <x:c r="K73" s="121" t="n">
        <x:v>75.5</x:v>
      </x:c>
      <x:c r="L73" s="121" t="n">
        <x:v>3.5000000000000004</x:v>
      </x:c>
      <x:c r="M73" s="121" t="n">
        <x:v>0.6850000000000023</x:v>
      </x:c>
      <x:c r="N73" s="121" t="n">
        <x:v>2.2750000000000057</x:v>
      </x:c>
      <x:c r="O73" s="121" t="n">
        <x:v>2.2750000000000057</x:v>
      </x:c>
      <x:c r="P73" s="121" t="n">
        <x:v>0.5200000000000005</x:v>
      </x:c>
      <x:c r="Q73" s="121" t="n">
        <x:v>2.2750000000000057</x:v>
      </x:c>
    </x:row>
    <x:row r="74">
      <x:c r="A74" t="n">
        <x:v>1000</x:v>
      </x:c>
      <x:c r="B74" t="n">
        <x:v>200</x:v>
      </x:c>
      <x:c r="C74" t="n">
        <x:v>20260707</x:v>
      </x:c>
      <x:c r="D74" t="str">
        <x:v>R9</x:v>
      </x:c>
      <x:c r="E74" t="str">
        <x:v>61–90</x:v>
      </x:c>
      <x:c r="F74" s="121" t="n">
        <x:v>2.5</x:v>
      </x:c>
      <x:c r="G74" s="121" t="n">
        <x:v>12</x:v>
      </x:c>
      <x:c r="H74" s="121" t="n">
        <x:v>4</x:v>
      </x:c>
      <x:c r="I74" s="121" t="n">
        <x:v>82.5</x:v>
      </x:c>
      <x:c r="J74" s="121" t="n">
        <x:v>75.5</x:v>
      </x:c>
      <x:c r="K74" s="121" t="n">
        <x:v>74.5</x:v>
      </x:c>
      <x:c r="L74" s="121" t="n">
        <x:v>3.5000000000000004</x:v>
      </x:c>
      <x:c r="M74" s="121" t="n">
        <x:v>2.6700000000000017</x:v>
      </x:c>
      <x:c r="N74" s="121" t="n">
        <x:v>2.2750000000000057</x:v>
      </x:c>
      <x:c r="O74" s="121" t="n">
        <x:v>2.8549999999999898</x:v>
      </x:c>
      <x:c r="P74" s="121" t="n">
        <x:v>0.5200000000000005</x:v>
      </x:c>
      <x:c r="Q74" s="121" t="n">
        <x:v>2.8549999999999898</x:v>
      </x:c>
    </x:row>
    <x:row r="75">
      <x:c r="A75" t="n">
        <x:v>1000</x:v>
      </x:c>
      <x:c r="B75" t="n">
        <x:v>200</x:v>
      </x:c>
      <x:c r="C75" t="n">
        <x:v>20260707</x:v>
      </x:c>
      <x:c r="D75" t="str">
        <x:v>R9</x:v>
      </x:c>
      <x:c r="E75" t="str">
        <x:v>61–90</x:v>
      </x:c>
      <x:c r="F75" s="121" t="n">
        <x:v>2.5</x:v>
      </x:c>
      <x:c r="G75" s="121" t="n">
        <x:v>12</x:v>
      </x:c>
      <x:c r="H75" s="121" t="n">
        <x:v>8</x:v>
      </x:c>
      <x:c r="I75" s="121" t="n">
        <x:v>44.5</x:v>
      </x:c>
      <x:c r="J75" s="121" t="n">
        <x:v>75.5</x:v>
      </x:c>
      <x:c r="K75" s="121" t="n">
        <x:v>44.5</x:v>
      </x:c>
      <x:c r="L75" s="121" t="n">
        <x:v>3.5000000000000004</x:v>
      </x:c>
      <x:c r="M75" s="121" t="n">
        <x:v>4.414999999999999</x:v>
      </x:c>
      <x:c r="N75" s="121" t="n">
        <x:v>2.2750000000000057</x:v>
      </x:c>
      <x:c r="O75" s="121" t="n">
        <x:v>4.420000000000002</x:v>
      </x:c>
      <x:c r="P75" s="121" t="n">
        <x:v>0.5200000000000005</x:v>
      </x:c>
      <x:c r="Q75" s="121" t="n">
        <x:v>4.420000000000002</x:v>
      </x:c>
    </x:row>
    <x:row r="76">
      <x:c r="A76" t="n">
        <x:v>1000</x:v>
      </x:c>
      <x:c r="B76" t="n">
        <x:v>200</x:v>
      </x:c>
      <x:c r="C76" t="n">
        <x:v>20260707</x:v>
      </x:c>
      <x:c r="D76" t="str">
        <x:v>R9</x:v>
      </x:c>
      <x:c r="E76" t="str">
        <x:v>61–90</x:v>
      </x:c>
      <x:c r="F76" s="121" t="n">
        <x:v>2.5</x:v>
      </x:c>
      <x:c r="G76" s="121" t="n">
        <x:v>12</x:v>
      </x:c>
      <x:c r="H76" s="121" t="n">
        <x:v>16</x:v>
      </x:c>
      <x:c r="I76" s="121" t="n">
        <x:v>9.5</x:v>
      </x:c>
      <x:c r="J76" s="121" t="n">
        <x:v>75.5</x:v>
      </x:c>
      <x:c r="K76" s="121" t="n">
        <x:v>9.5</x:v>
      </x:c>
      <x:c r="L76" s="121" t="n">
        <x:v>3.5000000000000004</x:v>
      </x:c>
      <x:c r="M76" s="121" t="n">
        <x:v>0.9700000000000006</x:v>
      </x:c>
      <x:c r="N76" s="121" t="n">
        <x:v>2.2750000000000057</x:v>
      </x:c>
      <x:c r="O76" s="121" t="n">
        <x:v>0.9700000000000006</x:v>
      </x:c>
      <x:c r="P76" s="121" t="n">
        <x:v>0.5200000000000005</x:v>
      </x:c>
      <x:c r="Q76" s="121" t="n">
        <x:v>0.9700000000000006</x:v>
      </x:c>
    </x:row>
    <x:row r="77">
      <x:c r="A77" t="n">
        <x:v>1000</x:v>
      </x:c>
      <x:c r="B77" t="n">
        <x:v>200</x:v>
      </x:c>
      <x:c r="C77" t="n">
        <x:v>20260707</x:v>
      </x:c>
      <x:c r="D77" t="str">
        <x:v>R9</x:v>
      </x:c>
      <x:c r="E77" t="str">
        <x:v>61–90</x:v>
      </x:c>
      <x:c r="F77" s="121" t="n">
        <x:v>2.5</x:v>
      </x:c>
      <x:c r="G77" s="121" t="n">
        <x:v>12</x:v>
      </x:c>
      <x:c r="H77" s="121" t="n">
        <x:v>32</x:v>
      </x:c>
      <x:c r="I77" s="121" t="n">
        <x:v>0.5</x:v>
      </x:c>
      <x:c r="J77" s="121" t="n">
        <x:v>75.5</x:v>
      </x:c>
      <x:c r="K77" s="121" t="n">
        <x:v>0.5</x:v>
      </x:c>
      <x:c r="L77" s="121" t="n">
        <x:v>3.5000000000000004</x:v>
      </x:c>
      <x:c r="M77" s="121" t="n">
        <x:v>-0.12</x:v>
      </x:c>
      <x:c r="N77" s="121" t="n">
        <x:v>2.2750000000000057</x:v>
      </x:c>
      <x:c r="O77" s="121" t="n">
        <x:v>-0.12</x:v>
      </x:c>
      <x:c r="P77" s="121" t="n">
        <x:v>0.5200000000000005</x:v>
      </x:c>
      <x:c r="Q77" s="121" t="n">
        <x:v>0.12</x:v>
      </x:c>
    </x:row>
    <x:row r="78">
      <x:c r="A78" t="n">
        <x:v>1000</x:v>
      </x:c>
      <x:c r="B78" t="n">
        <x:v>200</x:v>
      </x:c>
      <x:c r="C78" t="n">
        <x:v>20260707</x:v>
      </x:c>
      <x:c r="D78" t="str">
        <x:v>R9</x:v>
      </x:c>
      <x:c r="E78" t="str">
        <x:v>61–90</x:v>
      </x:c>
      <x:c r="F78" s="121" t="n">
        <x:v>2.5</x:v>
      </x:c>
      <x:c r="G78" s="121" t="n">
        <x:v>12</x:v>
      </x:c>
      <x:c r="H78" s="121" t="n">
        <x:v>64</x:v>
      </x:c>
      <x:c r="I78" s="121" t="n">
        <x:v>0</x:v>
      </x:c>
      <x:c r="J78" s="121" t="n">
        <x:v>75.5</x:v>
      </x:c>
      <x:c r="K78" s="121" t="n">
        <x:v>0</x:v>
      </x:c>
      <x:c r="L78" s="121" t="n">
        <x:v>3.5000000000000004</x:v>
      </x:c>
      <x:c r="M78" s="121" t="n">
        <x:v>-0.04</x:v>
      </x:c>
      <x:c r="N78" s="121" t="n">
        <x:v>2.2750000000000057</x:v>
      </x:c>
      <x:c r="O78" s="121" t="n">
        <x:v>-0.04</x:v>
      </x:c>
      <x:c r="P78" s="121" t="n">
        <x:v>0.5200000000000005</x:v>
      </x:c>
      <x:c r="Q78" s="121" t="n">
        <x:v>0.04</x:v>
      </x:c>
    </x:row>
    <x:row r="79">
      <x:c r="A79" t="n">
        <x:v>1000</x:v>
      </x:c>
      <x:c r="B79" t="n">
        <x:v>200</x:v>
      </x:c>
      <x:c r="C79" t="n">
        <x:v>20260707</x:v>
      </x:c>
      <x:c r="D79" t="str">
        <x:v>R10</x:v>
      </x:c>
      <x:c r="E79" t="str">
        <x:v>61–90</x:v>
      </x:c>
      <x:c r="F79" s="121" t="n">
        <x:v>2.5</x:v>
      </x:c>
      <x:c r="G79" s="121" t="n">
        <x:v>8</x:v>
      </x:c>
      <x:c r="H79" s="121" t="n">
        <x:v>0.0625</x:v>
      </x:c>
      <x:c r="I79" s="121" t="n">
        <x:v>100</x:v>
      </x:c>
      <x:c r="J79" s="121" t="n">
        <x:v>88</x:v>
      </x:c>
      <x:c r="K79" s="121" t="n">
        <x:v>88</x:v>
      </x:c>
      <x:c r="L79" s="121" t="n">
        <x:v>12</x:v>
      </x:c>
      <x:c r="M79" s="121" t="n">
        <x:v>0</x:v>
      </x:c>
      <x:c r="N79" s="121" t="n">
        <x:v>-0.40500000000000114</x:v>
      </x:c>
      <x:c r="O79" s="121" t="n">
        <x:v>-0.40500000000000114</x:v>
      </x:c>
      <x:c r="P79" s="121" t="n">
        <x:v>1.1099999999999994</x:v>
      </x:c>
      <x:c r="Q79" s="121" t="n">
        <x:v>0.40500000000000114</x:v>
      </x:c>
    </x:row>
    <x:row r="80">
      <x:c r="A80" t="n">
        <x:v>1000</x:v>
      </x:c>
      <x:c r="B80" t="n">
        <x:v>200</x:v>
      </x:c>
      <x:c r="C80" t="n">
        <x:v>20260707</x:v>
      </x:c>
      <x:c r="D80" t="str">
        <x:v>R10</x:v>
      </x:c>
      <x:c r="E80" t="str">
        <x:v>61–90</x:v>
      </x:c>
      <x:c r="F80" s="121" t="n">
        <x:v>2.5</x:v>
      </x:c>
      <x:c r="G80" s="121" t="n">
        <x:v>8</x:v>
      </x:c>
      <x:c r="H80" s="121" t="n">
        <x:v>0.125</x:v>
      </x:c>
      <x:c r="I80" s="121" t="n">
        <x:v>100</x:v>
      </x:c>
      <x:c r="J80" s="121" t="n">
        <x:v>88</x:v>
      </x:c>
      <x:c r="K80" s="121" t="n">
        <x:v>88</x:v>
      </x:c>
      <x:c r="L80" s="121" t="n">
        <x:v>12</x:v>
      </x:c>
      <x:c r="M80" s="121" t="n">
        <x:v>0</x:v>
      </x:c>
      <x:c r="N80" s="121" t="n">
        <x:v>-0.40500000000000114</x:v>
      </x:c>
      <x:c r="O80" s="121" t="n">
        <x:v>-0.40500000000000114</x:v>
      </x:c>
      <x:c r="P80" s="121" t="n">
        <x:v>1.1099999999999994</x:v>
      </x:c>
      <x:c r="Q80" s="121" t="n">
        <x:v>0.40500000000000114</x:v>
      </x:c>
    </x:row>
    <x:row r="81">
      <x:c r="A81" t="n">
        <x:v>1000</x:v>
      </x:c>
      <x:c r="B81" t="n">
        <x:v>200</x:v>
      </x:c>
      <x:c r="C81" t="n">
        <x:v>20260707</x:v>
      </x:c>
      <x:c r="D81" t="str">
        <x:v>R10</x:v>
      </x:c>
      <x:c r="E81" t="str">
        <x:v>61–90</x:v>
      </x:c>
      <x:c r="F81" s="121" t="n">
        <x:v>2.5</x:v>
      </x:c>
      <x:c r="G81" s="121" t="n">
        <x:v>8</x:v>
      </x:c>
      <x:c r="H81" s="121" t="n">
        <x:v>0.25</x:v>
      </x:c>
      <x:c r="I81" s="121" t="n">
        <x:v>100</x:v>
      </x:c>
      <x:c r="J81" s="121" t="n">
        <x:v>88</x:v>
      </x:c>
      <x:c r="K81" s="121" t="n">
        <x:v>88</x:v>
      </x:c>
      <x:c r="L81" s="121" t="n">
        <x:v>12</x:v>
      </x:c>
      <x:c r="M81" s="121" t="n">
        <x:v>0</x:v>
      </x:c>
      <x:c r="N81" s="121" t="n">
        <x:v>-0.40500000000000114</x:v>
      </x:c>
      <x:c r="O81" s="121" t="n">
        <x:v>-0.40500000000000114</x:v>
      </x:c>
      <x:c r="P81" s="121" t="n">
        <x:v>1.1099999999999994</x:v>
      </x:c>
      <x:c r="Q81" s="121" t="n">
        <x:v>0.40500000000000114</x:v>
      </x:c>
    </x:row>
    <x:row r="82">
      <x:c r="A82" t="n">
        <x:v>1000</x:v>
      </x:c>
      <x:c r="B82" t="n">
        <x:v>200</x:v>
      </x:c>
      <x:c r="C82" t="n">
        <x:v>20260707</x:v>
      </x:c>
      <x:c r="D82" t="str">
        <x:v>R10</x:v>
      </x:c>
      <x:c r="E82" t="str">
        <x:v>61–90</x:v>
      </x:c>
      <x:c r="F82" s="121" t="n">
        <x:v>2.5</x:v>
      </x:c>
      <x:c r="G82" s="121" t="n">
        <x:v>8</x:v>
      </x:c>
      <x:c r="H82" s="121" t="n">
        <x:v>0.5</x:v>
      </x:c>
      <x:c r="I82" s="121" t="n">
        <x:v>100</x:v>
      </x:c>
      <x:c r="J82" s="121" t="n">
        <x:v>88</x:v>
      </x:c>
      <x:c r="K82" s="121" t="n">
        <x:v>88</x:v>
      </x:c>
      <x:c r="L82" s="121" t="n">
        <x:v>12</x:v>
      </x:c>
      <x:c r="M82" s="121" t="n">
        <x:v>0</x:v>
      </x:c>
      <x:c r="N82" s="121" t="n">
        <x:v>-0.40500000000000114</x:v>
      </x:c>
      <x:c r="O82" s="121" t="n">
        <x:v>-0.40500000000000114</x:v>
      </x:c>
      <x:c r="P82" s="121" t="n">
        <x:v>1.1099999999999994</x:v>
      </x:c>
      <x:c r="Q82" s="121" t="n">
        <x:v>0.40500000000000114</x:v>
      </x:c>
    </x:row>
    <x:row r="83">
      <x:c r="A83" t="n">
        <x:v>1000</x:v>
      </x:c>
      <x:c r="B83" t="n">
        <x:v>200</x:v>
      </x:c>
      <x:c r="C83" t="n">
        <x:v>20260707</x:v>
      </x:c>
      <x:c r="D83" t="str">
        <x:v>R10</x:v>
      </x:c>
      <x:c r="E83" t="str">
        <x:v>61–90</x:v>
      </x:c>
      <x:c r="F83" s="121" t="n">
        <x:v>2.5</x:v>
      </x:c>
      <x:c r="G83" s="121" t="n">
        <x:v>8</x:v>
      </x:c>
      <x:c r="H83" s="121" t="n">
        <x:v>1</x:v>
      </x:c>
      <x:c r="I83" s="121" t="n">
        <x:v>100</x:v>
      </x:c>
      <x:c r="J83" s="121" t="n">
        <x:v>88</x:v>
      </x:c>
      <x:c r="K83" s="121" t="n">
        <x:v>88</x:v>
      </x:c>
      <x:c r="L83" s="121" t="n">
        <x:v>12</x:v>
      </x:c>
      <x:c r="M83" s="121" t="n">
        <x:v>0.0049999999999954525</x:v>
      </x:c>
      <x:c r="N83" s="121" t="n">
        <x:v>-0.40500000000000114</x:v>
      </x:c>
      <x:c r="O83" s="121" t="n">
        <x:v>-0.40500000000000114</x:v>
      </x:c>
      <x:c r="P83" s="121" t="n">
        <x:v>1.1099999999999994</x:v>
      </x:c>
      <x:c r="Q83" s="121" t="n">
        <x:v>0.40500000000000114</x:v>
      </x:c>
    </x:row>
    <x:row r="84">
      <x:c r="A84" t="n">
        <x:v>1000</x:v>
      </x:c>
      <x:c r="B84" t="n">
        <x:v>200</x:v>
      </x:c>
      <x:c r="C84" t="n">
        <x:v>20260707</x:v>
      </x:c>
      <x:c r="D84" t="str">
        <x:v>R10</x:v>
      </x:c>
      <x:c r="E84" t="str">
        <x:v>61–90</x:v>
      </x:c>
      <x:c r="F84" s="121" t="n">
        <x:v>2.5</x:v>
      </x:c>
      <x:c r="G84" s="121" t="n">
        <x:v>8</x:v>
      </x:c>
      <x:c r="H84" s="121" t="n">
        <x:v>2</x:v>
      </x:c>
      <x:c r="I84" s="121" t="n">
        <x:v>99.5</x:v>
      </x:c>
      <x:c r="J84" s="121" t="n">
        <x:v>88</x:v>
      </x:c>
      <x:c r="K84" s="121" t="n">
        <x:v>88</x:v>
      </x:c>
      <x:c r="L84" s="121" t="n">
        <x:v>12</x:v>
      </x:c>
      <x:c r="M84" s="121" t="n">
        <x:v>-0.05500000000000682</x:v>
      </x:c>
      <x:c r="N84" s="121" t="n">
        <x:v>-0.40500000000000114</x:v>
      </x:c>
      <x:c r="O84" s="121" t="n">
        <x:v>-0.40500000000000114</x:v>
      </x:c>
      <x:c r="P84" s="121" t="n">
        <x:v>1.1099999999999994</x:v>
      </x:c>
      <x:c r="Q84" s="121" t="n">
        <x:v>0.40500000000000114</x:v>
      </x:c>
    </x:row>
    <x:row r="85">
      <x:c r="A85" t="n">
        <x:v>1000</x:v>
      </x:c>
      <x:c r="B85" t="n">
        <x:v>200</x:v>
      </x:c>
      <x:c r="C85" t="n">
        <x:v>20260707</x:v>
      </x:c>
      <x:c r="D85" t="str">
        <x:v>R10</x:v>
      </x:c>
      <x:c r="E85" t="str">
        <x:v>61–90</x:v>
      </x:c>
      <x:c r="F85" s="121" t="n">
        <x:v>2.5</x:v>
      </x:c>
      <x:c r="G85" s="121" t="n">
        <x:v>8</x:v>
      </x:c>
      <x:c r="H85" s="121" t="n">
        <x:v>4</x:v>
      </x:c>
      <x:c r="I85" s="121" t="n">
        <x:v>94</x:v>
      </x:c>
      <x:c r="J85" s="121" t="n">
        <x:v>88</x:v>
      </x:c>
      <x:c r="K85" s="121" t="n">
        <x:v>88</x:v>
      </x:c>
      <x:c r="L85" s="121" t="n">
        <x:v>12</x:v>
      </x:c>
      <x:c r="M85" s="121" t="n">
        <x:v>0.894999999999996</x:v>
      </x:c>
      <x:c r="N85" s="121" t="n">
        <x:v>-0.40500000000000114</x:v>
      </x:c>
      <x:c r="O85" s="121" t="n">
        <x:v>0.23999999999999488</x:v>
      </x:c>
      <x:c r="P85" s="121" t="n">
        <x:v>1.1099999999999994</x:v>
      </x:c>
      <x:c r="Q85" s="121" t="n">
        <x:v>0.23999999999999488</x:v>
      </x:c>
    </x:row>
    <x:row r="86">
      <x:c r="A86" t="n">
        <x:v>1000</x:v>
      </x:c>
      <x:c r="B86" t="n">
        <x:v>200</x:v>
      </x:c>
      <x:c r="C86" t="n">
        <x:v>20260707</x:v>
      </x:c>
      <x:c r="D86" t="str">
        <x:v>R10</x:v>
      </x:c>
      <x:c r="E86" t="str">
        <x:v>61–90</x:v>
      </x:c>
      <x:c r="F86" s="121" t="n">
        <x:v>2.5</x:v>
      </x:c>
      <x:c r="G86" s="121" t="n">
        <x:v>8</x:v>
      </x:c>
      <x:c r="H86" s="121" t="n">
        <x:v>8</x:v>
      </x:c>
      <x:c r="I86" s="121" t="n">
        <x:v>64.5</x:v>
      </x:c>
      <x:c r="J86" s="121" t="n">
        <x:v>88</x:v>
      </x:c>
      <x:c r="K86" s="121" t="n">
        <x:v>64.5</x:v>
      </x:c>
      <x:c r="L86" s="121" t="n">
        <x:v>12</x:v>
      </x:c>
      <x:c r="M86" s="121" t="n">
        <x:v>-0.4449999999999932</x:v>
      </x:c>
      <x:c r="N86" s="121" t="n">
        <x:v>-0.40500000000000114</x:v>
      </x:c>
      <x:c r="O86" s="121" t="n">
        <x:v>-0.4299999999999926</x:v>
      </x:c>
      <x:c r="P86" s="121" t="n">
        <x:v>1.1099999999999994</x:v>
      </x:c>
      <x:c r="Q86" s="121" t="n">
        <x:v>0.4299999999999926</x:v>
      </x:c>
    </x:row>
    <x:row r="87">
      <x:c r="A87" t="n">
        <x:v>1000</x:v>
      </x:c>
      <x:c r="B87" t="n">
        <x:v>200</x:v>
      </x:c>
      <x:c r="C87" t="n">
        <x:v>20260707</x:v>
      </x:c>
      <x:c r="D87" t="str">
        <x:v>R10</x:v>
      </x:c>
      <x:c r="E87" t="str">
        <x:v>61–90</x:v>
      </x:c>
      <x:c r="F87" s="121" t="n">
        <x:v>2.5</x:v>
      </x:c>
      <x:c r="G87" s="121" t="n">
        <x:v>8</x:v>
      </x:c>
      <x:c r="H87" s="121" t="n">
        <x:v>16</x:v>
      </x:c>
      <x:c r="I87" s="121" t="n">
        <x:v>27</x:v>
      </x:c>
      <x:c r="J87" s="121" t="n">
        <x:v>88</x:v>
      </x:c>
      <x:c r="K87" s="121" t="n">
        <x:v>27</x:v>
      </x:c>
      <x:c r="L87" s="121" t="n">
        <x:v>12</x:v>
      </x:c>
      <x:c r="M87" s="121" t="n">
        <x:v>3.25</x:v>
      </x:c>
      <x:c r="N87" s="121" t="n">
        <x:v>-0.40500000000000114</x:v>
      </x:c>
      <x:c r="O87" s="121" t="n">
        <x:v>3.25</x:v>
      </x:c>
      <x:c r="P87" s="121" t="n">
        <x:v>1.1099999999999994</x:v>
      </x:c>
      <x:c r="Q87" s="121" t="n">
        <x:v>3.25</x:v>
      </x:c>
    </x:row>
    <x:row r="88">
      <x:c r="A88" t="n">
        <x:v>1000</x:v>
      </x:c>
      <x:c r="B88" t="n">
        <x:v>200</x:v>
      </x:c>
      <x:c r="C88" t="n">
        <x:v>20260707</x:v>
      </x:c>
      <x:c r="D88" t="str">
        <x:v>R10</x:v>
      </x:c>
      <x:c r="E88" t="str">
        <x:v>61–90</x:v>
      </x:c>
      <x:c r="F88" s="121" t="n">
        <x:v>2.5</x:v>
      </x:c>
      <x:c r="G88" s="121" t="n">
        <x:v>8</x:v>
      </x:c>
      <x:c r="H88" s="121" t="n">
        <x:v>32</x:v>
      </x:c>
      <x:c r="I88" s="121" t="n">
        <x:v>4.5</x:v>
      </x:c>
      <x:c r="J88" s="121" t="n">
        <x:v>88</x:v>
      </x:c>
      <x:c r="K88" s="121" t="n">
        <x:v>4.5</x:v>
      </x:c>
      <x:c r="L88" s="121" t="n">
        <x:v>12</x:v>
      </x:c>
      <x:c r="M88" s="121" t="n">
        <x:v>1.0150000000000001</x:v>
      </x:c>
      <x:c r="N88" s="121" t="n">
        <x:v>-0.40500000000000114</x:v>
      </x:c>
      <x:c r="O88" s="121" t="n">
        <x:v>1.0150000000000001</x:v>
      </x:c>
      <x:c r="P88" s="121" t="n">
        <x:v>1.1099999999999994</x:v>
      </x:c>
      <x:c r="Q88" s="121" t="n">
        <x:v>1.0150000000000001</x:v>
      </x:c>
    </x:row>
    <x:row r="89">
      <x:c r="A89" t="n">
        <x:v>1000</x:v>
      </x:c>
      <x:c r="B89" t="n">
        <x:v>200</x:v>
      </x:c>
      <x:c r="C89" t="n">
        <x:v>20260707</x:v>
      </x:c>
      <x:c r="D89" t="str">
        <x:v>R10</x:v>
      </x:c>
      <x:c r="E89" t="str">
        <x:v>61–90</x:v>
      </x:c>
      <x:c r="F89" s="121" t="n">
        <x:v>2.5</x:v>
      </x:c>
      <x:c r="G89" s="121" t="n">
        <x:v>8</x:v>
      </x:c>
      <x:c r="H89" s="121" t="n">
        <x:v>64</x:v>
      </x:c>
      <x:c r="I89" s="121" t="n">
        <x:v>0</x:v>
      </x:c>
      <x:c r="J89" s="121" t="n">
        <x:v>88</x:v>
      </x:c>
      <x:c r="K89" s="121" t="n">
        <x:v>0</x:v>
      </x:c>
      <x:c r="L89" s="121" t="n">
        <x:v>12</x:v>
      </x:c>
      <x:c r="M89" s="121" t="n">
        <x:v>-0.11499999999999999</x:v>
      </x:c>
      <x:c r="N89" s="121" t="n">
        <x:v>-0.40500000000000114</x:v>
      </x:c>
      <x:c r="O89" s="121" t="n">
        <x:v>-0.11499999999999999</x:v>
      </x:c>
      <x:c r="P89" s="121" t="n">
        <x:v>1.1099999999999994</x:v>
      </x:c>
      <x:c r="Q89" s="121" t="n">
        <x:v>0.11499999999999999</x:v>
      </x:c>
    </x:row>
    <x:row r="90">
      <x:c r="A90" t="n">
        <x:v>1000</x:v>
      </x:c>
      <x:c r="B90" t="n">
        <x:v>200</x:v>
      </x:c>
      <x:c r="C90" t="n">
        <x:v>20260707</x:v>
      </x:c>
      <x:c r="D90" t="str">
        <x:v>R11</x:v>
      </x:c>
      <x:c r="E90" t="str">
        <x:v>91–120</x:v>
      </x:c>
      <x:c r="F90" s="121" t="n">
        <x:v>2.5</x:v>
      </x:c>
      <x:c r="G90" s="121" t="n">
        <x:v>8</x:v>
      </x:c>
      <x:c r="H90" s="121" t="n">
        <x:v>0.0625</x:v>
      </x:c>
      <x:c r="I90" s="121" t="n">
        <x:v>100</x:v>
      </x:c>
      <x:c r="J90" s="121" t="n">
        <x:v>76</x:v>
      </x:c>
      <x:c r="K90" s="121" t="n">
        <x:v>76</x:v>
      </x:c>
      <x:c r="L90" s="121" t="n">
        <x:v>4.5</x:v>
      </x:c>
      <x:c r="M90" s="121" t="n">
        <x:v>0</x:v>
      </x:c>
      <x:c r="N90" s="121" t="n">
        <x:v>-2.180000000000007</x:v>
      </x:c>
      <x:c r="O90" s="121" t="n">
        <x:v>-2.180000000000007</x:v>
      </x:c>
      <x:c r="P90" s="121" t="n">
        <x:v>-0.6499999999999995</x:v>
      </x:c>
      <x:c r="Q90" s="121" t="n">
        <x:v>2.180000000000007</x:v>
      </x:c>
    </x:row>
    <x:row r="91">
      <x:c r="A91" t="n">
        <x:v>1000</x:v>
      </x:c>
      <x:c r="B91" t="n">
        <x:v>200</x:v>
      </x:c>
      <x:c r="C91" t="n">
        <x:v>20260707</x:v>
      </x:c>
      <x:c r="D91" t="str">
        <x:v>R11</x:v>
      </x:c>
      <x:c r="E91" t="str">
        <x:v>91–120</x:v>
      </x:c>
      <x:c r="F91" s="121" t="n">
        <x:v>2.5</x:v>
      </x:c>
      <x:c r="G91" s="121" t="n">
        <x:v>8</x:v>
      </x:c>
      <x:c r="H91" s="121" t="n">
        <x:v>0.125</x:v>
      </x:c>
      <x:c r="I91" s="121" t="n">
        <x:v>100</x:v>
      </x:c>
      <x:c r="J91" s="121" t="n">
        <x:v>76</x:v>
      </x:c>
      <x:c r="K91" s="121" t="n">
        <x:v>76</x:v>
      </x:c>
      <x:c r="L91" s="121" t="n">
        <x:v>4.5</x:v>
      </x:c>
      <x:c r="M91" s="121" t="n">
        <x:v>0</x:v>
      </x:c>
      <x:c r="N91" s="121" t="n">
        <x:v>-2.180000000000007</x:v>
      </x:c>
      <x:c r="O91" s="121" t="n">
        <x:v>-2.180000000000007</x:v>
      </x:c>
      <x:c r="P91" s="121" t="n">
        <x:v>-0.6499999999999995</x:v>
      </x:c>
      <x:c r="Q91" s="121" t="n">
        <x:v>2.180000000000007</x:v>
      </x:c>
    </x:row>
    <x:row r="92">
      <x:c r="A92" t="n">
        <x:v>1000</x:v>
      </x:c>
      <x:c r="B92" t="n">
        <x:v>200</x:v>
      </x:c>
      <x:c r="C92" t="n">
        <x:v>20260707</x:v>
      </x:c>
      <x:c r="D92" t="str">
        <x:v>R11</x:v>
      </x:c>
      <x:c r="E92" t="str">
        <x:v>91–120</x:v>
      </x:c>
      <x:c r="F92" s="121" t="n">
        <x:v>2.5</x:v>
      </x:c>
      <x:c r="G92" s="121" t="n">
        <x:v>8</x:v>
      </x:c>
      <x:c r="H92" s="121" t="n">
        <x:v>0.25</x:v>
      </x:c>
      <x:c r="I92" s="121" t="n">
        <x:v>100</x:v>
      </x:c>
      <x:c r="J92" s="121" t="n">
        <x:v>76</x:v>
      </x:c>
      <x:c r="K92" s="121" t="n">
        <x:v>76</x:v>
      </x:c>
      <x:c r="L92" s="121" t="n">
        <x:v>4.5</x:v>
      </x:c>
      <x:c r="M92" s="121" t="n">
        <x:v>0</x:v>
      </x:c>
      <x:c r="N92" s="121" t="n">
        <x:v>-2.180000000000007</x:v>
      </x:c>
      <x:c r="O92" s="121" t="n">
        <x:v>-2.180000000000007</x:v>
      </x:c>
      <x:c r="P92" s="121" t="n">
        <x:v>-0.6499999999999995</x:v>
      </x:c>
      <x:c r="Q92" s="121" t="n">
        <x:v>2.180000000000007</x:v>
      </x:c>
    </x:row>
    <x:row r="93">
      <x:c r="A93" t="n">
        <x:v>1000</x:v>
      </x:c>
      <x:c r="B93" t="n">
        <x:v>200</x:v>
      </x:c>
      <x:c r="C93" t="n">
        <x:v>20260707</x:v>
      </x:c>
      <x:c r="D93" t="str">
        <x:v>R11</x:v>
      </x:c>
      <x:c r="E93" t="str">
        <x:v>91–120</x:v>
      </x:c>
      <x:c r="F93" s="121" t="n">
        <x:v>2.5</x:v>
      </x:c>
      <x:c r="G93" s="121" t="n">
        <x:v>8</x:v>
      </x:c>
      <x:c r="H93" s="121" t="n">
        <x:v>0.5</x:v>
      </x:c>
      <x:c r="I93" s="121" t="n">
        <x:v>100</x:v>
      </x:c>
      <x:c r="J93" s="121" t="n">
        <x:v>76</x:v>
      </x:c>
      <x:c r="K93" s="121" t="n">
        <x:v>76</x:v>
      </x:c>
      <x:c r="L93" s="121" t="n">
        <x:v>4.5</x:v>
      </x:c>
      <x:c r="M93" s="121" t="n">
        <x:v>0.0049999999999954525</x:v>
      </x:c>
      <x:c r="N93" s="121" t="n">
        <x:v>-2.180000000000007</x:v>
      </x:c>
      <x:c r="O93" s="121" t="n">
        <x:v>-2.180000000000007</x:v>
      </x:c>
      <x:c r="P93" s="121" t="n">
        <x:v>-0.6499999999999995</x:v>
      </x:c>
      <x:c r="Q93" s="121" t="n">
        <x:v>2.180000000000007</x:v>
      </x:c>
    </x:row>
    <x:row r="94">
      <x:c r="A94" t="n">
        <x:v>1000</x:v>
      </x:c>
      <x:c r="B94" t="n">
        <x:v>200</x:v>
      </x:c>
      <x:c r="C94" t="n">
        <x:v>20260707</x:v>
      </x:c>
      <x:c r="D94" t="str">
        <x:v>R11</x:v>
      </x:c>
      <x:c r="E94" t="str">
        <x:v>91–120</x:v>
      </x:c>
      <x:c r="F94" s="121" t="n">
        <x:v>2.5</x:v>
      </x:c>
      <x:c r="G94" s="121" t="n">
        <x:v>8</x:v>
      </x:c>
      <x:c r="H94" s="121" t="n">
        <x:v>1</x:v>
      </x:c>
      <x:c r="I94" s="121" t="n">
        <x:v>100</x:v>
      </x:c>
      <x:c r="J94" s="121" t="n">
        <x:v>76</x:v>
      </x:c>
      <x:c r="K94" s="121" t="n">
        <x:v>76</x:v>
      </x:c>
      <x:c r="L94" s="121" t="n">
        <x:v>4.5</x:v>
      </x:c>
      <x:c r="M94" s="121" t="n">
        <x:v>0.04999999999999716</x:v>
      </x:c>
      <x:c r="N94" s="121" t="n">
        <x:v>-2.180000000000007</x:v>
      </x:c>
      <x:c r="O94" s="121" t="n">
        <x:v>-2.180000000000007</x:v>
      </x:c>
      <x:c r="P94" s="121" t="n">
        <x:v>-0.6499999999999995</x:v>
      </x:c>
      <x:c r="Q94" s="121" t="n">
        <x:v>2.180000000000007</x:v>
      </x:c>
    </x:row>
    <x:row r="95">
      <x:c r="A95" t="n">
        <x:v>1000</x:v>
      </x:c>
      <x:c r="B95" t="n">
        <x:v>200</x:v>
      </x:c>
      <x:c r="C95" t="n">
        <x:v>20260707</x:v>
      </x:c>
      <x:c r="D95" t="str">
        <x:v>R11</x:v>
      </x:c>
      <x:c r="E95" t="str">
        <x:v>91–120</x:v>
      </x:c>
      <x:c r="F95" s="121" t="n">
        <x:v>2.5</x:v>
      </x:c>
      <x:c r="G95" s="121" t="n">
        <x:v>8</x:v>
      </x:c>
      <x:c r="H95" s="121" t="n">
        <x:v>2</x:v>
      </x:c>
      <x:c r="I95" s="121" t="n">
        <x:v>98</x:v>
      </x:c>
      <x:c r="J95" s="121" t="n">
        <x:v>76</x:v>
      </x:c>
      <x:c r="K95" s="121" t="n">
        <x:v>76</x:v>
      </x:c>
      <x:c r="L95" s="121" t="n">
        <x:v>4.5</x:v>
      </x:c>
      <x:c r="M95" s="121" t="n">
        <x:v>-0.769999999999996</x:v>
      </x:c>
      <x:c r="N95" s="121" t="n">
        <x:v>-2.180000000000007</x:v>
      </x:c>
      <x:c r="O95" s="121" t="n">
        <x:v>-2.180000000000007</x:v>
      </x:c>
      <x:c r="P95" s="121" t="n">
        <x:v>-0.6499999999999995</x:v>
      </x:c>
      <x:c r="Q95" s="121" t="n">
        <x:v>2.180000000000007</x:v>
      </x:c>
    </x:row>
    <x:row r="96">
      <x:c r="A96" t="n">
        <x:v>1000</x:v>
      </x:c>
      <x:c r="B96" t="n">
        <x:v>200</x:v>
      </x:c>
      <x:c r="C96" t="n">
        <x:v>20260707</x:v>
      </x:c>
      <x:c r="D96" t="str">
        <x:v>R11</x:v>
      </x:c>
      <x:c r="E96" t="str">
        <x:v>91–120</x:v>
      </x:c>
      <x:c r="F96" s="121" t="n">
        <x:v>2.5</x:v>
      </x:c>
      <x:c r="G96" s="121" t="n">
        <x:v>8</x:v>
      </x:c>
      <x:c r="H96" s="121" t="n">
        <x:v>4</x:v>
      </x:c>
      <x:c r="I96" s="121" t="n">
        <x:v>84</x:v>
      </x:c>
      <x:c r="J96" s="121" t="n">
        <x:v>76</x:v>
      </x:c>
      <x:c r="K96" s="121" t="n">
        <x:v>75</x:v>
      </x:c>
      <x:c r="L96" s="121" t="n">
        <x:v>4.5</x:v>
      </x:c>
      <x:c r="M96" s="121" t="n">
        <x:v>-2.905000000000001</x:v>
      </x:c>
      <x:c r="N96" s="121" t="n">
        <x:v>-2.180000000000007</x:v>
      </x:c>
      <x:c r="O96" s="121" t="n">
        <x:v>-2.4599999999999937</x:v>
      </x:c>
      <x:c r="P96" s="121" t="n">
        <x:v>-0.6499999999999995</x:v>
      </x:c>
      <x:c r="Q96" s="121" t="n">
        <x:v>2.4599999999999937</x:v>
      </x:c>
    </x:row>
    <x:row r="97">
      <x:c r="A97" t="n">
        <x:v>1000</x:v>
      </x:c>
      <x:c r="B97" t="n">
        <x:v>200</x:v>
      </x:c>
      <x:c r="C97" t="n">
        <x:v>20260707</x:v>
      </x:c>
      <x:c r="D97" t="str">
        <x:v>R11</x:v>
      </x:c>
      <x:c r="E97" t="str">
        <x:v>91–120</x:v>
      </x:c>
      <x:c r="F97" s="121" t="n">
        <x:v>2.5</x:v>
      </x:c>
      <x:c r="G97" s="121" t="n">
        <x:v>8</x:v>
      </x:c>
      <x:c r="H97" s="121" t="n">
        <x:v>8</x:v>
      </x:c>
      <x:c r="I97" s="121" t="n">
        <x:v>44</x:v>
      </x:c>
      <x:c r="J97" s="121" t="n">
        <x:v>76</x:v>
      </x:c>
      <x:c r="K97" s="121" t="n">
        <x:v>43.5</x:v>
      </x:c>
      <x:c r="L97" s="121" t="n">
        <x:v>4.5</x:v>
      </x:c>
      <x:c r="M97" s="121" t="n">
        <x:v>-6.690000000000005</x:v>
      </x:c>
      <x:c r="N97" s="121" t="n">
        <x:v>-2.180000000000007</x:v>
      </x:c>
      <x:c r="O97" s="121" t="n">
        <x:v>-7.165000000000006</x:v>
      </x:c>
      <x:c r="P97" s="121" t="n">
        <x:v>-0.6499999999999995</x:v>
      </x:c>
      <x:c r="Q97" s="121" t="n">
        <x:v>7.165000000000006</x:v>
      </x:c>
    </x:row>
    <x:row r="98">
      <x:c r="A98" t="n">
        <x:v>1000</x:v>
      </x:c>
      <x:c r="B98" t="n">
        <x:v>200</x:v>
      </x:c>
      <x:c r="C98" t="n">
        <x:v>20260707</x:v>
      </x:c>
      <x:c r="D98" t="str">
        <x:v>R11</x:v>
      </x:c>
      <x:c r="E98" t="str">
        <x:v>91–120</x:v>
      </x:c>
      <x:c r="F98" s="121" t="n">
        <x:v>2.5</x:v>
      </x:c>
      <x:c r="G98" s="121" t="n">
        <x:v>8</x:v>
      </x:c>
      <x:c r="H98" s="121" t="n">
        <x:v>16</x:v>
      </x:c>
      <x:c r="I98" s="121" t="n">
        <x:v>10.5</x:v>
      </x:c>
      <x:c r="J98" s="121" t="n">
        <x:v>76</x:v>
      </x:c>
      <x:c r="K98" s="121" t="n">
        <x:v>10.5</x:v>
      </x:c>
      <x:c r="L98" s="121" t="n">
        <x:v>4.5</x:v>
      </x:c>
      <x:c r="M98" s="121" t="n">
        <x:v>-2.969999999999999</x:v>
      </x:c>
      <x:c r="N98" s="121" t="n">
        <x:v>-2.180000000000007</x:v>
      </x:c>
      <x:c r="O98" s="121" t="n">
        <x:v>-2.969999999999999</x:v>
      </x:c>
      <x:c r="P98" s="121" t="n">
        <x:v>-0.6499999999999995</x:v>
      </x:c>
      <x:c r="Q98" s="121" t="n">
        <x:v>2.969999999999999</x:v>
      </x:c>
    </x:row>
    <x:row r="99">
      <x:c r="A99" t="n">
        <x:v>1000</x:v>
      </x:c>
      <x:c r="B99" t="n">
        <x:v>200</x:v>
      </x:c>
      <x:c r="C99" t="n">
        <x:v>20260707</x:v>
      </x:c>
      <x:c r="D99" t="str">
        <x:v>R11</x:v>
      </x:c>
      <x:c r="E99" t="str">
        <x:v>91–120</x:v>
      </x:c>
      <x:c r="F99" s="121" t="n">
        <x:v>2.5</x:v>
      </x:c>
      <x:c r="G99" s="121" t="n">
        <x:v>8</x:v>
      </x:c>
      <x:c r="H99" s="121" t="n">
        <x:v>32</x:v>
      </x:c>
      <x:c r="I99" s="121" t="n">
        <x:v>1.5</x:v>
      </x:c>
      <x:c r="J99" s="121" t="n">
        <x:v>76</x:v>
      </x:c>
      <x:c r="K99" s="121" t="n">
        <x:v>1.5</x:v>
      </x:c>
      <x:c r="L99" s="121" t="n">
        <x:v>4.5</x:v>
      </x:c>
      <x:c r="M99" s="121" t="n">
        <x:v>0.20999999999999996</x:v>
      </x:c>
      <x:c r="N99" s="121" t="n">
        <x:v>-2.180000000000007</x:v>
      </x:c>
      <x:c r="O99" s="121" t="n">
        <x:v>0.20999999999999996</x:v>
      </x:c>
      <x:c r="P99" s="121" t="n">
        <x:v>-0.6499999999999995</x:v>
      </x:c>
      <x:c r="Q99" s="121" t="n">
        <x:v>0.20999999999999996</x:v>
      </x:c>
    </x:row>
    <x:row r="100">
      <x:c r="A100" t="n">
        <x:v>1000</x:v>
      </x:c>
      <x:c r="B100" t="n">
        <x:v>200</x:v>
      </x:c>
      <x:c r="C100" t="n">
        <x:v>20260707</x:v>
      </x:c>
      <x:c r="D100" t="str">
        <x:v>R11</x:v>
      </x:c>
      <x:c r="E100" t="str">
        <x:v>91–120</x:v>
      </x:c>
      <x:c r="F100" s="121" t="n">
        <x:v>2.5</x:v>
      </x:c>
      <x:c r="G100" s="121" t="n">
        <x:v>8</x:v>
      </x:c>
      <x:c r="H100" s="121" t="n">
        <x:v>64</x:v>
      </x:c>
      <x:c r="I100" s="121" t="n">
        <x:v>0</x:v>
      </x:c>
      <x:c r="J100" s="121" t="n">
        <x:v>76</x:v>
      </x:c>
      <x:c r="K100" s="121" t="n">
        <x:v>0</x:v>
      </x:c>
      <x:c r="L100" s="121" t="n">
        <x:v>4.5</x:v>
      </x:c>
      <x:c r="M100" s="121" t="n">
        <x:v>-0.015</x:v>
      </x:c>
      <x:c r="N100" s="121" t="n">
        <x:v>-2.180000000000007</x:v>
      </x:c>
      <x:c r="O100" s="121" t="n">
        <x:v>-0.015</x:v>
      </x:c>
      <x:c r="P100" s="121" t="n">
        <x:v>-0.6499999999999995</x:v>
      </x:c>
      <x:c r="Q100" s="121" t="n">
        <x:v>0.015</x:v>
      </x:c>
    </x:row>
    <x:row r="101">
      <x:c r="A101" t="n">
        <x:v>1000</x:v>
      </x:c>
      <x:c r="B101" t="n">
        <x:v>200</x:v>
      </x:c>
      <x:c r="C101" t="n">
        <x:v>20260707</x:v>
      </x:c>
      <x:c r="D101" t="str">
        <x:v>R12</x:v>
      </x:c>
      <x:c r="E101" t="str">
        <x:v>91–120</x:v>
      </x:c>
      <x:c r="F101" s="121" t="n">
        <x:v>2.5</x:v>
      </x:c>
      <x:c r="G101" s="121" t="n">
        <x:v>6</x:v>
      </x:c>
      <x:c r="H101" s="121" t="n">
        <x:v>0.0625</x:v>
      </x:c>
      <x:c r="I101" s="121" t="n">
        <x:v>100</x:v>
      </x:c>
      <x:c r="J101" s="121" t="n">
        <x:v>88.5</x:v>
      </x:c>
      <x:c r="K101" s="121" t="n">
        <x:v>88.5</x:v>
      </x:c>
      <x:c r="L101" s="121" t="n">
        <x:v>10</x:v>
      </x:c>
      <x:c r="M101" s="121" t="n">
        <x:v>0</x:v>
      </x:c>
      <x:c r="N101" s="121" t="n">
        <x:v>0.03999999999999204</x:v>
      </x:c>
      <x:c r="O101" s="121" t="n">
        <x:v>0.03999999999999204</x:v>
      </x:c>
      <x:c r="P101" s="121" t="n">
        <x:v>-2.3200000000000003</x:v>
      </x:c>
      <x:c r="Q101" s="121" t="n">
        <x:v>0.03999999999999204</x:v>
      </x:c>
    </x:row>
    <x:row r="102">
      <x:c r="A102" t="n">
        <x:v>1000</x:v>
      </x:c>
      <x:c r="B102" t="n">
        <x:v>200</x:v>
      </x:c>
      <x:c r="C102" t="n">
        <x:v>20260707</x:v>
      </x:c>
      <x:c r="D102" t="str">
        <x:v>R12</x:v>
      </x:c>
      <x:c r="E102" t="str">
        <x:v>91–120</x:v>
      </x:c>
      <x:c r="F102" s="121" t="n">
        <x:v>2.5</x:v>
      </x:c>
      <x:c r="G102" s="121" t="n">
        <x:v>6</x:v>
      </x:c>
      <x:c r="H102" s="121" t="n">
        <x:v>0.125</x:v>
      </x:c>
      <x:c r="I102" s="121" t="n">
        <x:v>100</x:v>
      </x:c>
      <x:c r="J102" s="121" t="n">
        <x:v>88.5</x:v>
      </x:c>
      <x:c r="K102" s="121" t="n">
        <x:v>88.5</x:v>
      </x:c>
      <x:c r="L102" s="121" t="n">
        <x:v>10</x:v>
      </x:c>
      <x:c r="M102" s="121" t="n">
        <x:v>0</x:v>
      </x:c>
      <x:c r="N102" s="121" t="n">
        <x:v>0.03999999999999204</x:v>
      </x:c>
      <x:c r="O102" s="121" t="n">
        <x:v>0.03999999999999204</x:v>
      </x:c>
      <x:c r="P102" s="121" t="n">
        <x:v>-2.3200000000000003</x:v>
      </x:c>
      <x:c r="Q102" s="121" t="n">
        <x:v>0.03999999999999204</x:v>
      </x:c>
    </x:row>
    <x:row r="103">
      <x:c r="A103" t="n">
        <x:v>1000</x:v>
      </x:c>
      <x:c r="B103" t="n">
        <x:v>200</x:v>
      </x:c>
      <x:c r="C103" t="n">
        <x:v>20260707</x:v>
      </x:c>
      <x:c r="D103" t="str">
        <x:v>R12</x:v>
      </x:c>
      <x:c r="E103" t="str">
        <x:v>91–120</x:v>
      </x:c>
      <x:c r="F103" s="121" t="n">
        <x:v>2.5</x:v>
      </x:c>
      <x:c r="G103" s="121" t="n">
        <x:v>6</x:v>
      </x:c>
      <x:c r="H103" s="121" t="n">
        <x:v>0.25</x:v>
      </x:c>
      <x:c r="I103" s="121" t="n">
        <x:v>100</x:v>
      </x:c>
      <x:c r="J103" s="121" t="n">
        <x:v>88.5</x:v>
      </x:c>
      <x:c r="K103" s="121" t="n">
        <x:v>88.5</x:v>
      </x:c>
      <x:c r="L103" s="121" t="n">
        <x:v>10</x:v>
      </x:c>
      <x:c r="M103" s="121" t="n">
        <x:v>0</x:v>
      </x:c>
      <x:c r="N103" s="121" t="n">
        <x:v>0.03999999999999204</x:v>
      </x:c>
      <x:c r="O103" s="121" t="n">
        <x:v>0.03999999999999204</x:v>
      </x:c>
      <x:c r="P103" s="121" t="n">
        <x:v>-2.3200000000000003</x:v>
      </x:c>
      <x:c r="Q103" s="121" t="n">
        <x:v>0.03999999999999204</x:v>
      </x:c>
    </x:row>
    <x:row r="104">
      <x:c r="A104" t="n">
        <x:v>1000</x:v>
      </x:c>
      <x:c r="B104" t="n">
        <x:v>200</x:v>
      </x:c>
      <x:c r="C104" t="n">
        <x:v>20260707</x:v>
      </x:c>
      <x:c r="D104" t="str">
        <x:v>R12</x:v>
      </x:c>
      <x:c r="E104" t="str">
        <x:v>91–120</x:v>
      </x:c>
      <x:c r="F104" s="121" t="n">
        <x:v>2.5</x:v>
      </x:c>
      <x:c r="G104" s="121" t="n">
        <x:v>6</x:v>
      </x:c>
      <x:c r="H104" s="121" t="n">
        <x:v>0.5</x:v>
      </x:c>
      <x:c r="I104" s="121" t="n">
        <x:v>100</x:v>
      </x:c>
      <x:c r="J104" s="121" t="n">
        <x:v>88.5</x:v>
      </x:c>
      <x:c r="K104" s="121" t="n">
        <x:v>88.5</x:v>
      </x:c>
      <x:c r="L104" s="121" t="n">
        <x:v>10</x:v>
      </x:c>
      <x:c r="M104" s="121" t="n">
        <x:v>0</x:v>
      </x:c>
      <x:c r="N104" s="121" t="n">
        <x:v>0.03999999999999204</x:v>
      </x:c>
      <x:c r="O104" s="121" t="n">
        <x:v>0.03999999999999204</x:v>
      </x:c>
      <x:c r="P104" s="121" t="n">
        <x:v>-2.3200000000000003</x:v>
      </x:c>
      <x:c r="Q104" s="121" t="n">
        <x:v>0.03999999999999204</x:v>
      </x:c>
    </x:row>
    <x:row r="105">
      <x:c r="A105" t="n">
        <x:v>1000</x:v>
      </x:c>
      <x:c r="B105" t="n">
        <x:v>200</x:v>
      </x:c>
      <x:c r="C105" t="n">
        <x:v>20260707</x:v>
      </x:c>
      <x:c r="D105" t="str">
        <x:v>R12</x:v>
      </x:c>
      <x:c r="E105" t="str">
        <x:v>91–120</x:v>
      </x:c>
      <x:c r="F105" s="121" t="n">
        <x:v>2.5</x:v>
      </x:c>
      <x:c r="G105" s="121" t="n">
        <x:v>6</x:v>
      </x:c>
      <x:c r="H105" s="121" t="n">
        <x:v>1</x:v>
      </x:c>
      <x:c r="I105" s="121" t="n">
        <x:v>100</x:v>
      </x:c>
      <x:c r="J105" s="121" t="n">
        <x:v>88.5</x:v>
      </x:c>
      <x:c r="K105" s="121" t="n">
        <x:v>88.5</x:v>
      </x:c>
      <x:c r="L105" s="121" t="n">
        <x:v>10</x:v>
      </x:c>
      <x:c r="M105" s="121" t="n">
        <x:v>0.010000000000005116</x:v>
      </x:c>
      <x:c r="N105" s="121" t="n">
        <x:v>0.03999999999999204</x:v>
      </x:c>
      <x:c r="O105" s="121" t="n">
        <x:v>0.03999999999999204</x:v>
      </x:c>
      <x:c r="P105" s="121" t="n">
        <x:v>-2.3200000000000003</x:v>
      </x:c>
      <x:c r="Q105" s="121" t="n">
        <x:v>0.03999999999999204</x:v>
      </x:c>
    </x:row>
    <x:row r="106">
      <x:c r="A106" t="n">
        <x:v>1000</x:v>
      </x:c>
      <x:c r="B106" t="n">
        <x:v>200</x:v>
      </x:c>
      <x:c r="C106" t="n">
        <x:v>20260707</x:v>
      </x:c>
      <x:c r="D106" t="str">
        <x:v>R12</x:v>
      </x:c>
      <x:c r="E106" t="str">
        <x:v>91–120</x:v>
      </x:c>
      <x:c r="F106" s="121" t="n">
        <x:v>2.5</x:v>
      </x:c>
      <x:c r="G106" s="121" t="n">
        <x:v>6</x:v>
      </x:c>
      <x:c r="H106" s="121" t="n">
        <x:v>2</x:v>
      </x:c>
      <x:c r="I106" s="121" t="n">
        <x:v>99.5</x:v>
      </x:c>
      <x:c r="J106" s="121" t="n">
        <x:v>88.5</x:v>
      </x:c>
      <x:c r="K106" s="121" t="n">
        <x:v>88.5</x:v>
      </x:c>
      <x:c r="L106" s="121" t="n">
        <x:v>10</x:v>
      </x:c>
      <x:c r="M106" s="121" t="n">
        <x:v>-0.18000000000000682</x:v>
      </x:c>
      <x:c r="N106" s="121" t="n">
        <x:v>0.03999999999999204</x:v>
      </x:c>
      <x:c r="O106" s="121" t="n">
        <x:v>0.03999999999999204</x:v>
      </x:c>
      <x:c r="P106" s="121" t="n">
        <x:v>-2.3200000000000003</x:v>
      </x:c>
      <x:c r="Q106" s="121" t="n">
        <x:v>0.03999999999999204</x:v>
      </x:c>
    </x:row>
    <x:row r="107">
      <x:c r="A107" t="n">
        <x:v>1000</x:v>
      </x:c>
      <x:c r="B107" t="n">
        <x:v>200</x:v>
      </x:c>
      <x:c r="C107" t="n">
        <x:v>20260707</x:v>
      </x:c>
      <x:c r="D107" t="str">
        <x:v>R12</x:v>
      </x:c>
      <x:c r="E107" t="str">
        <x:v>91–120</x:v>
      </x:c>
      <x:c r="F107" s="121" t="n">
        <x:v>2.5</x:v>
      </x:c>
      <x:c r="G107" s="121" t="n">
        <x:v>6</x:v>
      </x:c>
      <x:c r="H107" s="121" t="n">
        <x:v>4</x:v>
      </x:c>
      <x:c r="I107" s="121" t="n">
        <x:v>91.5</x:v>
      </x:c>
      <x:c r="J107" s="121" t="n">
        <x:v>88.5</x:v>
      </x:c>
      <x:c r="K107" s="121" t="n">
        <x:v>86</x:v>
      </x:c>
      <x:c r="L107" s="121" t="n">
        <x:v>10</x:v>
      </x:c>
      <x:c r="M107" s="121" t="n">
        <x:v>-2.905000000000001</x:v>
      </x:c>
      <x:c r="N107" s="121" t="n">
        <x:v>0.03999999999999204</x:v>
      </x:c>
      <x:c r="O107" s="121" t="n">
        <x:v>-2.0700000000000074</x:v>
      </x:c>
      <x:c r="P107" s="121" t="n">
        <x:v>-2.3200000000000003</x:v>
      </x:c>
      <x:c r="Q107" s="121" t="n">
        <x:v>2.0700000000000074</x:v>
      </x:c>
    </x:row>
    <x:row r="108">
      <x:c r="A108" t="n">
        <x:v>1000</x:v>
      </x:c>
      <x:c r="B108" t="n">
        <x:v>200</x:v>
      </x:c>
      <x:c r="C108" t="n">
        <x:v>20260707</x:v>
      </x:c>
      <x:c r="D108" t="str">
        <x:v>R12</x:v>
      </x:c>
      <x:c r="E108" t="str">
        <x:v>91–120</x:v>
      </x:c>
      <x:c r="F108" s="121" t="n">
        <x:v>2.5</x:v>
      </x:c>
      <x:c r="G108" s="121" t="n">
        <x:v>6</x:v>
      </x:c>
      <x:c r="H108" s="121" t="n">
        <x:v>8</x:v>
      </x:c>
      <x:c r="I108" s="121" t="n">
        <x:v>62.5</x:v>
      </x:c>
      <x:c r="J108" s="121" t="n">
        <x:v>88.5</x:v>
      </x:c>
      <x:c r="K108" s="121" t="n">
        <x:v>62.5</x:v>
      </x:c>
      <x:c r="L108" s="121" t="n">
        <x:v>10</x:v>
      </x:c>
      <x:c r="M108" s="121" t="n">
        <x:v>-5.615000000000009</x:v>
      </x:c>
      <x:c r="N108" s="121" t="n">
        <x:v>0.03999999999999204</x:v>
      </x:c>
      <x:c r="O108" s="121" t="n">
        <x:v>-5.545000000000002</x:v>
      </x:c>
      <x:c r="P108" s="121" t="n">
        <x:v>-2.3200000000000003</x:v>
      </x:c>
      <x:c r="Q108" s="121" t="n">
        <x:v>5.545000000000002</x:v>
      </x:c>
    </x:row>
    <x:row r="109">
      <x:c r="A109" t="n">
        <x:v>1000</x:v>
      </x:c>
      <x:c r="B109" t="n">
        <x:v>200</x:v>
      </x:c>
      <x:c r="C109" t="n">
        <x:v>20260707</x:v>
      </x:c>
      <x:c r="D109" t="str">
        <x:v>R12</x:v>
      </x:c>
      <x:c r="E109" t="str">
        <x:v>91–120</x:v>
      </x:c>
      <x:c r="F109" s="121" t="n">
        <x:v>2.5</x:v>
      </x:c>
      <x:c r="G109" s="121" t="n">
        <x:v>6</x:v>
      </x:c>
      <x:c r="H109" s="121" t="n">
        <x:v>16</x:v>
      </x:c>
      <x:c r="I109" s="121" t="n">
        <x:v>21</x:v>
      </x:c>
      <x:c r="J109" s="121" t="n">
        <x:v>88.5</x:v>
      </x:c>
      <x:c r="K109" s="121" t="n">
        <x:v>21</x:v>
      </x:c>
      <x:c r="L109" s="121" t="n">
        <x:v>10</x:v>
      </x:c>
      <x:c r="M109" s="121" t="n">
        <x:v>-5.174999999999997</x:v>
      </x:c>
      <x:c r="N109" s="121" t="n">
        <x:v>0.03999999999999204</x:v>
      </x:c>
      <x:c r="O109" s="121" t="n">
        <x:v>-5.174999999999997</x:v>
      </x:c>
      <x:c r="P109" s="121" t="n">
        <x:v>-2.3200000000000003</x:v>
      </x:c>
      <x:c r="Q109" s="121" t="n">
        <x:v>5.174999999999997</x:v>
      </x:c>
    </x:row>
    <x:row r="110">
      <x:c r="A110" t="n">
        <x:v>1000</x:v>
      </x:c>
      <x:c r="B110" t="n">
        <x:v>200</x:v>
      </x:c>
      <x:c r="C110" t="n">
        <x:v>20260707</x:v>
      </x:c>
      <x:c r="D110" t="str">
        <x:v>R12</x:v>
      </x:c>
      <x:c r="E110" t="str">
        <x:v>91–120</x:v>
      </x:c>
      <x:c r="F110" s="121" t="n">
        <x:v>2.5</x:v>
      </x:c>
      <x:c r="G110" s="121" t="n">
        <x:v>6</x:v>
      </x:c>
      <x:c r="H110" s="121" t="n">
        <x:v>32</x:v>
      </x:c>
      <x:c r="I110" s="121" t="n">
        <x:v>4</x:v>
      </x:c>
      <x:c r="J110" s="121" t="n">
        <x:v>88.5</x:v>
      </x:c>
      <x:c r="K110" s="121" t="n">
        <x:v>4</x:v>
      </x:c>
      <x:c r="L110" s="121" t="n">
        <x:v>10</x:v>
      </x:c>
      <x:c r="M110" s="121" t="n">
        <x:v>0.21999999999999975</x:v>
      </x:c>
      <x:c r="N110" s="121" t="n">
        <x:v>0.03999999999999204</x:v>
      </x:c>
      <x:c r="O110" s="121" t="n">
        <x:v>0.21999999999999975</x:v>
      </x:c>
      <x:c r="P110" s="121" t="n">
        <x:v>-2.3200000000000003</x:v>
      </x:c>
      <x:c r="Q110" s="121" t="n">
        <x:v>0.21999999999999975</x:v>
      </x:c>
    </x:row>
    <x:row r="111">
      <x:c r="A111" t="n">
        <x:v>1000</x:v>
      </x:c>
      <x:c r="B111" t="n">
        <x:v>200</x:v>
      </x:c>
      <x:c r="C111" t="n">
        <x:v>20260707</x:v>
      </x:c>
      <x:c r="D111" t="str">
        <x:v>R12</x:v>
      </x:c>
      <x:c r="E111" t="str">
        <x:v>91–120</x:v>
      </x:c>
      <x:c r="F111" s="121" t="n">
        <x:v>2.5</x:v>
      </x:c>
      <x:c r="G111" s="121" t="n">
        <x:v>6</x:v>
      </x:c>
      <x:c r="H111" s="121" t="n">
        <x:v>64</x:v>
      </x:c>
      <x:c r="I111" s="121" t="n">
        <x:v>0</x:v>
      </x:c>
      <x:c r="J111" s="121" t="n">
        <x:v>88.5</x:v>
      </x:c>
      <x:c r="K111" s="121" t="n">
        <x:v>0</x:v>
      </x:c>
      <x:c r="L111" s="121" t="n">
        <x:v>10</x:v>
      </x:c>
      <x:c r="M111" s="121" t="n">
        <x:v>-0.2</x:v>
      </x:c>
      <x:c r="N111" s="121" t="n">
        <x:v>0.03999999999999204</x:v>
      </x:c>
      <x:c r="O111" s="121" t="n">
        <x:v>-0.2</x:v>
      </x:c>
      <x:c r="P111" s="121" t="n">
        <x:v>-2.3200000000000003</x:v>
      </x:c>
      <x:c r="Q111" s="121" t="n">
        <x:v>0.2</x:v>
      </x:c>
    </x:row>
    <x:row r="112">
      <x:c r="A112" t="n">
        <x:v>1000</x:v>
      </x:c>
      <x:c r="B112" t="n">
        <x:v>200</x:v>
      </x:c>
      <x:c r="C112" t="n">
        <x:v>20260707</x:v>
      </x:c>
      <x:c r="D112" t="str">
        <x:v>R13</x:v>
      </x:c>
      <x:c r="E112" t="str">
        <x:v>121–150</x:v>
      </x:c>
      <x:c r="F112" s="121" t="n">
        <x:v>2.5</x:v>
      </x:c>
      <x:c r="G112" s="121" t="n">
        <x:v>6</x:v>
      </x:c>
      <x:c r="H112" s="121" t="n">
        <x:v>0.0625</x:v>
      </x:c>
      <x:c r="I112" s="121" t="n">
        <x:v>100</x:v>
      </x:c>
      <x:c r="J112" s="121" t="n">
        <x:v>75.5</x:v>
      </x:c>
      <x:c r="K112" s="121" t="n">
        <x:v>75.5</x:v>
      </x:c>
      <x:c r="L112" s="121" t="n">
        <x:v>4.5</x:v>
      </x:c>
      <x:c r="M112" s="121" t="n">
        <x:v>0</x:v>
      </x:c>
      <x:c r="N112" s="121" t="n">
        <x:v>-5.7450000000000045</x:v>
      </x:c>
      <x:c r="O112" s="121" t="n">
        <x:v>-5.7450000000000045</x:v>
      </x:c>
      <x:c r="P112" s="121" t="n">
        <x:v>-2.83</x:v>
      </x:c>
      <x:c r="Q112" s="121" t="n">
        <x:v>5.7450000000000045</x:v>
      </x:c>
    </x:row>
    <x:row r="113">
      <x:c r="A113" t="n">
        <x:v>1000</x:v>
      </x:c>
      <x:c r="B113" t="n">
        <x:v>200</x:v>
      </x:c>
      <x:c r="C113" t="n">
        <x:v>20260707</x:v>
      </x:c>
      <x:c r="D113" t="str">
        <x:v>R13</x:v>
      </x:c>
      <x:c r="E113" t="str">
        <x:v>121–150</x:v>
      </x:c>
      <x:c r="F113" s="121" t="n">
        <x:v>2.5</x:v>
      </x:c>
      <x:c r="G113" s="121" t="n">
        <x:v>6</x:v>
      </x:c>
      <x:c r="H113" s="121" t="n">
        <x:v>0.125</x:v>
      </x:c>
      <x:c r="I113" s="121" t="n">
        <x:v>100</x:v>
      </x:c>
      <x:c r="J113" s="121" t="n">
        <x:v>75.5</x:v>
      </x:c>
      <x:c r="K113" s="121" t="n">
        <x:v>75.5</x:v>
      </x:c>
      <x:c r="L113" s="121" t="n">
        <x:v>4.5</x:v>
      </x:c>
      <x:c r="M113" s="121" t="n">
        <x:v>0</x:v>
      </x:c>
      <x:c r="N113" s="121" t="n">
        <x:v>-5.7450000000000045</x:v>
      </x:c>
      <x:c r="O113" s="121" t="n">
        <x:v>-5.7450000000000045</x:v>
      </x:c>
      <x:c r="P113" s="121" t="n">
        <x:v>-2.83</x:v>
      </x:c>
      <x:c r="Q113" s="121" t="n">
        <x:v>5.7450000000000045</x:v>
      </x:c>
    </x:row>
    <x:row r="114">
      <x:c r="A114" t="n">
        <x:v>1000</x:v>
      </x:c>
      <x:c r="B114" t="n">
        <x:v>200</x:v>
      </x:c>
      <x:c r="C114" t="n">
        <x:v>20260707</x:v>
      </x:c>
      <x:c r="D114" t="str">
        <x:v>R13</x:v>
      </x:c>
      <x:c r="E114" t="str">
        <x:v>121–150</x:v>
      </x:c>
      <x:c r="F114" s="121" t="n">
        <x:v>2.5</x:v>
      </x:c>
      <x:c r="G114" s="121" t="n">
        <x:v>6</x:v>
      </x:c>
      <x:c r="H114" s="121" t="n">
        <x:v>0.25</x:v>
      </x:c>
      <x:c r="I114" s="121" t="n">
        <x:v>100</x:v>
      </x:c>
      <x:c r="J114" s="121" t="n">
        <x:v>75.5</x:v>
      </x:c>
      <x:c r="K114" s="121" t="n">
        <x:v>75.5</x:v>
      </x:c>
      <x:c r="L114" s="121" t="n">
        <x:v>4.5</x:v>
      </x:c>
      <x:c r="M114" s="121" t="n">
        <x:v>0</x:v>
      </x:c>
      <x:c r="N114" s="121" t="n">
        <x:v>-5.7450000000000045</x:v>
      </x:c>
      <x:c r="O114" s="121" t="n">
        <x:v>-5.7450000000000045</x:v>
      </x:c>
      <x:c r="P114" s="121" t="n">
        <x:v>-2.83</x:v>
      </x:c>
      <x:c r="Q114" s="121" t="n">
        <x:v>5.7450000000000045</x:v>
      </x:c>
    </x:row>
    <x:row r="115">
      <x:c r="A115" t="n">
        <x:v>1000</x:v>
      </x:c>
      <x:c r="B115" t="n">
        <x:v>200</x:v>
      </x:c>
      <x:c r="C115" t="n">
        <x:v>20260707</x:v>
      </x:c>
      <x:c r="D115" t="str">
        <x:v>R13</x:v>
      </x:c>
      <x:c r="E115" t="str">
        <x:v>121–150</x:v>
      </x:c>
      <x:c r="F115" s="121" t="n">
        <x:v>2.5</x:v>
      </x:c>
      <x:c r="G115" s="121" t="n">
        <x:v>6</x:v>
      </x:c>
      <x:c r="H115" s="121" t="n">
        <x:v>0.5</x:v>
      </x:c>
      <x:c r="I115" s="121" t="n">
        <x:v>100</x:v>
      </x:c>
      <x:c r="J115" s="121" t="n">
        <x:v>75.5</x:v>
      </x:c>
      <x:c r="K115" s="121" t="n">
        <x:v>75.5</x:v>
      </x:c>
      <x:c r="L115" s="121" t="n">
        <x:v>4.5</x:v>
      </x:c>
      <x:c r="M115" s="121" t="n">
        <x:v>0</x:v>
      </x:c>
      <x:c r="N115" s="121" t="n">
        <x:v>-5.7450000000000045</x:v>
      </x:c>
      <x:c r="O115" s="121" t="n">
        <x:v>-5.7450000000000045</x:v>
      </x:c>
      <x:c r="P115" s="121" t="n">
        <x:v>-2.83</x:v>
      </x:c>
      <x:c r="Q115" s="121" t="n">
        <x:v>5.7450000000000045</x:v>
      </x:c>
    </x:row>
    <x:row r="116">
      <x:c r="A116" t="n">
        <x:v>1000</x:v>
      </x:c>
      <x:c r="B116" t="n">
        <x:v>200</x:v>
      </x:c>
      <x:c r="C116" t="n">
        <x:v>20260707</x:v>
      </x:c>
      <x:c r="D116" t="str">
        <x:v>R13</x:v>
      </x:c>
      <x:c r="E116" t="str">
        <x:v>121–150</x:v>
      </x:c>
      <x:c r="F116" s="121" t="n">
        <x:v>2.5</x:v>
      </x:c>
      <x:c r="G116" s="121" t="n">
        <x:v>6</x:v>
      </x:c>
      <x:c r="H116" s="121" t="n">
        <x:v>1</x:v>
      </x:c>
      <x:c r="I116" s="121" t="n">
        <x:v>100</x:v>
      </x:c>
      <x:c r="J116" s="121" t="n">
        <x:v>75.5</x:v>
      </x:c>
      <x:c r="K116" s="121" t="n">
        <x:v>75.5</x:v>
      </x:c>
      <x:c r="L116" s="121" t="n">
        <x:v>4.5</x:v>
      </x:c>
      <x:c r="M116" s="121" t="n">
        <x:v>0.015000000000000568</x:v>
      </x:c>
      <x:c r="N116" s="121" t="n">
        <x:v>-5.7450000000000045</x:v>
      </x:c>
      <x:c r="O116" s="121" t="n">
        <x:v>-5.7450000000000045</x:v>
      </x:c>
      <x:c r="P116" s="121" t="n">
        <x:v>-2.83</x:v>
      </x:c>
      <x:c r="Q116" s="121" t="n">
        <x:v>5.7450000000000045</x:v>
      </x:c>
    </x:row>
    <x:row r="117">
      <x:c r="A117" t="n">
        <x:v>1000</x:v>
      </x:c>
      <x:c r="B117" t="n">
        <x:v>200</x:v>
      </x:c>
      <x:c r="C117" t="n">
        <x:v>20260707</x:v>
      </x:c>
      <x:c r="D117" t="str">
        <x:v>R13</x:v>
      </x:c>
      <x:c r="E117" t="str">
        <x:v>121–150</x:v>
      </x:c>
      <x:c r="F117" s="121" t="n">
        <x:v>2.5</x:v>
      </x:c>
      <x:c r="G117" s="121" t="n">
        <x:v>6</x:v>
      </x:c>
      <x:c r="H117" s="121" t="n">
        <x:v>2</x:v>
      </x:c>
      <x:c r="I117" s="121" t="n">
        <x:v>98.5</x:v>
      </x:c>
      <x:c r="J117" s="121" t="n">
        <x:v>75.5</x:v>
      </x:c>
      <x:c r="K117" s="121" t="n">
        <x:v>75.5</x:v>
      </x:c>
      <x:c r="L117" s="121" t="n">
        <x:v>4.5</x:v>
      </x:c>
      <x:c r="M117" s="121" t="n">
        <x:v>-0.6800000000000068</x:v>
      </x:c>
      <x:c r="N117" s="121" t="n">
        <x:v>-5.7450000000000045</x:v>
      </x:c>
      <x:c r="O117" s="121" t="n">
        <x:v>-5.7450000000000045</x:v>
      </x:c>
      <x:c r="P117" s="121" t="n">
        <x:v>-2.83</x:v>
      </x:c>
      <x:c r="Q117" s="121" t="n">
        <x:v>5.7450000000000045</x:v>
      </x:c>
    </x:row>
    <x:row r="118">
      <x:c r="A118" t="n">
        <x:v>1000</x:v>
      </x:c>
      <x:c r="B118" t="n">
        <x:v>200</x:v>
      </x:c>
      <x:c r="C118" t="n">
        <x:v>20260707</x:v>
      </x:c>
      <x:c r="D118" t="str">
        <x:v>R13</x:v>
      </x:c>
      <x:c r="E118" t="str">
        <x:v>121–150</x:v>
      </x:c>
      <x:c r="F118" s="121" t="n">
        <x:v>2.5</x:v>
      </x:c>
      <x:c r="G118" s="121" t="n">
        <x:v>6</x:v>
      </x:c>
      <x:c r="H118" s="121" t="n">
        <x:v>4</x:v>
      </x:c>
      <x:c r="I118" s="121" t="n">
        <x:v>86</x:v>
      </x:c>
      <x:c r="J118" s="121" t="n">
        <x:v>75.5</x:v>
      </x:c>
      <x:c r="K118" s="121" t="n">
        <x:v>75.5</x:v>
      </x:c>
      <x:c r="L118" s="121" t="n">
        <x:v>4.5</x:v>
      </x:c>
      <x:c r="M118" s="121" t="n">
        <x:v>-4.424999999999997</x:v>
      </x:c>
      <x:c r="N118" s="121" t="n">
        <x:v>-5.7450000000000045</x:v>
      </x:c>
      <x:c r="O118" s="121" t="n">
        <x:v>-5.305000000000007</x:v>
      </x:c>
      <x:c r="P118" s="121" t="n">
        <x:v>-2.83</x:v>
      </x:c>
      <x:c r="Q118" s="121" t="n">
        <x:v>5.305000000000007</x:v>
      </x:c>
    </x:row>
    <x:row r="119">
      <x:c r="A119" t="n">
        <x:v>1000</x:v>
      </x:c>
      <x:c r="B119" t="n">
        <x:v>200</x:v>
      </x:c>
      <x:c r="C119" t="n">
        <x:v>20260707</x:v>
      </x:c>
      <x:c r="D119" t="str">
        <x:v>R13</x:v>
      </x:c>
      <x:c r="E119" t="str">
        <x:v>121–150</x:v>
      </x:c>
      <x:c r="F119" s="121" t="n">
        <x:v>2.5</x:v>
      </x:c>
      <x:c r="G119" s="121" t="n">
        <x:v>6</x:v>
      </x:c>
      <x:c r="H119" s="121" t="n">
        <x:v>8</x:v>
      </x:c>
      <x:c r="I119" s="121" t="n">
        <x:v>55.50000000000001</x:v>
      </x:c>
      <x:c r="J119" s="121" t="n">
        <x:v>75.5</x:v>
      </x:c>
      <x:c r="K119" s="121" t="n">
        <x:v>55.50000000000001</x:v>
      </x:c>
      <x:c r="L119" s="121" t="n">
        <x:v>4.5</x:v>
      </x:c>
      <x:c r="M119" s="121" t="n">
        <x:v>-1.8049999999999855</x:v>
      </x:c>
      <x:c r="N119" s="121" t="n">
        <x:v>-5.7450000000000045</x:v>
      </x:c>
      <x:c r="O119" s="121" t="n">
        <x:v>-1.7049999999999912</x:v>
      </x:c>
      <x:c r="P119" s="121" t="n">
        <x:v>-2.83</x:v>
      </x:c>
      <x:c r="Q119" s="121" t="n">
        <x:v>1.7049999999999912</x:v>
      </x:c>
    </x:row>
    <x:row r="120">
      <x:c r="A120" t="n">
        <x:v>1000</x:v>
      </x:c>
      <x:c r="B120" t="n">
        <x:v>200</x:v>
      </x:c>
      <x:c r="C120" t="n">
        <x:v>20260707</x:v>
      </x:c>
      <x:c r="D120" t="str">
        <x:v>R13</x:v>
      </x:c>
      <x:c r="E120" t="str">
        <x:v>121–150</x:v>
      </x:c>
      <x:c r="F120" s="121" t="n">
        <x:v>2.5</x:v>
      </x:c>
      <x:c r="G120" s="121" t="n">
        <x:v>6</x:v>
      </x:c>
      <x:c r="H120" s="121" t="n">
        <x:v>16</x:v>
      </x:c>
      <x:c r="I120" s="121" t="n">
        <x:v>14.499999999999998</x:v>
      </x:c>
      <x:c r="J120" s="121" t="n">
        <x:v>75.5</x:v>
      </x:c>
      <x:c r="K120" s="121" t="n">
        <x:v>14.499999999999998</x:v>
      </x:c>
      <x:c r="L120" s="121" t="n">
        <x:v>4.5</x:v>
      </x:c>
      <x:c r="M120" s="121" t="n">
        <x:v>-3.200000000000001</x:v>
      </x:c>
      <x:c r="N120" s="121" t="n">
        <x:v>-5.7450000000000045</x:v>
      </x:c>
      <x:c r="O120" s="121" t="n">
        <x:v>-3.200000000000001</x:v>
      </x:c>
      <x:c r="P120" s="121" t="n">
        <x:v>-2.83</x:v>
      </x:c>
      <x:c r="Q120" s="121" t="n">
        <x:v>3.200000000000001</x:v>
      </x:c>
    </x:row>
    <x:row r="121">
      <x:c r="A121" t="n">
        <x:v>1000</x:v>
      </x:c>
      <x:c r="B121" t="n">
        <x:v>200</x:v>
      </x:c>
      <x:c r="C121" t="n">
        <x:v>20260707</x:v>
      </x:c>
      <x:c r="D121" t="str">
        <x:v>R13</x:v>
      </x:c>
      <x:c r="E121" t="str">
        <x:v>121–150</x:v>
      </x:c>
      <x:c r="F121" s="121" t="n">
        <x:v>2.5</x:v>
      </x:c>
      <x:c r="G121" s="121" t="n">
        <x:v>6</x:v>
      </x:c>
      <x:c r="H121" s="121" t="n">
        <x:v>32</x:v>
      </x:c>
      <x:c r="I121" s="121" t="n">
        <x:v>2</x:v>
      </x:c>
      <x:c r="J121" s="121" t="n">
        <x:v>75.5</x:v>
      </x:c>
      <x:c r="K121" s="121" t="n">
        <x:v>2</x:v>
      </x:c>
      <x:c r="L121" s="121" t="n">
        <x:v>4.5</x:v>
      </x:c>
      <x:c r="M121" s="121" t="n">
        <x:v>-0.10499999999999998</x:v>
      </x:c>
      <x:c r="N121" s="121" t="n">
        <x:v>-5.7450000000000045</x:v>
      </x:c>
      <x:c r="O121" s="121" t="n">
        <x:v>-0.10499999999999998</x:v>
      </x:c>
      <x:c r="P121" s="121" t="n">
        <x:v>-2.83</x:v>
      </x:c>
      <x:c r="Q121" s="121" t="n">
        <x:v>0.10499999999999998</x:v>
      </x:c>
    </x:row>
    <x:row r="122">
      <x:c r="A122" t="n">
        <x:v>1000</x:v>
      </x:c>
      <x:c r="B122" t="n">
        <x:v>200</x:v>
      </x:c>
      <x:c r="C122" t="n">
        <x:v>20260707</x:v>
      </x:c>
      <x:c r="D122" t="str">
        <x:v>R13</x:v>
      </x:c>
      <x:c r="E122" t="str">
        <x:v>121–150</x:v>
      </x:c>
      <x:c r="F122" s="121" t="n">
        <x:v>2.5</x:v>
      </x:c>
      <x:c r="G122" s="121" t="n">
        <x:v>6</x:v>
      </x:c>
      <x:c r="H122" s="121" t="n">
        <x:v>64</x:v>
      </x:c>
      <x:c r="I122" s="121" t="n">
        <x:v>0</x:v>
      </x:c>
      <x:c r="J122" s="121" t="n">
        <x:v>75.5</x:v>
      </x:c>
      <x:c r="K122" s="121" t="n">
        <x:v>0</x:v>
      </x:c>
      <x:c r="L122" s="121" t="n">
        <x:v>4.5</x:v>
      </x:c>
      <x:c r="M122" s="121" t="n">
        <x:v>-0.06</x:v>
      </x:c>
      <x:c r="N122" s="121" t="n">
        <x:v>-5.7450000000000045</x:v>
      </x:c>
      <x:c r="O122" s="121" t="n">
        <x:v>-0.06</x:v>
      </x:c>
      <x:c r="P122" s="121" t="n">
        <x:v>-2.83</x:v>
      </x:c>
      <x:c r="Q122" s="121" t="n">
        <x:v>0.06</x:v>
      </x:c>
    </x:row>
    <x:row r="123">
      <x:c r="A123" t="n">
        <x:v>5000</x:v>
      </x:c>
      <x:c r="B123" t="n">
        <x:v>1000</x:v>
      </x:c>
      <x:c r="C123" t="n">
        <x:v>20260707</x:v>
      </x:c>
      <x:c r="D123" t="str">
        <x:v>R1</x:v>
      </x:c>
      <x:c r="E123" t="str">
        <x:v>0–30</x:v>
      </x:c>
      <x:c r="F123" s="121" t="n">
        <x:v>0.625</x:v>
      </x:c>
      <x:c r="G123" s="121" t="n">
        <x:v>12</x:v>
      </x:c>
      <x:c r="H123" s="121" t="n">
        <x:v>0.0625</x:v>
      </x:c>
      <x:c r="I123" s="121" t="n">
        <x:v>100</x:v>
      </x:c>
      <x:c r="J123" s="121" t="n">
        <x:v>74.1</x:v>
      </x:c>
      <x:c r="K123" s="121" t="n">
        <x:v>74.1</x:v>
      </x:c>
      <x:c r="L123" s="121" t="n">
        <x:v>8.7</x:v>
      </x:c>
      <x:c r="M123" s="121" t="n">
        <x:v>0</x:v>
      </x:c>
      <x:c r="N123" s="121" t="n">
        <x:v>-0.8400000000000034</x:v>
      </x:c>
      <x:c r="O123" s="121" t="n">
        <x:v>-0.8400000000000034</x:v>
      </x:c>
      <x:c r="P123" s="121" t="n">
        <x:v>-0.6100000000000012</x:v>
      </x:c>
      <x:c r="Q123" s="121" t="n">
        <x:v>0.8400000000000034</x:v>
      </x:c>
    </x:row>
    <x:row r="124">
      <x:c r="A124" t="n">
        <x:v>5000</x:v>
      </x:c>
      <x:c r="B124" t="n">
        <x:v>1000</x:v>
      </x:c>
      <x:c r="C124" t="n">
        <x:v>20260707</x:v>
      </x:c>
      <x:c r="D124" t="str">
        <x:v>R1</x:v>
      </x:c>
      <x:c r="E124" t="str">
        <x:v>0–30</x:v>
      </x:c>
      <x:c r="F124" s="121" t="n">
        <x:v>0.625</x:v>
      </x:c>
      <x:c r="G124" s="121" t="n">
        <x:v>12</x:v>
      </x:c>
      <x:c r="H124" s="121" t="n">
        <x:v>0.125</x:v>
      </x:c>
      <x:c r="I124" s="121" t="n">
        <x:v>100</x:v>
      </x:c>
      <x:c r="J124" s="121" t="n">
        <x:v>74.1</x:v>
      </x:c>
      <x:c r="K124" s="121" t="n">
        <x:v>74.1</x:v>
      </x:c>
      <x:c r="L124" s="121" t="n">
        <x:v>8.7</x:v>
      </x:c>
      <x:c r="M124" s="121" t="n">
        <x:v>0</x:v>
      </x:c>
      <x:c r="N124" s="121" t="n">
        <x:v>-0.8400000000000034</x:v>
      </x:c>
      <x:c r="O124" s="121" t="n">
        <x:v>-0.8400000000000034</x:v>
      </x:c>
      <x:c r="P124" s="121" t="n">
        <x:v>-0.6100000000000012</x:v>
      </x:c>
      <x:c r="Q124" s="121" t="n">
        <x:v>0.8400000000000034</x:v>
      </x:c>
    </x:row>
    <x:row r="125">
      <x:c r="A125" t="n">
        <x:v>5000</x:v>
      </x:c>
      <x:c r="B125" t="n">
        <x:v>1000</x:v>
      </x:c>
      <x:c r="C125" t="n">
        <x:v>20260707</x:v>
      </x:c>
      <x:c r="D125" t="str">
        <x:v>R1</x:v>
      </x:c>
      <x:c r="E125" t="str">
        <x:v>0–30</x:v>
      </x:c>
      <x:c r="F125" s="121" t="n">
        <x:v>0.625</x:v>
      </x:c>
      <x:c r="G125" s="121" t="n">
        <x:v>12</x:v>
      </x:c>
      <x:c r="H125" s="121" t="n">
        <x:v>0.25</x:v>
      </x:c>
      <x:c r="I125" s="121" t="n">
        <x:v>100</x:v>
      </x:c>
      <x:c r="J125" s="121" t="n">
        <x:v>74.1</x:v>
      </x:c>
      <x:c r="K125" s="121" t="n">
        <x:v>74.1</x:v>
      </x:c>
      <x:c r="L125" s="121" t="n">
        <x:v>8.7</x:v>
      </x:c>
      <x:c r="M125" s="121" t="n">
        <x:v>0</x:v>
      </x:c>
      <x:c r="N125" s="121" t="n">
        <x:v>-0.8400000000000034</x:v>
      </x:c>
      <x:c r="O125" s="121" t="n">
        <x:v>-0.8400000000000034</x:v>
      </x:c>
      <x:c r="P125" s="121" t="n">
        <x:v>-0.6100000000000012</x:v>
      </x:c>
      <x:c r="Q125" s="121" t="n">
        <x:v>0.8400000000000034</x:v>
      </x:c>
    </x:row>
    <x:row r="126">
      <x:c r="A126" t="n">
        <x:v>5000</x:v>
      </x:c>
      <x:c r="B126" t="n">
        <x:v>1000</x:v>
      </x:c>
      <x:c r="C126" t="n">
        <x:v>20260707</x:v>
      </x:c>
      <x:c r="D126" t="str">
        <x:v>R1</x:v>
      </x:c>
      <x:c r="E126" t="str">
        <x:v>0–30</x:v>
      </x:c>
      <x:c r="F126" s="121" t="n">
        <x:v>0.625</x:v>
      </x:c>
      <x:c r="G126" s="121" t="n">
        <x:v>12</x:v>
      </x:c>
      <x:c r="H126" s="121" t="n">
        <x:v>0.5</x:v>
      </x:c>
      <x:c r="I126" s="121" t="n">
        <x:v>100</x:v>
      </x:c>
      <x:c r="J126" s="121" t="n">
        <x:v>74.1</x:v>
      </x:c>
      <x:c r="K126" s="121" t="n">
        <x:v>74.1</x:v>
      </x:c>
      <x:c r="L126" s="121" t="n">
        <x:v>8.7</x:v>
      </x:c>
      <x:c r="M126" s="121" t="n">
        <x:v>0.060000000000002274</x:v>
      </x:c>
      <x:c r="N126" s="121" t="n">
        <x:v>-0.8400000000000034</x:v>
      </x:c>
      <x:c r="O126" s="121" t="n">
        <x:v>-0.8400000000000034</x:v>
      </x:c>
      <x:c r="P126" s="121" t="n">
        <x:v>-0.6100000000000012</x:v>
      </x:c>
      <x:c r="Q126" s="121" t="n">
        <x:v>0.8400000000000034</x:v>
      </x:c>
    </x:row>
    <x:row r="127">
      <x:c r="A127" t="n">
        <x:v>5000</x:v>
      </x:c>
      <x:c r="B127" t="n">
        <x:v>1000</x:v>
      </x:c>
      <x:c r="C127" t="n">
        <x:v>20260707</x:v>
      </x:c>
      <x:c r="D127" t="str">
        <x:v>R1</x:v>
      </x:c>
      <x:c r="E127" t="str">
        <x:v>0–30</x:v>
      </x:c>
      <x:c r="F127" s="121" t="n">
        <x:v>0.625</x:v>
      </x:c>
      <x:c r="G127" s="121" t="n">
        <x:v>12</x:v>
      </x:c>
      <x:c r="H127" s="121" t="n">
        <x:v>1</x:v>
      </x:c>
      <x:c r="I127" s="121" t="n">
        <x:v>99.2</x:v>
      </x:c>
      <x:c r="J127" s="121" t="n">
        <x:v>74.1</x:v>
      </x:c>
      <x:c r="K127" s="121" t="n">
        <x:v>74.1</x:v>
      </x:c>
      <x:c r="L127" s="121" t="n">
        <x:v>8.7</x:v>
      </x:c>
      <x:c r="M127" s="121" t="n">
        <x:v>0.060000000000002274</x:v>
      </x:c>
      <x:c r="N127" s="121" t="n">
        <x:v>-0.8400000000000034</x:v>
      </x:c>
      <x:c r="O127" s="121" t="n">
        <x:v>-0.8400000000000034</x:v>
      </x:c>
      <x:c r="P127" s="121" t="n">
        <x:v>-0.6100000000000012</x:v>
      </x:c>
      <x:c r="Q127" s="121" t="n">
        <x:v>0.8400000000000034</x:v>
      </x:c>
    </x:row>
    <x:row r="128">
      <x:c r="A128" t="n">
        <x:v>5000</x:v>
      </x:c>
      <x:c r="B128" t="n">
        <x:v>1000</x:v>
      </x:c>
      <x:c r="C128" t="n">
        <x:v>20260707</x:v>
      </x:c>
      <x:c r="D128" t="str">
        <x:v>R1</x:v>
      </x:c>
      <x:c r="E128" t="str">
        <x:v>0–30</x:v>
      </x:c>
      <x:c r="F128" s="121" t="n">
        <x:v>0.625</x:v>
      </x:c>
      <x:c r="G128" s="121" t="n">
        <x:v>12</x:v>
      </x:c>
      <x:c r="H128" s="121" t="n">
        <x:v>2</x:v>
      </x:c>
      <x:c r="I128" s="121" t="n">
        <x:v>93</x:v>
      </x:c>
      <x:c r="J128" s="121" t="n">
        <x:v>74.1</x:v>
      </x:c>
      <x:c r="K128" s="121" t="n">
        <x:v>74.1</x:v>
      </x:c>
      <x:c r="L128" s="121" t="n">
        <x:v>8.7</x:v>
      </x:c>
      <x:c r="M128" s="121" t="n">
        <x:v>0.9099999999999966</x:v>
      </x:c>
      <x:c r="N128" s="121" t="n">
        <x:v>-0.8400000000000034</x:v>
      </x:c>
      <x:c r="O128" s="121" t="n">
        <x:v>-0.8250000000000028</x:v>
      </x:c>
      <x:c r="P128" s="121" t="n">
        <x:v>-0.6100000000000012</x:v>
      </x:c>
      <x:c r="Q128" s="121" t="n">
        <x:v>0.8250000000000028</x:v>
      </x:c>
    </x:row>
    <x:row r="129">
      <x:c r="A129" t="n">
        <x:v>5000</x:v>
      </x:c>
      <x:c r="B129" t="n">
        <x:v>1000</x:v>
      </x:c>
      <x:c r="C129" t="n">
        <x:v>20260707</x:v>
      </x:c>
      <x:c r="D129" t="str">
        <x:v>R1</x:v>
      </x:c>
      <x:c r="E129" t="str">
        <x:v>0–30</x:v>
      </x:c>
      <x:c r="F129" s="121" t="n">
        <x:v>0.625</x:v>
      </x:c>
      <x:c r="G129" s="121" t="n">
        <x:v>12</x:v>
      </x:c>
      <x:c r="H129" s="121" t="n">
        <x:v>4</x:v>
      </x:c>
      <x:c r="I129" s="121" t="n">
        <x:v>67.10000000000001</x:v>
      </x:c>
      <x:c r="J129" s="121" t="n">
        <x:v>74.1</x:v>
      </x:c>
      <x:c r="K129" s="121" t="n">
        <x:v>66.10000000000001</x:v>
      </x:c>
      <x:c r="L129" s="121" t="n">
        <x:v>8.7</x:v>
      </x:c>
      <x:c r="M129" s="121" t="n">
        <x:v>-1.5999999999999943</x:v>
      </x:c>
      <x:c r="N129" s="121" t="n">
        <x:v>-0.8400000000000034</x:v>
      </x:c>
      <x:c r="O129" s="121" t="n">
        <x:v>-1.059999999999988</x:v>
      </x:c>
      <x:c r="P129" s="121" t="n">
        <x:v>-0.6100000000000012</x:v>
      </x:c>
      <x:c r="Q129" s="121" t="n">
        <x:v>1.059999999999988</x:v>
      </x:c>
    </x:row>
    <x:row r="130">
      <x:c r="A130" t="n">
        <x:v>5000</x:v>
      </x:c>
      <x:c r="B130" t="n">
        <x:v>1000</x:v>
      </x:c>
      <x:c r="C130" t="n">
        <x:v>20260707</x:v>
      </x:c>
      <x:c r="D130" t="str">
        <x:v>R1</x:v>
      </x:c>
      <x:c r="E130" t="str">
        <x:v>0–30</x:v>
      </x:c>
      <x:c r="F130" s="121" t="n">
        <x:v>0.625</x:v>
      </x:c>
      <x:c r="G130" s="121" t="n">
        <x:v>12</x:v>
      </x:c>
      <x:c r="H130" s="121" t="n">
        <x:v>8</x:v>
      </x:c>
      <x:c r="I130" s="121" t="n">
        <x:v>32.2</x:v>
      </x:c>
      <x:c r="J130" s="121" t="n">
        <x:v>74.1</x:v>
      </x:c>
      <x:c r="K130" s="121" t="n">
        <x:v>32.2</x:v>
      </x:c>
      <x:c r="L130" s="121" t="n">
        <x:v>8.7</x:v>
      </x:c>
      <x:c r="M130" s="121" t="n">
        <x:v>-3.7849999999999966</x:v>
      </x:c>
      <x:c r="N130" s="121" t="n">
        <x:v>-0.8400000000000034</x:v>
      </x:c>
      <x:c r="O130" s="121" t="n">
        <x:v>-3.7849999999999966</x:v>
      </x:c>
      <x:c r="P130" s="121" t="n">
        <x:v>-0.6100000000000012</x:v>
      </x:c>
      <x:c r="Q130" s="121" t="n">
        <x:v>3.7849999999999966</x:v>
      </x:c>
    </x:row>
    <x:row r="131">
      <x:c r="A131" t="n">
        <x:v>5000</x:v>
      </x:c>
      <x:c r="B131" t="n">
        <x:v>1000</x:v>
      </x:c>
      <x:c r="C131" t="n">
        <x:v>20260707</x:v>
      </x:c>
      <x:c r="D131" t="str">
        <x:v>R1</x:v>
      </x:c>
      <x:c r="E131" t="str">
        <x:v>0–30</x:v>
      </x:c>
      <x:c r="F131" s="121" t="n">
        <x:v>0.625</x:v>
      </x:c>
      <x:c r="G131" s="121" t="n">
        <x:v>12</x:v>
      </x:c>
      <x:c r="H131" s="121" t="n">
        <x:v>16</x:v>
      </x:c>
      <x:c r="I131" s="121" t="n">
        <x:v>13.4</x:v>
      </x:c>
      <x:c r="J131" s="121" t="n">
        <x:v>74.1</x:v>
      </x:c>
      <x:c r="K131" s="121" t="n">
        <x:v>13.4</x:v>
      </x:c>
      <x:c r="L131" s="121" t="n">
        <x:v>8.7</x:v>
      </x:c>
      <x:c r="M131" s="121" t="n">
        <x:v>-1.2400000000000002</x:v>
      </x:c>
      <x:c r="N131" s="121" t="n">
        <x:v>-0.8400000000000034</x:v>
      </x:c>
      <x:c r="O131" s="121" t="n">
        <x:v>-1.2400000000000002</x:v>
      </x:c>
      <x:c r="P131" s="121" t="n">
        <x:v>-0.6100000000000012</x:v>
      </x:c>
      <x:c r="Q131" s="121" t="n">
        <x:v>1.2400000000000002</x:v>
      </x:c>
    </x:row>
    <x:row r="132">
      <x:c r="A132" t="n">
        <x:v>5000</x:v>
      </x:c>
      <x:c r="B132" t="n">
        <x:v>1000</x:v>
      </x:c>
      <x:c r="C132" t="n">
        <x:v>20260707</x:v>
      </x:c>
      <x:c r="D132" t="str">
        <x:v>R1</x:v>
      </x:c>
      <x:c r="E132" t="str">
        <x:v>0–30</x:v>
      </x:c>
      <x:c r="F132" s="121" t="n">
        <x:v>0.625</x:v>
      </x:c>
      <x:c r="G132" s="121" t="n">
        <x:v>12</x:v>
      </x:c>
      <x:c r="H132" s="121" t="n">
        <x:v>32</x:v>
      </x:c>
      <x:c r="I132" s="121" t="n">
        <x:v>5</x:v>
      </x:c>
      <x:c r="J132" s="121" t="n">
        <x:v>74.1</x:v>
      </x:c>
      <x:c r="K132" s="121" t="n">
        <x:v>5</x:v>
      </x:c>
      <x:c r="L132" s="121" t="n">
        <x:v>8.7</x:v>
      </x:c>
      <x:c r="M132" s="121" t="n">
        <x:v>-0.2999999999999998</x:v>
      </x:c>
      <x:c r="N132" s="121" t="n">
        <x:v>-0.8400000000000034</x:v>
      </x:c>
      <x:c r="O132" s="121" t="n">
        <x:v>-0.2999999999999998</x:v>
      </x:c>
      <x:c r="P132" s="121" t="n">
        <x:v>-0.6100000000000012</x:v>
      </x:c>
      <x:c r="Q132" s="121" t="n">
        <x:v>0.2999999999999998</x:v>
      </x:c>
    </x:row>
    <x:row r="133">
      <x:c r="A133" t="n">
        <x:v>5000</x:v>
      </x:c>
      <x:c r="B133" t="n">
        <x:v>1000</x:v>
      </x:c>
      <x:c r="C133" t="n">
        <x:v>20260707</x:v>
      </x:c>
      <x:c r="D133" t="str">
        <x:v>R1</x:v>
      </x:c>
      <x:c r="E133" t="str">
        <x:v>0–30</x:v>
      </x:c>
      <x:c r="F133" s="121" t="n">
        <x:v>0.625</x:v>
      </x:c>
      <x:c r="G133" s="121" t="n">
        <x:v>12</x:v>
      </x:c>
      <x:c r="H133" s="121" t="n">
        <x:v>64</x:v>
      </x:c>
      <x:c r="I133" s="121" t="n">
        <x:v>1.7000000000000002</x:v>
      </x:c>
      <x:c r="J133" s="121" t="n">
        <x:v>74.1</x:v>
      </x:c>
      <x:c r="K133" s="121" t="n">
        <x:v>1.7000000000000002</x:v>
      </x:c>
      <x:c r="L133" s="121" t="n">
        <x:v>8.7</x:v>
      </x:c>
      <x:c r="M133" s="121" t="n">
        <x:v>-0.33499999999999996</x:v>
      </x:c>
      <x:c r="N133" s="121" t="n">
        <x:v>-0.8400000000000034</x:v>
      </x:c>
      <x:c r="O133" s="121" t="n">
        <x:v>-0.33499999999999996</x:v>
      </x:c>
      <x:c r="P133" s="121" t="n">
        <x:v>-0.6100000000000012</x:v>
      </x:c>
      <x:c r="Q133" s="121" t="n">
        <x:v>0.33499999999999996</x:v>
      </x:c>
    </x:row>
    <x:row r="134">
      <x:c r="A134" t="n">
        <x:v>5000</x:v>
      </x:c>
      <x:c r="B134" t="n">
        <x:v>1000</x:v>
      </x:c>
      <x:c r="C134" t="n">
        <x:v>20260707</x:v>
      </x:c>
      <x:c r="D134" t="str">
        <x:v>R2</x:v>
      </x:c>
      <x:c r="E134" t="str">
        <x:v>0–30</x:v>
      </x:c>
      <x:c r="F134" s="121" t="n">
        <x:v>0.625</x:v>
      </x:c>
      <x:c r="G134" s="121" t="n">
        <x:v>8</x:v>
      </x:c>
      <x:c r="H134" s="121" t="n">
        <x:v>0.0625</x:v>
      </x:c>
      <x:c r="I134" s="121" t="n">
        <x:v>100</x:v>
      </x:c>
      <x:c r="J134" s="121" t="n">
        <x:v>87.3</x:v>
      </x:c>
      <x:c r="K134" s="121" t="n">
        <x:v>87.3</x:v>
      </x:c>
      <x:c r="L134" s="121" t="n">
        <x:v>15.4</x:v>
      </x:c>
      <x:c r="M134" s="121" t="n">
        <x:v>0</x:v>
      </x:c>
      <x:c r="N134" s="121" t="n">
        <x:v>-0.12999999999999545</x:v>
      </x:c>
      <x:c r="O134" s="121" t="n">
        <x:v>-0.12999999999999545</x:v>
      </x:c>
      <x:c r="P134" s="121" t="n">
        <x:v>-0.8200000000000021</x:v>
      </x:c>
      <x:c r="Q134" s="121" t="n">
        <x:v>0.12999999999999545</x:v>
      </x:c>
    </x:row>
    <x:row r="135">
      <x:c r="A135" t="n">
        <x:v>5000</x:v>
      </x:c>
      <x:c r="B135" t="n">
        <x:v>1000</x:v>
      </x:c>
      <x:c r="C135" t="n">
        <x:v>20260707</x:v>
      </x:c>
      <x:c r="D135" t="str">
        <x:v>R2</x:v>
      </x:c>
      <x:c r="E135" t="str">
        <x:v>0–30</x:v>
      </x:c>
      <x:c r="F135" s="121" t="n">
        <x:v>0.625</x:v>
      </x:c>
      <x:c r="G135" s="121" t="n">
        <x:v>8</x:v>
      </x:c>
      <x:c r="H135" s="121" t="n">
        <x:v>0.125</x:v>
      </x:c>
      <x:c r="I135" s="121" t="n">
        <x:v>100</x:v>
      </x:c>
      <x:c r="J135" s="121" t="n">
        <x:v>87.3</x:v>
      </x:c>
      <x:c r="K135" s="121" t="n">
        <x:v>87.3</x:v>
      </x:c>
      <x:c r="L135" s="121" t="n">
        <x:v>15.4</x:v>
      </x:c>
      <x:c r="M135" s="121" t="n">
        <x:v>0</x:v>
      </x:c>
      <x:c r="N135" s="121" t="n">
        <x:v>-0.12999999999999545</x:v>
      </x:c>
      <x:c r="O135" s="121" t="n">
        <x:v>-0.12999999999999545</x:v>
      </x:c>
      <x:c r="P135" s="121" t="n">
        <x:v>-0.8200000000000021</x:v>
      </x:c>
      <x:c r="Q135" s="121" t="n">
        <x:v>0.12999999999999545</x:v>
      </x:c>
    </x:row>
    <x:row r="136">
      <x:c r="A136" t="n">
        <x:v>5000</x:v>
      </x:c>
      <x:c r="B136" t="n">
        <x:v>1000</x:v>
      </x:c>
      <x:c r="C136" t="n">
        <x:v>20260707</x:v>
      </x:c>
      <x:c r="D136" t="str">
        <x:v>R2</x:v>
      </x:c>
      <x:c r="E136" t="str">
        <x:v>0–30</x:v>
      </x:c>
      <x:c r="F136" s="121" t="n">
        <x:v>0.625</x:v>
      </x:c>
      <x:c r="G136" s="121" t="n">
        <x:v>8</x:v>
      </x:c>
      <x:c r="H136" s="121" t="n">
        <x:v>0.25</x:v>
      </x:c>
      <x:c r="I136" s="121" t="n">
        <x:v>100</x:v>
      </x:c>
      <x:c r="J136" s="121" t="n">
        <x:v>87.3</x:v>
      </x:c>
      <x:c r="K136" s="121" t="n">
        <x:v>87.3</x:v>
      </x:c>
      <x:c r="L136" s="121" t="n">
        <x:v>15.4</x:v>
      </x:c>
      <x:c r="M136" s="121" t="n">
        <x:v>0</x:v>
      </x:c>
      <x:c r="N136" s="121" t="n">
        <x:v>-0.12999999999999545</x:v>
      </x:c>
      <x:c r="O136" s="121" t="n">
        <x:v>-0.12999999999999545</x:v>
      </x:c>
      <x:c r="P136" s="121" t="n">
        <x:v>-0.8200000000000021</x:v>
      </x:c>
      <x:c r="Q136" s="121" t="n">
        <x:v>0.12999999999999545</x:v>
      </x:c>
    </x:row>
    <x:row r="137">
      <x:c r="A137" t="n">
        <x:v>5000</x:v>
      </x:c>
      <x:c r="B137" t="n">
        <x:v>1000</x:v>
      </x:c>
      <x:c r="C137" t="n">
        <x:v>20260707</x:v>
      </x:c>
      <x:c r="D137" t="str">
        <x:v>R2</x:v>
      </x:c>
      <x:c r="E137" t="str">
        <x:v>0–30</x:v>
      </x:c>
      <x:c r="F137" s="121" t="n">
        <x:v>0.625</x:v>
      </x:c>
      <x:c r="G137" s="121" t="n">
        <x:v>8</x:v>
      </x:c>
      <x:c r="H137" s="121" t="n">
        <x:v>0.5</x:v>
      </x:c>
      <x:c r="I137" s="121" t="n">
        <x:v>100</x:v>
      </x:c>
      <x:c r="J137" s="121" t="n">
        <x:v>87.3</x:v>
      </x:c>
      <x:c r="K137" s="121" t="n">
        <x:v>87.3</x:v>
      </x:c>
      <x:c r="L137" s="121" t="n">
        <x:v>15.4</x:v>
      </x:c>
      <x:c r="M137" s="121" t="n">
        <x:v>0</x:v>
      </x:c>
      <x:c r="N137" s="121" t="n">
        <x:v>-0.12999999999999545</x:v>
      </x:c>
      <x:c r="O137" s="121" t="n">
        <x:v>-0.12999999999999545</x:v>
      </x:c>
      <x:c r="P137" s="121" t="n">
        <x:v>-0.8200000000000021</x:v>
      </x:c>
      <x:c r="Q137" s="121" t="n">
        <x:v>0.12999999999999545</x:v>
      </x:c>
    </x:row>
    <x:row r="138">
      <x:c r="A138" t="n">
        <x:v>5000</x:v>
      </x:c>
      <x:c r="B138" t="n">
        <x:v>1000</x:v>
      </x:c>
      <x:c r="C138" t="n">
        <x:v>20260707</x:v>
      </x:c>
      <x:c r="D138" t="str">
        <x:v>R2</x:v>
      </x:c>
      <x:c r="E138" t="str">
        <x:v>0–30</x:v>
      </x:c>
      <x:c r="F138" s="121" t="n">
        <x:v>0.625</x:v>
      </x:c>
      <x:c r="G138" s="121" t="n">
        <x:v>8</x:v>
      </x:c>
      <x:c r="H138" s="121" t="n">
        <x:v>1</x:v>
      </x:c>
      <x:c r="I138" s="121" t="n">
        <x:v>100</x:v>
      </x:c>
      <x:c r="J138" s="121" t="n">
        <x:v>87.3</x:v>
      </x:c>
      <x:c r="K138" s="121" t="n">
        <x:v>87.3</x:v>
      </x:c>
      <x:c r="L138" s="121" t="n">
        <x:v>15.4</x:v>
      </x:c>
      <x:c r="M138" s="121" t="n">
        <x:v>0.12000000000000455</x:v>
      </x:c>
      <x:c r="N138" s="121" t="n">
        <x:v>-0.12999999999999545</x:v>
      </x:c>
      <x:c r="O138" s="121" t="n">
        <x:v>-0.12999999999999545</x:v>
      </x:c>
      <x:c r="P138" s="121" t="n">
        <x:v>-0.8200000000000021</x:v>
      </x:c>
      <x:c r="Q138" s="121" t="n">
        <x:v>0.12999999999999545</x:v>
      </x:c>
    </x:row>
    <x:row r="139">
      <x:c r="A139" t="n">
        <x:v>5000</x:v>
      </x:c>
      <x:c r="B139" t="n">
        <x:v>1000</x:v>
      </x:c>
      <x:c r="C139" t="n">
        <x:v>20260707</x:v>
      </x:c>
      <x:c r="D139" t="str">
        <x:v>R2</x:v>
      </x:c>
      <x:c r="E139" t="str">
        <x:v>0–30</x:v>
      </x:c>
      <x:c r="F139" s="121" t="n">
        <x:v>0.625</x:v>
      </x:c>
      <x:c r="G139" s="121" t="n">
        <x:v>8</x:v>
      </x:c>
      <x:c r="H139" s="121" t="n">
        <x:v>2</x:v>
      </x:c>
      <x:c r="I139" s="121" t="n">
        <x:v>98.1</x:v>
      </x:c>
      <x:c r="J139" s="121" t="n">
        <x:v>87.3</x:v>
      </x:c>
      <x:c r="K139" s="121" t="n">
        <x:v>87.3</x:v>
      </x:c>
      <x:c r="L139" s="121" t="n">
        <x:v>15.4</x:v>
      </x:c>
      <x:c r="M139" s="121" t="n">
        <x:v>0.4649999999999892</x:v>
      </x:c>
      <x:c r="N139" s="121" t="n">
        <x:v>-0.12999999999999545</x:v>
      </x:c>
      <x:c r="O139" s="121" t="n">
        <x:v>-0.12999999999999545</x:v>
      </x:c>
      <x:c r="P139" s="121" t="n">
        <x:v>-0.8200000000000021</x:v>
      </x:c>
      <x:c r="Q139" s="121" t="n">
        <x:v>0.12999999999999545</x:v>
      </x:c>
    </x:row>
    <x:row r="140">
      <x:c r="A140" t="n">
        <x:v>5000</x:v>
      </x:c>
      <x:c r="B140" t="n">
        <x:v>1000</x:v>
      </x:c>
      <x:c r="C140" t="n">
        <x:v>20260707</x:v>
      </x:c>
      <x:c r="D140" t="str">
        <x:v>R2</x:v>
      </x:c>
      <x:c r="E140" t="str">
        <x:v>0–30</x:v>
      </x:c>
      <x:c r="F140" s="121" t="n">
        <x:v>0.625</x:v>
      </x:c>
      <x:c r="G140" s="121" t="n">
        <x:v>8</x:v>
      </x:c>
      <x:c r="H140" s="121" t="n">
        <x:v>4</x:v>
      </x:c>
      <x:c r="I140" s="121" t="n">
        <x:v>84.5</x:v>
      </x:c>
      <x:c r="J140" s="121" t="n">
        <x:v>87.3</x:v>
      </x:c>
      <x:c r="K140" s="121" t="n">
        <x:v>82.6</x:v>
      </x:c>
      <x:c r="L140" s="121" t="n">
        <x:v>15.4</x:v>
      </x:c>
      <x:c r="M140" s="121" t="n">
        <x:v>-0.0799999999999983</x:v>
      </x:c>
      <x:c r="N140" s="121" t="n">
        <x:v>-0.12999999999999545</x:v>
      </x:c>
      <x:c r="O140" s="121" t="n">
        <x:v>-0.5450000000000017</x:v>
      </x:c>
      <x:c r="P140" s="121" t="n">
        <x:v>-0.8200000000000021</x:v>
      </x:c>
      <x:c r="Q140" s="121" t="n">
        <x:v>0.5450000000000017</x:v>
      </x:c>
    </x:row>
    <x:row r="141">
      <x:c r="A141" t="n">
        <x:v>5000</x:v>
      </x:c>
      <x:c r="B141" t="n">
        <x:v>1000</x:v>
      </x:c>
      <x:c r="C141" t="n">
        <x:v>20260707</x:v>
      </x:c>
      <x:c r="D141" t="str">
        <x:v>R2</x:v>
      </x:c>
      <x:c r="E141" t="str">
        <x:v>0–30</x:v>
      </x:c>
      <x:c r="F141" s="121" t="n">
        <x:v>0.625</x:v>
      </x:c>
      <x:c r="G141" s="121" t="n">
        <x:v>8</x:v>
      </x:c>
      <x:c r="H141" s="121" t="n">
        <x:v>8</x:v>
      </x:c>
      <x:c r="I141" s="121" t="n">
        <x:v>53.1</x:v>
      </x:c>
      <x:c r="J141" s="121" t="n">
        <x:v>87.3</x:v>
      </x:c>
      <x:c r="K141" s="121" t="n">
        <x:v>53.1</x:v>
      </x:c>
      <x:c r="L141" s="121" t="n">
        <x:v>15.4</x:v>
      </x:c>
      <x:c r="M141" s="121" t="n">
        <x:v>-1.605000000000004</x:v>
      </x:c>
      <x:c r="N141" s="121" t="n">
        <x:v>-0.12999999999999545</x:v>
      </x:c>
      <x:c r="O141" s="121" t="n">
        <x:v>-1.605000000000004</x:v>
      </x:c>
      <x:c r="P141" s="121" t="n">
        <x:v>-0.8200000000000021</x:v>
      </x:c>
      <x:c r="Q141" s="121" t="n">
        <x:v>1.605000000000004</x:v>
      </x:c>
    </x:row>
    <x:row r="142">
      <x:c r="A142" t="n">
        <x:v>5000</x:v>
      </x:c>
      <x:c r="B142" t="n">
        <x:v>1000</x:v>
      </x:c>
      <x:c r="C142" t="n">
        <x:v>20260707</x:v>
      </x:c>
      <x:c r="D142" t="str">
        <x:v>R2</x:v>
      </x:c>
      <x:c r="E142" t="str">
        <x:v>0–30</x:v>
      </x:c>
      <x:c r="F142" s="121" t="n">
        <x:v>0.625</x:v>
      </x:c>
      <x:c r="G142" s="121" t="n">
        <x:v>8</x:v>
      </x:c>
      <x:c r="H142" s="121" t="n">
        <x:v>16</x:v>
      </x:c>
      <x:c r="I142" s="121" t="n">
        <x:v>23.400000000000002</x:v>
      </x:c>
      <x:c r="J142" s="121" t="n">
        <x:v>87.3</x:v>
      </x:c>
      <x:c r="K142" s="121" t="n">
        <x:v>23.400000000000002</x:v>
      </x:c>
      <x:c r="L142" s="121" t="n">
        <x:v>15.4</x:v>
      </x:c>
      <x:c r="M142" s="121" t="n">
        <x:v>-1.5899999999999999</x:v>
      </x:c>
      <x:c r="N142" s="121" t="n">
        <x:v>-0.12999999999999545</x:v>
      </x:c>
      <x:c r="O142" s="121" t="n">
        <x:v>-1.5899999999999999</x:v>
      </x:c>
      <x:c r="P142" s="121" t="n">
        <x:v>-0.8200000000000021</x:v>
      </x:c>
      <x:c r="Q142" s="121" t="n">
        <x:v>1.5899999999999999</x:v>
      </x:c>
    </x:row>
    <x:row r="143">
      <x:c r="A143" t="n">
        <x:v>5000</x:v>
      </x:c>
      <x:c r="B143" t="n">
        <x:v>1000</x:v>
      </x:c>
      <x:c r="C143" t="n">
        <x:v>20260707</x:v>
      </x:c>
      <x:c r="D143" t="str">
        <x:v>R2</x:v>
      </x:c>
      <x:c r="E143" t="str">
        <x:v>0–30</x:v>
      </x:c>
      <x:c r="F143" s="121" t="n">
        <x:v>0.625</x:v>
      </x:c>
      <x:c r="G143" s="121" t="n">
        <x:v>8</x:v>
      </x:c>
      <x:c r="H143" s="121" t="n">
        <x:v>32</x:v>
      </x:c>
      <x:c r="I143" s="121" t="n">
        <x:v>8.9</x:v>
      </x:c>
      <x:c r="J143" s="121" t="n">
        <x:v>87.3</x:v>
      </x:c>
      <x:c r="K143" s="121" t="n">
        <x:v>8.9</x:v>
      </x:c>
      <x:c r="L143" s="121" t="n">
        <x:v>15.4</x:v>
      </x:c>
      <x:c r="M143" s="121" t="n">
        <x:v>-0.9250000000000007</x:v>
      </x:c>
      <x:c r="N143" s="121" t="n">
        <x:v>-0.12999999999999545</x:v>
      </x:c>
      <x:c r="O143" s="121" t="n">
        <x:v>-0.9250000000000007</x:v>
      </x:c>
      <x:c r="P143" s="121" t="n">
        <x:v>-0.8200000000000021</x:v>
      </x:c>
      <x:c r="Q143" s="121" t="n">
        <x:v>0.9250000000000007</x:v>
      </x:c>
    </x:row>
    <x:row r="144">
      <x:c r="A144" t="n">
        <x:v>5000</x:v>
      </x:c>
      <x:c r="B144" t="n">
        <x:v>1000</x:v>
      </x:c>
      <x:c r="C144" t="n">
        <x:v>20260707</x:v>
      </x:c>
      <x:c r="D144" t="str">
        <x:v>R2</x:v>
      </x:c>
      <x:c r="E144" t="str">
        <x:v>0–30</x:v>
      </x:c>
      <x:c r="F144" s="121" t="n">
        <x:v>0.625</x:v>
      </x:c>
      <x:c r="G144" s="121" t="n">
        <x:v>8</x:v>
      </x:c>
      <x:c r="H144" s="121" t="n">
        <x:v>64</x:v>
      </x:c>
      <x:c r="I144" s="121" t="n">
        <x:v>3.3000000000000003</x:v>
      </x:c>
      <x:c r="J144" s="121" t="n">
        <x:v>87.3</x:v>
      </x:c>
      <x:c r="K144" s="121" t="n">
        <x:v>3.3000000000000003</x:v>
      </x:c>
      <x:c r="L144" s="121" t="n">
        <x:v>15.4</x:v>
      </x:c>
      <x:c r="M144" s="121" t="n">
        <x:v>-0.3299999999999996</x:v>
      </x:c>
      <x:c r="N144" s="121" t="n">
        <x:v>-0.12999999999999545</x:v>
      </x:c>
      <x:c r="O144" s="121" t="n">
        <x:v>-0.3299999999999996</x:v>
      </x:c>
      <x:c r="P144" s="121" t="n">
        <x:v>-0.8200000000000021</x:v>
      </x:c>
      <x:c r="Q144" s="121" t="n">
        <x:v>0.3299999999999996</x:v>
      </x:c>
    </x:row>
    <x:row r="145">
      <x:c r="A145" t="n">
        <x:v>5000</x:v>
      </x:c>
      <x:c r="B145" t="n">
        <x:v>1000</x:v>
      </x:c>
      <x:c r="C145" t="n">
        <x:v>20260707</x:v>
      </x:c>
      <x:c r="D145" t="str">
        <x:v>R5</x:v>
      </x:c>
      <x:c r="E145" t="str">
        <x:v>31–60</x:v>
      </x:c>
      <x:c r="F145" s="121" t="n">
        <x:v>0.625</x:v>
      </x:c>
      <x:c r="G145" s="121" t="n">
        <x:v>8</x:v>
      </x:c>
      <x:c r="H145" s="121" t="n">
        <x:v>0.0625</x:v>
      </x:c>
      <x:c r="I145" s="121" t="n">
        <x:v>100</x:v>
      </x:c>
      <x:c r="J145" s="121" t="n">
        <x:v>46.300000000000004</x:v>
      </x:c>
      <x:c r="K145" s="121" t="n">
        <x:v>46.300000000000004</x:v>
      </x:c>
      <x:c r="L145" s="121" t="n">
        <x:v>0.4</x:v>
      </x:c>
      <x:c r="M145" s="121" t="n">
        <x:v>0</x:v>
      </x:c>
      <x:c r="N145" s="121" t="n">
        <x:v>1.335000000000008</x:v>
      </x:c>
      <x:c r="O145" s="121" t="n">
        <x:v>1.335000000000008</x:v>
      </x:c>
      <x:c r="P145" s="121" t="n">
        <x:v>0.15500000000000003</x:v>
      </x:c>
      <x:c r="Q145" s="121" t="n">
        <x:v>1.335000000000008</x:v>
      </x:c>
    </x:row>
    <x:row r="146">
      <x:c r="A146" t="n">
        <x:v>5000</x:v>
      </x:c>
      <x:c r="B146" t="n">
        <x:v>1000</x:v>
      </x:c>
      <x:c r="C146" t="n">
        <x:v>20260707</x:v>
      </x:c>
      <x:c r="D146" t="str">
        <x:v>R5</x:v>
      </x:c>
      <x:c r="E146" t="str">
        <x:v>31–60</x:v>
      </x:c>
      <x:c r="F146" s="121" t="n">
        <x:v>0.625</x:v>
      </x:c>
      <x:c r="G146" s="121" t="n">
        <x:v>8</x:v>
      </x:c>
      <x:c r="H146" s="121" t="n">
        <x:v>0.125</x:v>
      </x:c>
      <x:c r="I146" s="121" t="n">
        <x:v>100</x:v>
      </x:c>
      <x:c r="J146" s="121" t="n">
        <x:v>46.300000000000004</x:v>
      </x:c>
      <x:c r="K146" s="121" t="n">
        <x:v>46.300000000000004</x:v>
      </x:c>
      <x:c r="L146" s="121" t="n">
        <x:v>0.4</x:v>
      </x:c>
      <x:c r="M146" s="121" t="n">
        <x:v>0</x:v>
      </x:c>
      <x:c r="N146" s="121" t="n">
        <x:v>1.335000000000008</x:v>
      </x:c>
      <x:c r="O146" s="121" t="n">
        <x:v>1.335000000000008</x:v>
      </x:c>
      <x:c r="P146" s="121" t="n">
        <x:v>0.15500000000000003</x:v>
      </x:c>
      <x:c r="Q146" s="121" t="n">
        <x:v>1.335000000000008</x:v>
      </x:c>
    </x:row>
    <x:row r="147">
      <x:c r="A147" t="n">
        <x:v>5000</x:v>
      </x:c>
      <x:c r="B147" t="n">
        <x:v>1000</x:v>
      </x:c>
      <x:c r="C147" t="n">
        <x:v>20260707</x:v>
      </x:c>
      <x:c r="D147" t="str">
        <x:v>R5</x:v>
      </x:c>
      <x:c r="E147" t="str">
        <x:v>31–60</x:v>
      </x:c>
      <x:c r="F147" s="121" t="n">
        <x:v>0.625</x:v>
      </x:c>
      <x:c r="G147" s="121" t="n">
        <x:v>8</x:v>
      </x:c>
      <x:c r="H147" s="121" t="n">
        <x:v>0.25</x:v>
      </x:c>
      <x:c r="I147" s="121" t="n">
        <x:v>100</x:v>
      </x:c>
      <x:c r="J147" s="121" t="n">
        <x:v>46.300000000000004</x:v>
      </x:c>
      <x:c r="K147" s="121" t="n">
        <x:v>46.300000000000004</x:v>
      </x:c>
      <x:c r="L147" s="121" t="n">
        <x:v>0.4</x:v>
      </x:c>
      <x:c r="M147" s="121" t="n">
        <x:v>0</x:v>
      </x:c>
      <x:c r="N147" s="121" t="n">
        <x:v>1.335000000000008</x:v>
      </x:c>
      <x:c r="O147" s="121" t="n">
        <x:v>1.335000000000008</x:v>
      </x:c>
      <x:c r="P147" s="121" t="n">
        <x:v>0.15500000000000003</x:v>
      </x:c>
      <x:c r="Q147" s="121" t="n">
        <x:v>1.335000000000008</x:v>
      </x:c>
    </x:row>
    <x:row r="148">
      <x:c r="A148" t="n">
        <x:v>5000</x:v>
      </x:c>
      <x:c r="B148" t="n">
        <x:v>1000</x:v>
      </x:c>
      <x:c r="C148" t="n">
        <x:v>20260707</x:v>
      </x:c>
      <x:c r="D148" t="str">
        <x:v>R5</x:v>
      </x:c>
      <x:c r="E148" t="str">
        <x:v>31–60</x:v>
      </x:c>
      <x:c r="F148" s="121" t="n">
        <x:v>0.625</x:v>
      </x:c>
      <x:c r="G148" s="121" t="n">
        <x:v>8</x:v>
      </x:c>
      <x:c r="H148" s="121" t="n">
        <x:v>0.5</x:v>
      </x:c>
      <x:c r="I148" s="121" t="n">
        <x:v>99.9</x:v>
      </x:c>
      <x:c r="J148" s="121" t="n">
        <x:v>46.300000000000004</x:v>
      </x:c>
      <x:c r="K148" s="121" t="n">
        <x:v>46.300000000000004</x:v>
      </x:c>
      <x:c r="L148" s="121" t="n">
        <x:v>0.4</x:v>
      </x:c>
      <x:c r="M148" s="121" t="n">
        <x:v>-0.03499999999999659</x:v>
      </x:c>
      <x:c r="N148" s="121" t="n">
        <x:v>1.335000000000008</x:v>
      </x:c>
      <x:c r="O148" s="121" t="n">
        <x:v>1.335000000000008</x:v>
      </x:c>
      <x:c r="P148" s="121" t="n">
        <x:v>0.15500000000000003</x:v>
      </x:c>
      <x:c r="Q148" s="121" t="n">
        <x:v>1.335000000000008</x:v>
      </x:c>
    </x:row>
    <x:row r="149">
      <x:c r="A149" t="n">
        <x:v>5000</x:v>
      </x:c>
      <x:c r="B149" t="n">
        <x:v>1000</x:v>
      </x:c>
      <x:c r="C149" t="n">
        <x:v>20260707</x:v>
      </x:c>
      <x:c r="D149" t="str">
        <x:v>R5</x:v>
      </x:c>
      <x:c r="E149" t="str">
        <x:v>31–60</x:v>
      </x:c>
      <x:c r="F149" s="121" t="n">
        <x:v>0.625</x:v>
      </x:c>
      <x:c r="G149" s="121" t="n">
        <x:v>8</x:v>
      </x:c>
      <x:c r="H149" s="121" t="n">
        <x:v>1</x:v>
      </x:c>
      <x:c r="I149" s="121" t="n">
        <x:v>97.8</x:v>
      </x:c>
      <x:c r="J149" s="121" t="n">
        <x:v>46.300000000000004</x:v>
      </x:c>
      <x:c r="K149" s="121" t="n">
        <x:v>46.300000000000004</x:v>
      </x:c>
      <x:c r="L149" s="121" t="n">
        <x:v>0.4</x:v>
      </x:c>
      <x:c r="M149" s="121" t="n">
        <x:v>-0.07500000000000284</x:v>
      </x:c>
      <x:c r="N149" s="121" t="n">
        <x:v>1.335000000000008</x:v>
      </x:c>
      <x:c r="O149" s="121" t="n">
        <x:v>1.335000000000008</x:v>
      </x:c>
      <x:c r="P149" s="121" t="n">
        <x:v>0.15500000000000003</x:v>
      </x:c>
      <x:c r="Q149" s="121" t="n">
        <x:v>1.335000000000008</x:v>
      </x:c>
    </x:row>
    <x:row r="150">
      <x:c r="A150" t="n">
        <x:v>5000</x:v>
      </x:c>
      <x:c r="B150" t="n">
        <x:v>1000</x:v>
      </x:c>
      <x:c r="C150" t="n">
        <x:v>20260707</x:v>
      </x:c>
      <x:c r="D150" t="str">
        <x:v>R5</x:v>
      </x:c>
      <x:c r="E150" t="str">
        <x:v>31–60</x:v>
      </x:c>
      <x:c r="F150" s="121" t="n">
        <x:v>0.625</x:v>
      </x:c>
      <x:c r="G150" s="121" t="n">
        <x:v>8</x:v>
      </x:c>
      <x:c r="H150" s="121" t="n">
        <x:v>2</x:v>
      </x:c>
      <x:c r="I150" s="121" t="n">
        <x:v>82.1</x:v>
      </x:c>
      <x:c r="J150" s="121" t="n">
        <x:v>46.300000000000004</x:v>
      </x:c>
      <x:c r="K150" s="121" t="n">
        <x:v>46.300000000000004</x:v>
      </x:c>
      <x:c r="L150" s="121" t="n">
        <x:v>0.4</x:v>
      </x:c>
      <x:c r="M150" s="121" t="n">
        <x:v>-0.6500000000000057</x:v>
      </x:c>
      <x:c r="N150" s="121" t="n">
        <x:v>1.335000000000008</x:v>
      </x:c>
      <x:c r="O150" s="121" t="n">
        <x:v>1.335000000000008</x:v>
      </x:c>
      <x:c r="P150" s="121" t="n">
        <x:v>0.15500000000000003</x:v>
      </x:c>
      <x:c r="Q150" s="121" t="n">
        <x:v>1.335000000000008</x:v>
      </x:c>
    </x:row>
    <x:row r="151">
      <x:c r="A151" t="n">
        <x:v>5000</x:v>
      </x:c>
      <x:c r="B151" t="n">
        <x:v>1000</x:v>
      </x:c>
      <x:c r="C151" t="n">
        <x:v>20260707</x:v>
      </x:c>
      <x:c r="D151" t="str">
        <x:v>R5</x:v>
      </x:c>
      <x:c r="E151" t="str">
        <x:v>31–60</x:v>
      </x:c>
      <x:c r="F151" s="121" t="n">
        <x:v>0.625</x:v>
      </x:c>
      <x:c r="G151" s="121" t="n">
        <x:v>8</x:v>
      </x:c>
      <x:c r="H151" s="121" t="n">
        <x:v>4</x:v>
      </x:c>
      <x:c r="I151" s="121" t="n">
        <x:v>44.6</x:v>
      </x:c>
      <x:c r="J151" s="121" t="n">
        <x:v>46.300000000000004</x:v>
      </x:c>
      <x:c r="K151" s="121" t="n">
        <x:v>40.699999999999996</x:v>
      </x:c>
      <x:c r="L151" s="121" t="n">
        <x:v>0.4</x:v>
      </x:c>
      <x:c r="M151" s="121" t="n">
        <x:v>0.25500000000000256</x:v>
      </x:c>
      <x:c r="N151" s="121" t="n">
        <x:v>1.335000000000008</x:v>
      </x:c>
      <x:c r="O151" s="121" t="n">
        <x:v>1.4199999999999946</x:v>
      </x:c>
      <x:c r="P151" s="121" t="n">
        <x:v>0.15500000000000003</x:v>
      </x:c>
      <x:c r="Q151" s="121" t="n">
        <x:v>1.4199999999999946</x:v>
      </x:c>
    </x:row>
    <x:row r="152">
      <x:c r="A152" t="n">
        <x:v>5000</x:v>
      </x:c>
      <x:c r="B152" t="n">
        <x:v>1000</x:v>
      </x:c>
      <x:c r="C152" t="n">
        <x:v>20260707</x:v>
      </x:c>
      <x:c r="D152" t="str">
        <x:v>R5</x:v>
      </x:c>
      <x:c r="E152" t="str">
        <x:v>31–60</x:v>
      </x:c>
      <x:c r="F152" s="121" t="n">
        <x:v>0.625</x:v>
      </x:c>
      <x:c r="G152" s="121" t="n">
        <x:v>8</x:v>
      </x:c>
      <x:c r="H152" s="121" t="n">
        <x:v>8</x:v>
      </x:c>
      <x:c r="I152" s="121" t="n">
        <x:v>11.600000000000001</x:v>
      </x:c>
      <x:c r="J152" s="121" t="n">
        <x:v>46.300000000000004</x:v>
      </x:c>
      <x:c r="K152" s="121" t="n">
        <x:v>11.600000000000001</x:v>
      </x:c>
      <x:c r="L152" s="121" t="n">
        <x:v>0.4</x:v>
      </x:c>
      <x:c r="M152" s="121" t="n">
        <x:v>1.2800000000000011</x:v>
      </x:c>
      <x:c r="N152" s="121" t="n">
        <x:v>1.335000000000008</x:v>
      </x:c>
      <x:c r="O152" s="121" t="n">
        <x:v>1.2800000000000011</x:v>
      </x:c>
      <x:c r="P152" s="121" t="n">
        <x:v>0.15500000000000003</x:v>
      </x:c>
      <x:c r="Q152" s="121" t="n">
        <x:v>1.2800000000000011</x:v>
      </x:c>
    </x:row>
    <x:row r="153">
      <x:c r="A153" t="n">
        <x:v>5000</x:v>
      </x:c>
      <x:c r="B153" t="n">
        <x:v>1000</x:v>
      </x:c>
      <x:c r="C153" t="n">
        <x:v>20260707</x:v>
      </x:c>
      <x:c r="D153" t="str">
        <x:v>R5</x:v>
      </x:c>
      <x:c r="E153" t="str">
        <x:v>31–60</x:v>
      </x:c>
      <x:c r="F153" s="121" t="n">
        <x:v>0.625</x:v>
      </x:c>
      <x:c r="G153" s="121" t="n">
        <x:v>8</x:v>
      </x:c>
      <x:c r="H153" s="121" t="n">
        <x:v>16</x:v>
      </x:c>
      <x:c r="I153" s="121" t="n">
        <x:v>1</x:v>
      </x:c>
      <x:c r="J153" s="121" t="n">
        <x:v>46.300000000000004</x:v>
      </x:c>
      <x:c r="K153" s="121" t="n">
        <x:v>1</x:v>
      </x:c>
      <x:c r="L153" s="121" t="n">
        <x:v>0.4</x:v>
      </x:c>
      <x:c r="M153" s="121" t="n">
        <x:v>-0.010000000000000009</x:v>
      </x:c>
      <x:c r="N153" s="121" t="n">
        <x:v>1.335000000000008</x:v>
      </x:c>
      <x:c r="O153" s="121" t="n">
        <x:v>-0.010000000000000009</x:v>
      </x:c>
      <x:c r="P153" s="121" t="n">
        <x:v>0.15500000000000003</x:v>
      </x:c>
      <x:c r="Q153" s="121" t="n">
        <x:v>0.010000000000000009</x:v>
      </x:c>
    </x:row>
    <x:row r="154">
      <x:c r="A154" t="n">
        <x:v>5000</x:v>
      </x:c>
      <x:c r="B154" t="n">
        <x:v>1000</x:v>
      </x:c>
      <x:c r="C154" t="n">
        <x:v>20260707</x:v>
      </x:c>
      <x:c r="D154" t="str">
        <x:v>R5</x:v>
      </x:c>
      <x:c r="E154" t="str">
        <x:v>31–60</x:v>
      </x:c>
      <x:c r="F154" s="121" t="n">
        <x:v>0.625</x:v>
      </x:c>
      <x:c r="G154" s="121" t="n">
        <x:v>8</x:v>
      </x:c>
      <x:c r="H154" s="121" t="n">
        <x:v>32</x:v>
      </x:c>
      <x:c r="I154" s="121" t="n">
        <x:v>0</x:v>
      </x:c>
      <x:c r="J154" s="121" t="n">
        <x:v>46.300000000000004</x:v>
      </x:c>
      <x:c r="K154" s="121" t="n">
        <x:v>0</x:v>
      </x:c>
      <x:c r="L154" s="121" t="n">
        <x:v>0.4</x:v>
      </x:c>
      <x:c r="M154" s="121" t="n">
        <x:v>-0.03</x:v>
      </x:c>
      <x:c r="N154" s="121" t="n">
        <x:v>1.335000000000008</x:v>
      </x:c>
      <x:c r="O154" s="121" t="n">
        <x:v>-0.03</x:v>
      </x:c>
      <x:c r="P154" s="121" t="n">
        <x:v>0.15500000000000003</x:v>
      </x:c>
      <x:c r="Q154" s="121" t="n">
        <x:v>0.03</x:v>
      </x:c>
    </x:row>
    <x:row r="155">
      <x:c r="A155" t="n">
        <x:v>5000</x:v>
      </x:c>
      <x:c r="B155" t="n">
        <x:v>1000</x:v>
      </x:c>
      <x:c r="C155" t="n">
        <x:v>20260707</x:v>
      </x:c>
      <x:c r="D155" t="str">
        <x:v>R5</x:v>
      </x:c>
      <x:c r="E155" t="str">
        <x:v>31–60</x:v>
      </x:c>
      <x:c r="F155" s="121" t="n">
        <x:v>0.625</x:v>
      </x:c>
      <x:c r="G155" s="121" t="n">
        <x:v>8</x:v>
      </x:c>
      <x:c r="H155" s="121" t="n">
        <x:v>64</x:v>
      </x:c>
      <x:c r="I155" s="121" t="n">
        <x:v>0</x:v>
      </x:c>
      <x:c r="J155" s="121" t="n">
        <x:v>46.300000000000004</x:v>
      </x:c>
      <x:c r="K155" s="121" t="n">
        <x:v>0</x:v>
      </x:c>
      <x:c r="L155" s="121" t="n">
        <x:v>0.4</x:v>
      </x:c>
      <x:c r="M155" s="121" t="n">
        <x:v>0</x:v>
      </x:c>
      <x:c r="N155" s="121" t="n">
        <x:v>1.335000000000008</x:v>
      </x:c>
      <x:c r="O155" s="121" t="n">
        <x:v>0</x:v>
      </x:c>
      <x:c r="P155" s="121" t="n">
        <x:v>0.15500000000000003</x:v>
      </x:c>
      <x:c r="Q155" s="121" t="n">
        <x:v>0</x:v>
      </x:c>
    </x:row>
    <x:row r="156">
      <x:c r="A156" t="n">
        <x:v>5000</x:v>
      </x:c>
      <x:c r="B156" t="n">
        <x:v>1000</x:v>
      </x:c>
      <x:c r="C156" t="n">
        <x:v>20260707</x:v>
      </x:c>
      <x:c r="D156" t="str">
        <x:v>R6</x:v>
      </x:c>
      <x:c r="E156" t="str">
        <x:v>31–60</x:v>
      </x:c>
      <x:c r="F156" s="121" t="n">
        <x:v>1.25</x:v>
      </x:c>
      <x:c r="G156" s="121" t="n">
        <x:v>12</x:v>
      </x:c>
      <x:c r="H156" s="121" t="n">
        <x:v>0.0625</x:v>
      </x:c>
      <x:c r="I156" s="121" t="n">
        <x:v>100</x:v>
      </x:c>
      <x:c r="J156" s="121" t="n">
        <x:v>60.099999999999994</x:v>
      </x:c>
      <x:c r="K156" s="121" t="n">
        <x:v>60.099999999999994</x:v>
      </x:c>
      <x:c r="L156" s="121" t="n">
        <x:v>0.8999999999999999</x:v>
      </x:c>
      <x:c r="M156" s="121" t="n">
        <x:v>0</x:v>
      </x:c>
      <x:c r="N156" s="121" t="n">
        <x:v>-0.9350000000000023</x:v>
      </x:c>
      <x:c r="O156" s="121" t="n">
        <x:v>-0.9350000000000023</x:v>
      </x:c>
      <x:c r="P156" s="121" t="n">
        <x:v>0.009999999999999898</x:v>
      </x:c>
      <x:c r="Q156" s="121" t="n">
        <x:v>0.9350000000000023</x:v>
      </x:c>
    </x:row>
    <x:row r="157">
      <x:c r="A157" t="n">
        <x:v>5000</x:v>
      </x:c>
      <x:c r="B157" t="n">
        <x:v>1000</x:v>
      </x:c>
      <x:c r="C157" t="n">
        <x:v>20260707</x:v>
      </x:c>
      <x:c r="D157" t="str">
        <x:v>R6</x:v>
      </x:c>
      <x:c r="E157" t="str">
        <x:v>31–60</x:v>
      </x:c>
      <x:c r="F157" s="121" t="n">
        <x:v>1.25</x:v>
      </x:c>
      <x:c r="G157" s="121" t="n">
        <x:v>12</x:v>
      </x:c>
      <x:c r="H157" s="121" t="n">
        <x:v>0.125</x:v>
      </x:c>
      <x:c r="I157" s="121" t="n">
        <x:v>100</x:v>
      </x:c>
      <x:c r="J157" s="121" t="n">
        <x:v>60.099999999999994</x:v>
      </x:c>
      <x:c r="K157" s="121" t="n">
        <x:v>60.099999999999994</x:v>
      </x:c>
      <x:c r="L157" s="121" t="n">
        <x:v>0.8999999999999999</x:v>
      </x:c>
      <x:c r="M157" s="121" t="n">
        <x:v>0</x:v>
      </x:c>
      <x:c r="N157" s="121" t="n">
        <x:v>-0.9350000000000023</x:v>
      </x:c>
      <x:c r="O157" s="121" t="n">
        <x:v>-0.9350000000000023</x:v>
      </x:c>
      <x:c r="P157" s="121" t="n">
        <x:v>0.009999999999999898</x:v>
      </x:c>
      <x:c r="Q157" s="121" t="n">
        <x:v>0.9350000000000023</x:v>
      </x:c>
    </x:row>
    <x:row r="158">
      <x:c r="A158" t="n">
        <x:v>5000</x:v>
      </x:c>
      <x:c r="B158" t="n">
        <x:v>1000</x:v>
      </x:c>
      <x:c r="C158" t="n">
        <x:v>20260707</x:v>
      </x:c>
      <x:c r="D158" t="str">
        <x:v>R6</x:v>
      </x:c>
      <x:c r="E158" t="str">
        <x:v>31–60</x:v>
      </x:c>
      <x:c r="F158" s="121" t="n">
        <x:v>1.25</x:v>
      </x:c>
      <x:c r="G158" s="121" t="n">
        <x:v>12</x:v>
      </x:c>
      <x:c r="H158" s="121" t="n">
        <x:v>0.25</x:v>
      </x:c>
      <x:c r="I158" s="121" t="n">
        <x:v>100</x:v>
      </x:c>
      <x:c r="J158" s="121" t="n">
        <x:v>60.099999999999994</x:v>
      </x:c>
      <x:c r="K158" s="121" t="n">
        <x:v>60.099999999999994</x:v>
      </x:c>
      <x:c r="L158" s="121" t="n">
        <x:v>0.8999999999999999</x:v>
      </x:c>
      <x:c r="M158" s="121" t="n">
        <x:v>0</x:v>
      </x:c>
      <x:c r="N158" s="121" t="n">
        <x:v>-0.9350000000000023</x:v>
      </x:c>
      <x:c r="O158" s="121" t="n">
        <x:v>-0.9350000000000023</x:v>
      </x:c>
      <x:c r="P158" s="121" t="n">
        <x:v>0.009999999999999898</x:v>
      </x:c>
      <x:c r="Q158" s="121" t="n">
        <x:v>0.9350000000000023</x:v>
      </x:c>
    </x:row>
    <x:row r="159">
      <x:c r="A159" t="n">
        <x:v>5000</x:v>
      </x:c>
      <x:c r="B159" t="n">
        <x:v>1000</x:v>
      </x:c>
      <x:c r="C159" t="n">
        <x:v>20260707</x:v>
      </x:c>
      <x:c r="D159" t="str">
        <x:v>R6</x:v>
      </x:c>
      <x:c r="E159" t="str">
        <x:v>31–60</x:v>
      </x:c>
      <x:c r="F159" s="121" t="n">
        <x:v>1.25</x:v>
      </x:c>
      <x:c r="G159" s="121" t="n">
        <x:v>12</x:v>
      </x:c>
      <x:c r="H159" s="121" t="n">
        <x:v>0.5</x:v>
      </x:c>
      <x:c r="I159" s="121" t="n">
        <x:v>99.9</x:v>
      </x:c>
      <x:c r="J159" s="121" t="n">
        <x:v>60.099999999999994</x:v>
      </x:c>
      <x:c r="K159" s="121" t="n">
        <x:v>60.099999999999994</x:v>
      </x:c>
      <x:c r="L159" s="121" t="n">
        <x:v>0.8999999999999999</x:v>
      </x:c>
      <x:c r="M159" s="121" t="n">
        <x:v>-0.09499999999999886</x:v>
      </x:c>
      <x:c r="N159" s="121" t="n">
        <x:v>-0.9350000000000023</x:v>
      </x:c>
      <x:c r="O159" s="121" t="n">
        <x:v>-0.9350000000000023</x:v>
      </x:c>
      <x:c r="P159" s="121" t="n">
        <x:v>0.009999999999999898</x:v>
      </x:c>
      <x:c r="Q159" s="121" t="n">
        <x:v>0.9350000000000023</x:v>
      </x:c>
    </x:row>
    <x:row r="160">
      <x:c r="A160" t="n">
        <x:v>5000</x:v>
      </x:c>
      <x:c r="B160" t="n">
        <x:v>1000</x:v>
      </x:c>
      <x:c r="C160" t="n">
        <x:v>20260707</x:v>
      </x:c>
      <x:c r="D160" t="str">
        <x:v>R6</x:v>
      </x:c>
      <x:c r="E160" t="str">
        <x:v>31–60</x:v>
      </x:c>
      <x:c r="F160" s="121" t="n">
        <x:v>1.25</x:v>
      </x:c>
      <x:c r="G160" s="121" t="n">
        <x:v>12</x:v>
      </x:c>
      <x:c r="H160" s="121" t="n">
        <x:v>1</x:v>
      </x:c>
      <x:c r="I160" s="121" t="n">
        <x:v>99.4</x:v>
      </x:c>
      <x:c r="J160" s="121" t="n">
        <x:v>60.099999999999994</x:v>
      </x:c>
      <x:c r="K160" s="121" t="n">
        <x:v>60.099999999999994</x:v>
      </x:c>
      <x:c r="L160" s="121" t="n">
        <x:v>0.8999999999999999</x:v>
      </x:c>
      <x:c r="M160" s="121" t="n">
        <x:v>0.010000000000005116</x:v>
      </x:c>
      <x:c r="N160" s="121" t="n">
        <x:v>-0.9350000000000023</x:v>
      </x:c>
      <x:c r="O160" s="121" t="n">
        <x:v>-0.9350000000000023</x:v>
      </x:c>
      <x:c r="P160" s="121" t="n">
        <x:v>0.009999999999999898</x:v>
      </x:c>
      <x:c r="Q160" s="121" t="n">
        <x:v>0.9350000000000023</x:v>
      </x:c>
    </x:row>
    <x:row r="161">
      <x:c r="A161" t="n">
        <x:v>5000</x:v>
      </x:c>
      <x:c r="B161" t="n">
        <x:v>1000</x:v>
      </x:c>
      <x:c r="C161" t="n">
        <x:v>20260707</x:v>
      </x:c>
      <x:c r="D161" t="str">
        <x:v>R6</x:v>
      </x:c>
      <x:c r="E161" t="str">
        <x:v>31–60</x:v>
      </x:c>
      <x:c r="F161" s="121" t="n">
        <x:v>1.25</x:v>
      </x:c>
      <x:c r="G161" s="121" t="n">
        <x:v>12</x:v>
      </x:c>
      <x:c r="H161" s="121" t="n">
        <x:v>2</x:v>
      </x:c>
      <x:c r="I161" s="121" t="n">
        <x:v>90.9</x:v>
      </x:c>
      <x:c r="J161" s="121" t="n">
        <x:v>60.099999999999994</x:v>
      </x:c>
      <x:c r="K161" s="121" t="n">
        <x:v>60.099999999999994</x:v>
      </x:c>
      <x:c r="L161" s="121" t="n">
        <x:v>0.8999999999999999</x:v>
      </x:c>
      <x:c r="M161" s="121" t="n">
        <x:v>-0.9200000000000017</x:v>
      </x:c>
      <x:c r="N161" s="121" t="n">
        <x:v>-0.9350000000000023</x:v>
      </x:c>
      <x:c r="O161" s="121" t="n">
        <x:v>-0.9350000000000023</x:v>
      </x:c>
      <x:c r="P161" s="121" t="n">
        <x:v>0.009999999999999898</x:v>
      </x:c>
      <x:c r="Q161" s="121" t="n">
        <x:v>0.9350000000000023</x:v>
      </x:c>
    </x:row>
    <x:row r="162">
      <x:c r="A162" t="n">
        <x:v>5000</x:v>
      </x:c>
      <x:c r="B162" t="n">
        <x:v>1000</x:v>
      </x:c>
      <x:c r="C162" t="n">
        <x:v>20260707</x:v>
      </x:c>
      <x:c r="D162" t="str">
        <x:v>R6</x:v>
      </x:c>
      <x:c r="E162" t="str">
        <x:v>31–60</x:v>
      </x:c>
      <x:c r="F162" s="121" t="n">
        <x:v>1.25</x:v>
      </x:c>
      <x:c r="G162" s="121" t="n">
        <x:v>12</x:v>
      </x:c>
      <x:c r="H162" s="121" t="n">
        <x:v>4</x:v>
      </x:c>
      <x:c r="I162" s="121" t="n">
        <x:v>61.5</x:v>
      </x:c>
      <x:c r="J162" s="121" t="n">
        <x:v>60.099999999999994</x:v>
      </x:c>
      <x:c r="K162" s="121" t="n">
        <x:v>56.10000000000001</x:v>
      </x:c>
      <x:c r="L162" s="121" t="n">
        <x:v>0.8999999999999999</x:v>
      </x:c>
      <x:c r="M162" s="121" t="n">
        <x:v>-0.6099999999999994</x:v>
      </x:c>
      <x:c r="N162" s="121" t="n">
        <x:v>-0.9350000000000023</x:v>
      </x:c>
      <x:c r="O162" s="121" t="n">
        <x:v>-0.28999999999998494</x:v>
      </x:c>
      <x:c r="P162" s="121" t="n">
        <x:v>0.009999999999999898</x:v>
      </x:c>
      <x:c r="Q162" s="121" t="n">
        <x:v>0.28999999999998494</x:v>
      </x:c>
    </x:row>
    <x:row r="163">
      <x:c r="A163" t="n">
        <x:v>5000</x:v>
      </x:c>
      <x:c r="B163" t="n">
        <x:v>1000</x:v>
      </x:c>
      <x:c r="C163" t="n">
        <x:v>20260707</x:v>
      </x:c>
      <x:c r="D163" t="str">
        <x:v>R6</x:v>
      </x:c>
      <x:c r="E163" t="str">
        <x:v>31–60</x:v>
      </x:c>
      <x:c r="F163" s="121" t="n">
        <x:v>1.25</x:v>
      </x:c>
      <x:c r="G163" s="121" t="n">
        <x:v>12</x:v>
      </x:c>
      <x:c r="H163" s="121" t="n">
        <x:v>8</x:v>
      </x:c>
      <x:c r="I163" s="121" t="n">
        <x:v>24</x:v>
      </x:c>
      <x:c r="J163" s="121" t="n">
        <x:v>60.099999999999994</x:v>
      </x:c>
      <x:c r="K163" s="121" t="n">
        <x:v>24</x:v>
      </x:c>
      <x:c r="L163" s="121" t="n">
        <x:v>0.8999999999999999</x:v>
      </x:c>
      <x:c r="M163" s="121" t="n">
        <x:v>2.1499999999999986</x:v>
      </x:c>
      <x:c r="N163" s="121" t="n">
        <x:v>-0.9350000000000023</x:v>
      </x:c>
      <x:c r="O163" s="121" t="n">
        <x:v>2.16</x:v>
      </x:c>
      <x:c r="P163" s="121" t="n">
        <x:v>0.009999999999999898</x:v>
      </x:c>
      <x:c r="Q163" s="121" t="n">
        <x:v>2.16</x:v>
      </x:c>
    </x:row>
    <x:row r="164">
      <x:c r="A164" t="n">
        <x:v>5000</x:v>
      </x:c>
      <x:c r="B164" t="n">
        <x:v>1000</x:v>
      </x:c>
      <x:c r="C164" t="n">
        <x:v>20260707</x:v>
      </x:c>
      <x:c r="D164" t="str">
        <x:v>R6</x:v>
      </x:c>
      <x:c r="E164" t="str">
        <x:v>31–60</x:v>
      </x:c>
      <x:c r="F164" s="121" t="n">
        <x:v>1.25</x:v>
      </x:c>
      <x:c r="G164" s="121" t="n">
        <x:v>12</x:v>
      </x:c>
      <x:c r="H164" s="121" t="n">
        <x:v>16</x:v>
      </x:c>
      <x:c r="I164" s="121" t="n">
        <x:v>3.4000000000000004</x:v>
      </x:c>
      <x:c r="J164" s="121" t="n">
        <x:v>60.099999999999994</x:v>
      </x:c>
      <x:c r="K164" s="121" t="n">
        <x:v>3.4000000000000004</x:v>
      </x:c>
      <x:c r="L164" s="121" t="n">
        <x:v>0.8999999999999999</x:v>
      </x:c>
      <x:c r="M164" s="121" t="n">
        <x:v>0.4700000000000002</x:v>
      </x:c>
      <x:c r="N164" s="121" t="n">
        <x:v>-0.9350000000000023</x:v>
      </x:c>
      <x:c r="O164" s="121" t="n">
        <x:v>0.4700000000000002</x:v>
      </x:c>
      <x:c r="P164" s="121" t="n">
        <x:v>0.009999999999999898</x:v>
      </x:c>
      <x:c r="Q164" s="121" t="n">
        <x:v>0.4700000000000002</x:v>
      </x:c>
    </x:row>
    <x:row r="165">
      <x:c r="A165" t="n">
        <x:v>5000</x:v>
      </x:c>
      <x:c r="B165" t="n">
        <x:v>1000</x:v>
      </x:c>
      <x:c r="C165" t="n">
        <x:v>20260707</x:v>
      </x:c>
      <x:c r="D165" t="str">
        <x:v>R6</x:v>
      </x:c>
      <x:c r="E165" t="str">
        <x:v>31–60</x:v>
      </x:c>
      <x:c r="F165" s="121" t="n">
        <x:v>1.25</x:v>
      </x:c>
      <x:c r="G165" s="121" t="n">
        <x:v>12</x:v>
      </x:c>
      <x:c r="H165" s="121" t="n">
        <x:v>32</x:v>
      </x:c>
      <x:c r="I165" s="121" t="n">
        <x:v>0.2</x:v>
      </x:c>
      <x:c r="J165" s="121" t="n">
        <x:v>60.099999999999994</x:v>
      </x:c>
      <x:c r="K165" s="121" t="n">
        <x:v>0.2</x:v>
      </x:c>
      <x:c r="L165" s="121" t="n">
        <x:v>0.8999999999999999</x:v>
      </x:c>
      <x:c r="M165" s="121" t="n">
        <x:v>0.035</x:v>
      </x:c>
      <x:c r="N165" s="121" t="n">
        <x:v>-0.9350000000000023</x:v>
      </x:c>
      <x:c r="O165" s="121" t="n">
        <x:v>0.035</x:v>
      </x:c>
      <x:c r="P165" s="121" t="n">
        <x:v>0.009999999999999898</x:v>
      </x:c>
      <x:c r="Q165" s="121" t="n">
        <x:v>0.035</x:v>
      </x:c>
    </x:row>
    <x:row r="166">
      <x:c r="A166" t="n">
        <x:v>5000</x:v>
      </x:c>
      <x:c r="B166" t="n">
        <x:v>1000</x:v>
      </x:c>
      <x:c r="C166" t="n">
        <x:v>20260707</x:v>
      </x:c>
      <x:c r="D166" t="str">
        <x:v>R6</x:v>
      </x:c>
      <x:c r="E166" t="str">
        <x:v>31–60</x:v>
      </x:c>
      <x:c r="F166" s="121" t="n">
        <x:v>1.25</x:v>
      </x:c>
      <x:c r="G166" s="121" t="n">
        <x:v>12</x:v>
      </x:c>
      <x:c r="H166" s="121" t="n">
        <x:v>64</x:v>
      </x:c>
      <x:c r="I166" s="121" t="n">
        <x:v>0</x:v>
      </x:c>
      <x:c r="J166" s="121" t="n">
        <x:v>60.099999999999994</x:v>
      </x:c>
      <x:c r="K166" s="121" t="n">
        <x:v>0</x:v>
      </x:c>
      <x:c r="L166" s="121" t="n">
        <x:v>0.8999999999999999</x:v>
      </x:c>
      <x:c r="M166" s="121" t="n">
        <x:v>0</x:v>
      </x:c>
      <x:c r="N166" s="121" t="n">
        <x:v>-0.9350000000000023</x:v>
      </x:c>
      <x:c r="O166" s="121" t="n">
        <x:v>0</x:v>
      </x:c>
      <x:c r="P166" s="121" t="n">
        <x:v>0.009999999999999898</x:v>
      </x:c>
      <x:c r="Q166" s="121" t="n">
        <x:v>0</x:v>
      </x:c>
    </x:row>
    <x:row r="167">
      <x:c r="A167" t="n">
        <x:v>5000</x:v>
      </x:c>
      <x:c r="B167" t="n">
        <x:v>1000</x:v>
      </x:c>
      <x:c r="C167" t="n">
        <x:v>20260707</x:v>
      </x:c>
      <x:c r="D167" t="str">
        <x:v>R7</x:v>
      </x:c>
      <x:c r="E167" t="str">
        <x:v>31–60</x:v>
      </x:c>
      <x:c r="F167" s="121" t="n">
        <x:v>1.25</x:v>
      </x:c>
      <x:c r="G167" s="121" t="n">
        <x:v>8</x:v>
      </x:c>
      <x:c r="H167" s="121" t="n">
        <x:v>0.0625</x:v>
      </x:c>
      <x:c r="I167" s="121" t="n">
        <x:v>100</x:v>
      </x:c>
      <x:c r="J167" s="121" t="n">
        <x:v>78.7</x:v>
      </x:c>
      <x:c r="K167" s="121" t="n">
        <x:v>78.7</x:v>
      </x:c>
      <x:c r="L167" s="121" t="n">
        <x:v>4.1000000000000005</x:v>
      </x:c>
      <x:c r="M167" s="121" t="n">
        <x:v>0</x:v>
      </x:c>
      <x:c r="N167" s="121" t="n">
        <x:v>-1.7349999999999994</x:v>
      </x:c>
      <x:c r="O167" s="121" t="n">
        <x:v>-1.7349999999999994</x:v>
      </x:c>
      <x:c r="P167" s="121" t="n">
        <x:v>0.2650000000000001</x:v>
      </x:c>
      <x:c r="Q167" s="121" t="n">
        <x:v>1.7349999999999994</x:v>
      </x:c>
    </x:row>
    <x:row r="168">
      <x:c r="A168" t="n">
        <x:v>5000</x:v>
      </x:c>
      <x:c r="B168" t="n">
        <x:v>1000</x:v>
      </x:c>
      <x:c r="C168" t="n">
        <x:v>20260707</x:v>
      </x:c>
      <x:c r="D168" t="str">
        <x:v>R7</x:v>
      </x:c>
      <x:c r="E168" t="str">
        <x:v>31–60</x:v>
      </x:c>
      <x:c r="F168" s="121" t="n">
        <x:v>1.25</x:v>
      </x:c>
      <x:c r="G168" s="121" t="n">
        <x:v>8</x:v>
      </x:c>
      <x:c r="H168" s="121" t="n">
        <x:v>0.125</x:v>
      </x:c>
      <x:c r="I168" s="121" t="n">
        <x:v>100</x:v>
      </x:c>
      <x:c r="J168" s="121" t="n">
        <x:v>78.7</x:v>
      </x:c>
      <x:c r="K168" s="121" t="n">
        <x:v>78.7</x:v>
      </x:c>
      <x:c r="L168" s="121" t="n">
        <x:v>4.1000000000000005</x:v>
      </x:c>
      <x:c r="M168" s="121" t="n">
        <x:v>0</x:v>
      </x:c>
      <x:c r="N168" s="121" t="n">
        <x:v>-1.7349999999999994</x:v>
      </x:c>
      <x:c r="O168" s="121" t="n">
        <x:v>-1.7349999999999994</x:v>
      </x:c>
      <x:c r="P168" s="121" t="n">
        <x:v>0.2650000000000001</x:v>
      </x:c>
      <x:c r="Q168" s="121" t="n">
        <x:v>1.7349999999999994</x:v>
      </x:c>
    </x:row>
    <x:row r="169">
      <x:c r="A169" t="n">
        <x:v>5000</x:v>
      </x:c>
      <x:c r="B169" t="n">
        <x:v>1000</x:v>
      </x:c>
      <x:c r="C169" t="n">
        <x:v>20260707</x:v>
      </x:c>
      <x:c r="D169" t="str">
        <x:v>R7</x:v>
      </x:c>
      <x:c r="E169" t="str">
        <x:v>31–60</x:v>
      </x:c>
      <x:c r="F169" s="121" t="n">
        <x:v>1.25</x:v>
      </x:c>
      <x:c r="G169" s="121" t="n">
        <x:v>8</x:v>
      </x:c>
      <x:c r="H169" s="121" t="n">
        <x:v>0.25</x:v>
      </x:c>
      <x:c r="I169" s="121" t="n">
        <x:v>100</x:v>
      </x:c>
      <x:c r="J169" s="121" t="n">
        <x:v>78.7</x:v>
      </x:c>
      <x:c r="K169" s="121" t="n">
        <x:v>78.7</x:v>
      </x:c>
      <x:c r="L169" s="121" t="n">
        <x:v>4.1000000000000005</x:v>
      </x:c>
      <x:c r="M169" s="121" t="n">
        <x:v>0</x:v>
      </x:c>
      <x:c r="N169" s="121" t="n">
        <x:v>-1.7349999999999994</x:v>
      </x:c>
      <x:c r="O169" s="121" t="n">
        <x:v>-1.7349999999999994</x:v>
      </x:c>
      <x:c r="P169" s="121" t="n">
        <x:v>0.2650000000000001</x:v>
      </x:c>
      <x:c r="Q169" s="121" t="n">
        <x:v>1.7349999999999994</x:v>
      </x:c>
    </x:row>
    <x:row r="170">
      <x:c r="A170" t="n">
        <x:v>5000</x:v>
      </x:c>
      <x:c r="B170" t="n">
        <x:v>1000</x:v>
      </x:c>
      <x:c r="C170" t="n">
        <x:v>20260707</x:v>
      </x:c>
      <x:c r="D170" t="str">
        <x:v>R7</x:v>
      </x:c>
      <x:c r="E170" t="str">
        <x:v>31–60</x:v>
      </x:c>
      <x:c r="F170" s="121" t="n">
        <x:v>1.25</x:v>
      </x:c>
      <x:c r="G170" s="121" t="n">
        <x:v>8</x:v>
      </x:c>
      <x:c r="H170" s="121" t="n">
        <x:v>0.5</x:v>
      </x:c>
      <x:c r="I170" s="121" t="n">
        <x:v>100</x:v>
      </x:c>
      <x:c r="J170" s="121" t="n">
        <x:v>78.7</x:v>
      </x:c>
      <x:c r="K170" s="121" t="n">
        <x:v>78.7</x:v>
      </x:c>
      <x:c r="L170" s="121" t="n">
        <x:v>4.1000000000000005</x:v>
      </x:c>
      <x:c r="M170" s="121" t="n">
        <x:v>0</x:v>
      </x:c>
      <x:c r="N170" s="121" t="n">
        <x:v>-1.7349999999999994</x:v>
      </x:c>
      <x:c r="O170" s="121" t="n">
        <x:v>-1.7349999999999994</x:v>
      </x:c>
      <x:c r="P170" s="121" t="n">
        <x:v>0.2650000000000001</x:v>
      </x:c>
      <x:c r="Q170" s="121" t="n">
        <x:v>1.7349999999999994</x:v>
      </x:c>
    </x:row>
    <x:row r="171">
      <x:c r="A171" t="n">
        <x:v>5000</x:v>
      </x:c>
      <x:c r="B171" t="n">
        <x:v>1000</x:v>
      </x:c>
      <x:c r="C171" t="n">
        <x:v>20260707</x:v>
      </x:c>
      <x:c r="D171" t="str">
        <x:v>R7</x:v>
      </x:c>
      <x:c r="E171" t="str">
        <x:v>31–60</x:v>
      </x:c>
      <x:c r="F171" s="121" t="n">
        <x:v>1.25</x:v>
      </x:c>
      <x:c r="G171" s="121" t="n">
        <x:v>8</x:v>
      </x:c>
      <x:c r="H171" s="121" t="n">
        <x:v>1</x:v>
      </x:c>
      <x:c r="I171" s="121" t="n">
        <x:v>99.9</x:v>
      </x:c>
      <x:c r="J171" s="121" t="n">
        <x:v>78.7</x:v>
      </x:c>
      <x:c r="K171" s="121" t="n">
        <x:v>78.7</x:v>
      </x:c>
      <x:c r="L171" s="121" t="n">
        <x:v>4.1000000000000005</x:v>
      </x:c>
      <x:c r="M171" s="121" t="n">
        <x:v>-0.03499999999999659</x:v>
      </x:c>
      <x:c r="N171" s="121" t="n">
        <x:v>-1.7349999999999994</x:v>
      </x:c>
      <x:c r="O171" s="121" t="n">
        <x:v>-1.7349999999999994</x:v>
      </x:c>
      <x:c r="P171" s="121" t="n">
        <x:v>0.2650000000000001</x:v>
      </x:c>
      <x:c r="Q171" s="121" t="n">
        <x:v>1.7349999999999994</x:v>
      </x:c>
    </x:row>
    <x:row r="172">
      <x:c r="A172" t="n">
        <x:v>5000</x:v>
      </x:c>
      <x:c r="B172" t="n">
        <x:v>1000</x:v>
      </x:c>
      <x:c r="C172" t="n">
        <x:v>20260707</x:v>
      </x:c>
      <x:c r="D172" t="str">
        <x:v>R7</x:v>
      </x:c>
      <x:c r="E172" t="str">
        <x:v>31–60</x:v>
      </x:c>
      <x:c r="F172" s="121" t="n">
        <x:v>1.25</x:v>
      </x:c>
      <x:c r="G172" s="121" t="n">
        <x:v>8</x:v>
      </x:c>
      <x:c r="H172" s="121" t="n">
        <x:v>2</x:v>
      </x:c>
      <x:c r="I172" s="121" t="n">
        <x:v>97.8</x:v>
      </x:c>
      <x:c r="J172" s="121" t="n">
        <x:v>78.7</x:v>
      </x:c>
      <x:c r="K172" s="121" t="n">
        <x:v>78.7</x:v>
      </x:c>
      <x:c r="L172" s="121" t="n">
        <x:v>4.1000000000000005</x:v>
      </x:c>
      <x:c r="M172" s="121" t="n">
        <x:v>-0.07500000000000284</x:v>
      </x:c>
      <x:c r="N172" s="121" t="n">
        <x:v>-1.7349999999999994</x:v>
      </x:c>
      <x:c r="O172" s="121" t="n">
        <x:v>-1.7349999999999994</x:v>
      </x:c>
      <x:c r="P172" s="121" t="n">
        <x:v>0.2650000000000001</x:v>
      </x:c>
      <x:c r="Q172" s="121" t="n">
        <x:v>1.7349999999999994</x:v>
      </x:c>
    </x:row>
    <x:row r="173">
      <x:c r="A173" t="n">
        <x:v>5000</x:v>
      </x:c>
      <x:c r="B173" t="n">
        <x:v>1000</x:v>
      </x:c>
      <x:c r="C173" t="n">
        <x:v>20260707</x:v>
      </x:c>
      <x:c r="D173" t="str">
        <x:v>R7</x:v>
      </x:c>
      <x:c r="E173" t="str">
        <x:v>31–60</x:v>
      </x:c>
      <x:c r="F173" s="121" t="n">
        <x:v>1.25</x:v>
      </x:c>
      <x:c r="G173" s="121" t="n">
        <x:v>8</x:v>
      </x:c>
      <x:c r="H173" s="121" t="n">
        <x:v>4</x:v>
      </x:c>
      <x:c r="I173" s="121" t="n">
        <x:v>82.1</x:v>
      </x:c>
      <x:c r="J173" s="121" t="n">
        <x:v>78.7</x:v>
      </x:c>
      <x:c r="K173" s="121" t="n">
        <x:v>77</x:v>
      </x:c>
      <x:c r="L173" s="121" t="n">
        <x:v>4.1000000000000005</x:v>
      </x:c>
      <x:c r="M173" s="121" t="n">
        <x:v>-0.6500000000000057</x:v>
      </x:c>
      <x:c r="N173" s="121" t="n">
        <x:v>-1.7349999999999994</x:v>
      </x:c>
      <x:c r="O173" s="121" t="n">
        <x:v>-0.8950000000000102</x:v>
      </x:c>
      <x:c r="P173" s="121" t="n">
        <x:v>0.2650000000000001</x:v>
      </x:c>
      <x:c r="Q173" s="121" t="n">
        <x:v>0.8950000000000102</x:v>
      </x:c>
    </x:row>
    <x:row r="174">
      <x:c r="A174" t="n">
        <x:v>5000</x:v>
      </x:c>
      <x:c r="B174" t="n">
        <x:v>1000</x:v>
      </x:c>
      <x:c r="C174" t="n">
        <x:v>20260707</x:v>
      </x:c>
      <x:c r="D174" t="str">
        <x:v>R7</x:v>
      </x:c>
      <x:c r="E174" t="str">
        <x:v>31–60</x:v>
      </x:c>
      <x:c r="F174" s="121" t="n">
        <x:v>1.25</x:v>
      </x:c>
      <x:c r="G174" s="121" t="n">
        <x:v>8</x:v>
      </x:c>
      <x:c r="H174" s="121" t="n">
        <x:v>8</x:v>
      </x:c>
      <x:c r="I174" s="121" t="n">
        <x:v>44.6</x:v>
      </x:c>
      <x:c r="J174" s="121" t="n">
        <x:v>78.7</x:v>
      </x:c>
      <x:c r="K174" s="121" t="n">
        <x:v>44.6</x:v>
      </x:c>
      <x:c r="L174" s="121" t="n">
        <x:v>4.1000000000000005</x:v>
      </x:c>
      <x:c r="M174" s="121" t="n">
        <x:v>0.25500000000000256</x:v>
      </x:c>
      <x:c r="N174" s="121" t="n">
        <x:v>-1.7349999999999994</x:v>
      </x:c>
      <x:c r="O174" s="121" t="n">
        <x:v>0.259999999999998</x:v>
      </x:c>
      <x:c r="P174" s="121" t="n">
        <x:v>0.2650000000000001</x:v>
      </x:c>
      <x:c r="Q174" s="121" t="n">
        <x:v>0.259999999999998</x:v>
      </x:c>
    </x:row>
    <x:row r="175">
      <x:c r="A175" t="n">
        <x:v>5000</x:v>
      </x:c>
      <x:c r="B175" t="n">
        <x:v>1000</x:v>
      </x:c>
      <x:c r="C175" t="n">
        <x:v>20260707</x:v>
      </x:c>
      <x:c r="D175" t="str">
        <x:v>R7</x:v>
      </x:c>
      <x:c r="E175" t="str">
        <x:v>31–60</x:v>
      </x:c>
      <x:c r="F175" s="121" t="n">
        <x:v>1.25</x:v>
      </x:c>
      <x:c r="G175" s="121" t="n">
        <x:v>8</x:v>
      </x:c>
      <x:c r="H175" s="121" t="n">
        <x:v>16</x:v>
      </x:c>
      <x:c r="I175" s="121" t="n">
        <x:v>11.600000000000001</x:v>
      </x:c>
      <x:c r="J175" s="121" t="n">
        <x:v>78.7</x:v>
      </x:c>
      <x:c r="K175" s="121" t="n">
        <x:v>11.600000000000001</x:v>
      </x:c>
      <x:c r="L175" s="121" t="n">
        <x:v>4.1000000000000005</x:v>
      </x:c>
      <x:c r="M175" s="121" t="n">
        <x:v>1.2800000000000011</x:v>
      </x:c>
      <x:c r="N175" s="121" t="n">
        <x:v>-1.7349999999999994</x:v>
      </x:c>
      <x:c r="O175" s="121" t="n">
        <x:v>1.2800000000000011</x:v>
      </x:c>
      <x:c r="P175" s="121" t="n">
        <x:v>0.2650000000000001</x:v>
      </x:c>
      <x:c r="Q175" s="121" t="n">
        <x:v>1.2800000000000011</x:v>
      </x:c>
    </x:row>
    <x:row r="176">
      <x:c r="A176" t="n">
        <x:v>5000</x:v>
      </x:c>
      <x:c r="B176" t="n">
        <x:v>1000</x:v>
      </x:c>
      <x:c r="C176" t="n">
        <x:v>20260707</x:v>
      </x:c>
      <x:c r="D176" t="str">
        <x:v>R7</x:v>
      </x:c>
      <x:c r="E176" t="str">
        <x:v>31–60</x:v>
      </x:c>
      <x:c r="F176" s="121" t="n">
        <x:v>1.25</x:v>
      </x:c>
      <x:c r="G176" s="121" t="n">
        <x:v>8</x:v>
      </x:c>
      <x:c r="H176" s="121" t="n">
        <x:v>32</x:v>
      </x:c>
      <x:c r="I176" s="121" t="n">
        <x:v>1</x:v>
      </x:c>
      <x:c r="J176" s="121" t="n">
        <x:v>78.7</x:v>
      </x:c>
      <x:c r="K176" s="121" t="n">
        <x:v>1</x:v>
      </x:c>
      <x:c r="L176" s="121" t="n">
        <x:v>4.1000000000000005</x:v>
      </x:c>
      <x:c r="M176" s="121" t="n">
        <x:v>-0.010000000000000009</x:v>
      </x:c>
      <x:c r="N176" s="121" t="n">
        <x:v>-1.7349999999999994</x:v>
      </x:c>
      <x:c r="O176" s="121" t="n">
        <x:v>-0.010000000000000009</x:v>
      </x:c>
      <x:c r="P176" s="121" t="n">
        <x:v>0.2650000000000001</x:v>
      </x:c>
      <x:c r="Q176" s="121" t="n">
        <x:v>0.010000000000000009</x:v>
      </x:c>
    </x:row>
    <x:row r="177">
      <x:c r="A177" t="n">
        <x:v>5000</x:v>
      </x:c>
      <x:c r="B177" t="n">
        <x:v>1000</x:v>
      </x:c>
      <x:c r="C177" t="n">
        <x:v>20260707</x:v>
      </x:c>
      <x:c r="D177" t="str">
        <x:v>R7</x:v>
      </x:c>
      <x:c r="E177" t="str">
        <x:v>31–60</x:v>
      </x:c>
      <x:c r="F177" s="121" t="n">
        <x:v>1.25</x:v>
      </x:c>
      <x:c r="G177" s="121" t="n">
        <x:v>8</x:v>
      </x:c>
      <x:c r="H177" s="121" t="n">
        <x:v>64</x:v>
      </x:c>
      <x:c r="I177" s="121" t="n">
        <x:v>0</x:v>
      </x:c>
      <x:c r="J177" s="121" t="n">
        <x:v>78.7</x:v>
      </x:c>
      <x:c r="K177" s="121" t="n">
        <x:v>0</x:v>
      </x:c>
      <x:c r="L177" s="121" t="n">
        <x:v>4.1000000000000005</x:v>
      </x:c>
      <x:c r="M177" s="121" t="n">
        <x:v>-0.03</x:v>
      </x:c>
      <x:c r="N177" s="121" t="n">
        <x:v>-1.7349999999999994</x:v>
      </x:c>
      <x:c r="O177" s="121" t="n">
        <x:v>-0.03</x:v>
      </x:c>
      <x:c r="P177" s="121" t="n">
        <x:v>0.2650000000000001</x:v>
      </x:c>
      <x:c r="Q177" s="121" t="n">
        <x:v>0.03</x:v>
      </x:c>
    </x:row>
    <x:row r="178">
      <x:c r="A178" t="n">
        <x:v>5000</x:v>
      </x:c>
      <x:c r="B178" t="n">
        <x:v>1000</x:v>
      </x:c>
      <x:c r="C178" t="n">
        <x:v>20260707</x:v>
      </x:c>
      <x:c r="D178" t="str">
        <x:v>R8</x:v>
      </x:c>
      <x:c r="E178" t="str">
        <x:v>31–60</x:v>
      </x:c>
      <x:c r="F178" s="121" t="n">
        <x:v>2.5</x:v>
      </x:c>
      <x:c r="G178" s="121" t="n">
        <x:v>12</x:v>
      </x:c>
      <x:c r="H178" s="121" t="n">
        <x:v>0.0625</x:v>
      </x:c>
      <x:c r="I178" s="121" t="n">
        <x:v>100</x:v>
      </x:c>
      <x:c r="J178" s="121" t="n">
        <x:v>87.9</x:v>
      </x:c>
      <x:c r="K178" s="121" t="n">
        <x:v>87.9</x:v>
      </x:c>
      <x:c r="L178" s="121" t="n">
        <x:v>10.299999999999999</x:v>
      </x:c>
      <x:c r="M178" s="121" t="n">
        <x:v>0</x:v>
      </x:c>
      <x:c r="N178" s="121" t="n">
        <x:v>-1.5499999999999972</x:v>
      </x:c>
      <x:c r="O178" s="121" t="n">
        <x:v>-1.5499999999999972</x:v>
      </x:c>
      <x:c r="P178" s="121" t="n">
        <x:v>0.9649999999999981</x:v>
      </x:c>
      <x:c r="Q178" s="121" t="n">
        <x:v>1.5499999999999972</x:v>
      </x:c>
    </x:row>
    <x:row r="179">
      <x:c r="A179" t="n">
        <x:v>5000</x:v>
      </x:c>
      <x:c r="B179" t="n">
        <x:v>1000</x:v>
      </x:c>
      <x:c r="C179" t="n">
        <x:v>20260707</x:v>
      </x:c>
      <x:c r="D179" t="str">
        <x:v>R8</x:v>
      </x:c>
      <x:c r="E179" t="str">
        <x:v>31–60</x:v>
      </x:c>
      <x:c r="F179" s="121" t="n">
        <x:v>2.5</x:v>
      </x:c>
      <x:c r="G179" s="121" t="n">
        <x:v>12</x:v>
      </x:c>
      <x:c r="H179" s="121" t="n">
        <x:v>0.125</x:v>
      </x:c>
      <x:c r="I179" s="121" t="n">
        <x:v>100</x:v>
      </x:c>
      <x:c r="J179" s="121" t="n">
        <x:v>87.9</x:v>
      </x:c>
      <x:c r="K179" s="121" t="n">
        <x:v>87.9</x:v>
      </x:c>
      <x:c r="L179" s="121" t="n">
        <x:v>10.299999999999999</x:v>
      </x:c>
      <x:c r="M179" s="121" t="n">
        <x:v>0</x:v>
      </x:c>
      <x:c r="N179" s="121" t="n">
        <x:v>-1.5499999999999972</x:v>
      </x:c>
      <x:c r="O179" s="121" t="n">
        <x:v>-1.5499999999999972</x:v>
      </x:c>
      <x:c r="P179" s="121" t="n">
        <x:v>0.9649999999999981</x:v>
      </x:c>
      <x:c r="Q179" s="121" t="n">
        <x:v>1.5499999999999972</x:v>
      </x:c>
    </x:row>
    <x:row r="180">
      <x:c r="A180" t="n">
        <x:v>5000</x:v>
      </x:c>
      <x:c r="B180" t="n">
        <x:v>1000</x:v>
      </x:c>
      <x:c r="C180" t="n">
        <x:v>20260707</x:v>
      </x:c>
      <x:c r="D180" t="str">
        <x:v>R8</x:v>
      </x:c>
      <x:c r="E180" t="str">
        <x:v>31–60</x:v>
      </x:c>
      <x:c r="F180" s="121" t="n">
        <x:v>2.5</x:v>
      </x:c>
      <x:c r="G180" s="121" t="n">
        <x:v>12</x:v>
      </x:c>
      <x:c r="H180" s="121" t="n">
        <x:v>0.25</x:v>
      </x:c>
      <x:c r="I180" s="121" t="n">
        <x:v>100</x:v>
      </x:c>
      <x:c r="J180" s="121" t="n">
        <x:v>87.9</x:v>
      </x:c>
      <x:c r="K180" s="121" t="n">
        <x:v>87.9</x:v>
      </x:c>
      <x:c r="L180" s="121" t="n">
        <x:v>10.299999999999999</x:v>
      </x:c>
      <x:c r="M180" s="121" t="n">
        <x:v>0</x:v>
      </x:c>
      <x:c r="N180" s="121" t="n">
        <x:v>-1.5499999999999972</x:v>
      </x:c>
      <x:c r="O180" s="121" t="n">
        <x:v>-1.5499999999999972</x:v>
      </x:c>
      <x:c r="P180" s="121" t="n">
        <x:v>0.9649999999999981</x:v>
      </x:c>
      <x:c r="Q180" s="121" t="n">
        <x:v>1.5499999999999972</x:v>
      </x:c>
    </x:row>
    <x:row r="181">
      <x:c r="A181" t="n">
        <x:v>5000</x:v>
      </x:c>
      <x:c r="B181" t="n">
        <x:v>1000</x:v>
      </x:c>
      <x:c r="C181" t="n">
        <x:v>20260707</x:v>
      </x:c>
      <x:c r="D181" t="str">
        <x:v>R8</x:v>
      </x:c>
      <x:c r="E181" t="str">
        <x:v>31–60</x:v>
      </x:c>
      <x:c r="F181" s="121" t="n">
        <x:v>2.5</x:v>
      </x:c>
      <x:c r="G181" s="121" t="n">
        <x:v>12</x:v>
      </x:c>
      <x:c r="H181" s="121" t="n">
        <x:v>0.5</x:v>
      </x:c>
      <x:c r="I181" s="121" t="n">
        <x:v>100</x:v>
      </x:c>
      <x:c r="J181" s="121" t="n">
        <x:v>87.9</x:v>
      </x:c>
      <x:c r="K181" s="121" t="n">
        <x:v>87.9</x:v>
      </x:c>
      <x:c r="L181" s="121" t="n">
        <x:v>10.299999999999999</x:v>
      </x:c>
      <x:c r="M181" s="121" t="n">
        <x:v>0</x:v>
      </x:c>
      <x:c r="N181" s="121" t="n">
        <x:v>-1.5499999999999972</x:v>
      </x:c>
      <x:c r="O181" s="121" t="n">
        <x:v>-1.5499999999999972</x:v>
      </x:c>
      <x:c r="P181" s="121" t="n">
        <x:v>0.9649999999999981</x:v>
      </x:c>
      <x:c r="Q181" s="121" t="n">
        <x:v>1.5499999999999972</x:v>
      </x:c>
    </x:row>
    <x:row r="182">
      <x:c r="A182" t="n">
        <x:v>5000</x:v>
      </x:c>
      <x:c r="B182" t="n">
        <x:v>1000</x:v>
      </x:c>
      <x:c r="C182" t="n">
        <x:v>20260707</x:v>
      </x:c>
      <x:c r="D182" t="str">
        <x:v>R8</x:v>
      </x:c>
      <x:c r="E182" t="str">
        <x:v>31–60</x:v>
      </x:c>
      <x:c r="F182" s="121" t="n">
        <x:v>2.5</x:v>
      </x:c>
      <x:c r="G182" s="121" t="n">
        <x:v>12</x:v>
      </x:c>
      <x:c r="H182" s="121" t="n">
        <x:v>1</x:v>
      </x:c>
      <x:c r="I182" s="121" t="n">
        <x:v>99.9</x:v>
      </x:c>
      <x:c r="J182" s="121" t="n">
        <x:v>87.9</x:v>
      </x:c>
      <x:c r="K182" s="121" t="n">
        <x:v>87.9</x:v>
      </x:c>
      <x:c r="L182" s="121" t="n">
        <x:v>10.299999999999999</x:v>
      </x:c>
      <x:c r="M182" s="121" t="n">
        <x:v>-0.09499999999999886</x:v>
      </x:c>
      <x:c r="N182" s="121" t="n">
        <x:v>-1.5499999999999972</x:v>
      </x:c>
      <x:c r="O182" s="121" t="n">
        <x:v>-1.5499999999999972</x:v>
      </x:c>
      <x:c r="P182" s="121" t="n">
        <x:v>0.9649999999999981</x:v>
      </x:c>
      <x:c r="Q182" s="121" t="n">
        <x:v>1.5499999999999972</x:v>
      </x:c>
    </x:row>
    <x:row r="183">
      <x:c r="A183" t="n">
        <x:v>5000</x:v>
      </x:c>
      <x:c r="B183" t="n">
        <x:v>1000</x:v>
      </x:c>
      <x:c r="C183" t="n">
        <x:v>20260707</x:v>
      </x:c>
      <x:c r="D183" t="str">
        <x:v>R8</x:v>
      </x:c>
      <x:c r="E183" t="str">
        <x:v>31–60</x:v>
      </x:c>
      <x:c r="F183" s="121" t="n">
        <x:v>2.5</x:v>
      </x:c>
      <x:c r="G183" s="121" t="n">
        <x:v>12</x:v>
      </x:c>
      <x:c r="H183" s="121" t="n">
        <x:v>2</x:v>
      </x:c>
      <x:c r="I183" s="121" t="n">
        <x:v>99.4</x:v>
      </x:c>
      <x:c r="J183" s="121" t="n">
        <x:v>87.9</x:v>
      </x:c>
      <x:c r="K183" s="121" t="n">
        <x:v>87.9</x:v>
      </x:c>
      <x:c r="L183" s="121" t="n">
        <x:v>10.299999999999999</x:v>
      </x:c>
      <x:c r="M183" s="121" t="n">
        <x:v>0.010000000000005116</x:v>
      </x:c>
      <x:c r="N183" s="121" t="n">
        <x:v>-1.5499999999999972</x:v>
      </x:c>
      <x:c r="O183" s="121" t="n">
        <x:v>-1.5499999999999972</x:v>
      </x:c>
      <x:c r="P183" s="121" t="n">
        <x:v>0.9649999999999981</x:v>
      </x:c>
      <x:c r="Q183" s="121" t="n">
        <x:v>1.5499999999999972</x:v>
      </x:c>
    </x:row>
    <x:row r="184">
      <x:c r="A184" t="n">
        <x:v>5000</x:v>
      </x:c>
      <x:c r="B184" t="n">
        <x:v>1000</x:v>
      </x:c>
      <x:c r="C184" t="n">
        <x:v>20260707</x:v>
      </x:c>
      <x:c r="D184" t="str">
        <x:v>R8</x:v>
      </x:c>
      <x:c r="E184" t="str">
        <x:v>31–60</x:v>
      </x:c>
      <x:c r="F184" s="121" t="n">
        <x:v>2.5</x:v>
      </x:c>
      <x:c r="G184" s="121" t="n">
        <x:v>12</x:v>
      </x:c>
      <x:c r="H184" s="121" t="n">
        <x:v>4</x:v>
      </x:c>
      <x:c r="I184" s="121" t="n">
        <x:v>90.9</x:v>
      </x:c>
      <x:c r="J184" s="121" t="n">
        <x:v>87.9</x:v>
      </x:c>
      <x:c r="K184" s="121" t="n">
        <x:v>86.9</x:v>
      </x:c>
      <x:c r="L184" s="121" t="n">
        <x:v>10.299999999999999</x:v>
      </x:c>
      <x:c r="M184" s="121" t="n">
        <x:v>-0.9200000000000017</x:v>
      </x:c>
      <x:c r="N184" s="121" t="n">
        <x:v>-1.5499999999999972</x:v>
      </x:c>
      <x:c r="O184" s="121" t="n">
        <x:v>-1.3799999999999955</x:v>
      </x:c>
      <x:c r="P184" s="121" t="n">
        <x:v>0.9649999999999981</x:v>
      </x:c>
      <x:c r="Q184" s="121" t="n">
        <x:v>1.3799999999999955</x:v>
      </x:c>
    </x:row>
    <x:row r="185">
      <x:c r="A185" t="n">
        <x:v>5000</x:v>
      </x:c>
      <x:c r="B185" t="n">
        <x:v>1000</x:v>
      </x:c>
      <x:c r="C185" t="n">
        <x:v>20260707</x:v>
      </x:c>
      <x:c r="D185" t="str">
        <x:v>R8</x:v>
      </x:c>
      <x:c r="E185" t="str">
        <x:v>31–60</x:v>
      </x:c>
      <x:c r="F185" s="121" t="n">
        <x:v>2.5</x:v>
      </x:c>
      <x:c r="G185" s="121" t="n">
        <x:v>12</x:v>
      </x:c>
      <x:c r="H185" s="121" t="n">
        <x:v>8</x:v>
      </x:c>
      <x:c r="I185" s="121" t="n">
        <x:v>61.5</x:v>
      </x:c>
      <x:c r="J185" s="121" t="n">
        <x:v>87.9</x:v>
      </x:c>
      <x:c r="K185" s="121" t="n">
        <x:v>61.5</x:v>
      </x:c>
      <x:c r="L185" s="121" t="n">
        <x:v>10.299999999999999</x:v>
      </x:c>
      <x:c r="M185" s="121" t="n">
        <x:v>-0.6099999999999994</x:v>
      </x:c>
      <x:c r="N185" s="121" t="n">
        <x:v>-1.5499999999999972</x:v>
      </x:c>
      <x:c r="O185" s="121" t="n">
        <x:v>-0.5900000000000034</x:v>
      </x:c>
      <x:c r="P185" s="121" t="n">
        <x:v>0.9649999999999981</x:v>
      </x:c>
      <x:c r="Q185" s="121" t="n">
        <x:v>0.5900000000000034</x:v>
      </x:c>
    </x:row>
    <x:row r="186">
      <x:c r="A186" t="n">
        <x:v>5000</x:v>
      </x:c>
      <x:c r="B186" t="n">
        <x:v>1000</x:v>
      </x:c>
      <x:c r="C186" t="n">
        <x:v>20260707</x:v>
      </x:c>
      <x:c r="D186" t="str">
        <x:v>R8</x:v>
      </x:c>
      <x:c r="E186" t="str">
        <x:v>31–60</x:v>
      </x:c>
      <x:c r="F186" s="121" t="n">
        <x:v>2.5</x:v>
      </x:c>
      <x:c r="G186" s="121" t="n">
        <x:v>12</x:v>
      </x:c>
      <x:c r="H186" s="121" t="n">
        <x:v>16</x:v>
      </x:c>
      <x:c r="I186" s="121" t="n">
        <x:v>24</x:v>
      </x:c>
      <x:c r="J186" s="121" t="n">
        <x:v>87.9</x:v>
      </x:c>
      <x:c r="K186" s="121" t="n">
        <x:v>24</x:v>
      </x:c>
      <x:c r="L186" s="121" t="n">
        <x:v>10.299999999999999</x:v>
      </x:c>
      <x:c r="M186" s="121" t="n">
        <x:v>2.1499999999999986</x:v>
      </x:c>
      <x:c r="N186" s="121" t="n">
        <x:v>-1.5499999999999972</x:v>
      </x:c>
      <x:c r="O186" s="121" t="n">
        <x:v>2.1499999999999986</x:v>
      </x:c>
      <x:c r="P186" s="121" t="n">
        <x:v>0.9649999999999981</x:v>
      </x:c>
      <x:c r="Q186" s="121" t="n">
        <x:v>2.1499999999999986</x:v>
      </x:c>
    </x:row>
    <x:row r="187">
      <x:c r="A187" t="n">
        <x:v>5000</x:v>
      </x:c>
      <x:c r="B187" t="n">
        <x:v>1000</x:v>
      </x:c>
      <x:c r="C187" t="n">
        <x:v>20260707</x:v>
      </x:c>
      <x:c r="D187" t="str">
        <x:v>R8</x:v>
      </x:c>
      <x:c r="E187" t="str">
        <x:v>31–60</x:v>
      </x:c>
      <x:c r="F187" s="121" t="n">
        <x:v>2.5</x:v>
      </x:c>
      <x:c r="G187" s="121" t="n">
        <x:v>12</x:v>
      </x:c>
      <x:c r="H187" s="121" t="n">
        <x:v>32</x:v>
      </x:c>
      <x:c r="I187" s="121" t="n">
        <x:v>3.4000000000000004</x:v>
      </x:c>
      <x:c r="J187" s="121" t="n">
        <x:v>87.9</x:v>
      </x:c>
      <x:c r="K187" s="121" t="n">
        <x:v>3.4000000000000004</x:v>
      </x:c>
      <x:c r="L187" s="121" t="n">
        <x:v>10.299999999999999</x:v>
      </x:c>
      <x:c r="M187" s="121" t="n">
        <x:v>0.4700000000000002</x:v>
      </x:c>
      <x:c r="N187" s="121" t="n">
        <x:v>-1.5499999999999972</x:v>
      </x:c>
      <x:c r="O187" s="121" t="n">
        <x:v>0.4700000000000002</x:v>
      </x:c>
      <x:c r="P187" s="121" t="n">
        <x:v>0.9649999999999981</x:v>
      </x:c>
      <x:c r="Q187" s="121" t="n">
        <x:v>0.4700000000000002</x:v>
      </x:c>
    </x:row>
    <x:row r="188">
      <x:c r="A188" t="n">
        <x:v>5000</x:v>
      </x:c>
      <x:c r="B188" t="n">
        <x:v>1000</x:v>
      </x:c>
      <x:c r="C188" t="n">
        <x:v>20260707</x:v>
      </x:c>
      <x:c r="D188" t="str">
        <x:v>R8</x:v>
      </x:c>
      <x:c r="E188" t="str">
        <x:v>31–60</x:v>
      </x:c>
      <x:c r="F188" s="121" t="n">
        <x:v>2.5</x:v>
      </x:c>
      <x:c r="G188" s="121" t="n">
        <x:v>12</x:v>
      </x:c>
      <x:c r="H188" s="121" t="n">
        <x:v>64</x:v>
      </x:c>
      <x:c r="I188" s="121" t="n">
        <x:v>0.2</x:v>
      </x:c>
      <x:c r="J188" s="121" t="n">
        <x:v>87.9</x:v>
      </x:c>
      <x:c r="K188" s="121" t="n">
        <x:v>0.2</x:v>
      </x:c>
      <x:c r="L188" s="121" t="n">
        <x:v>10.299999999999999</x:v>
      </x:c>
      <x:c r="M188" s="121" t="n">
        <x:v>0.035</x:v>
      </x:c>
      <x:c r="N188" s="121" t="n">
        <x:v>-1.5499999999999972</x:v>
      </x:c>
      <x:c r="O188" s="121" t="n">
        <x:v>0.035</x:v>
      </x:c>
      <x:c r="P188" s="121" t="n">
        <x:v>0.9649999999999981</x:v>
      </x:c>
      <x:c r="Q188" s="121" t="n">
        <x:v>0.035</x:v>
      </x:c>
    </x:row>
    <x:row r="189">
      <x:c r="A189" t="n">
        <x:v>5000</x:v>
      </x:c>
      <x:c r="B189" t="n">
        <x:v>1000</x:v>
      </x:c>
      <x:c r="C189" t="n">
        <x:v>20260707</x:v>
      </x:c>
      <x:c r="D189" t="str">
        <x:v>R9</x:v>
      </x:c>
      <x:c r="E189" t="str">
        <x:v>61–90</x:v>
      </x:c>
      <x:c r="F189" s="121" t="n">
        <x:v>2.5</x:v>
      </x:c>
      <x:c r="G189" s="121" t="n">
        <x:v>12</x:v>
      </x:c>
      <x:c r="H189" s="121" t="n">
        <x:v>0.0625</x:v>
      </x:c>
      <x:c r="I189" s="121" t="n">
        <x:v>100</x:v>
      </x:c>
      <x:c r="J189" s="121" t="n">
        <x:v>73.5</x:v>
      </x:c>
      <x:c r="K189" s="121" t="n">
        <x:v>73.5</x:v>
      </x:c>
      <x:c r="L189" s="121" t="n">
        <x:v>3.1</x:v>
      </x:c>
      <x:c r="M189" s="121" t="n">
        <x:v>0</x:v>
      </x:c>
      <x:c r="N189" s="121" t="n">
        <x:v>0.2750000000000057</x:v>
      </x:c>
      <x:c r="O189" s="121" t="n">
        <x:v>0.2750000000000057</x:v>
      </x:c>
      <x:c r="P189" s="121" t="n">
        <x:v>0.1200000000000001</x:v>
      </x:c>
      <x:c r="Q189" s="121" t="n">
        <x:v>0.2750000000000057</x:v>
      </x:c>
    </x:row>
    <x:row r="190">
      <x:c r="A190" t="n">
        <x:v>5000</x:v>
      </x:c>
      <x:c r="B190" t="n">
        <x:v>1000</x:v>
      </x:c>
      <x:c r="C190" t="n">
        <x:v>20260707</x:v>
      </x:c>
      <x:c r="D190" t="str">
        <x:v>R9</x:v>
      </x:c>
      <x:c r="E190" t="str">
        <x:v>61–90</x:v>
      </x:c>
      <x:c r="F190" s="121" t="n">
        <x:v>2.5</x:v>
      </x:c>
      <x:c r="G190" s="121" t="n">
        <x:v>12</x:v>
      </x:c>
      <x:c r="H190" s="121" t="n">
        <x:v>0.125</x:v>
      </x:c>
      <x:c r="I190" s="121" t="n">
        <x:v>100</x:v>
      </x:c>
      <x:c r="J190" s="121" t="n">
        <x:v>73.5</x:v>
      </x:c>
      <x:c r="K190" s="121" t="n">
        <x:v>73.5</x:v>
      </x:c>
      <x:c r="L190" s="121" t="n">
        <x:v>3.1</x:v>
      </x:c>
      <x:c r="M190" s="121" t="n">
        <x:v>0</x:v>
      </x:c>
      <x:c r="N190" s="121" t="n">
        <x:v>0.2750000000000057</x:v>
      </x:c>
      <x:c r="O190" s="121" t="n">
        <x:v>0.2750000000000057</x:v>
      </x:c>
      <x:c r="P190" s="121" t="n">
        <x:v>0.1200000000000001</x:v>
      </x:c>
      <x:c r="Q190" s="121" t="n">
        <x:v>0.2750000000000057</x:v>
      </x:c>
    </x:row>
    <x:row r="191">
      <x:c r="A191" t="n">
        <x:v>5000</x:v>
      </x:c>
      <x:c r="B191" t="n">
        <x:v>1000</x:v>
      </x:c>
      <x:c r="C191" t="n">
        <x:v>20260707</x:v>
      </x:c>
      <x:c r="D191" t="str">
        <x:v>R9</x:v>
      </x:c>
      <x:c r="E191" t="str">
        <x:v>61–90</x:v>
      </x:c>
      <x:c r="F191" s="121" t="n">
        <x:v>2.5</x:v>
      </x:c>
      <x:c r="G191" s="121" t="n">
        <x:v>12</x:v>
      </x:c>
      <x:c r="H191" s="121" t="n">
        <x:v>0.25</x:v>
      </x:c>
      <x:c r="I191" s="121" t="n">
        <x:v>100</x:v>
      </x:c>
      <x:c r="J191" s="121" t="n">
        <x:v>73.5</x:v>
      </x:c>
      <x:c r="K191" s="121" t="n">
        <x:v>73.5</x:v>
      </x:c>
      <x:c r="L191" s="121" t="n">
        <x:v>3.1</x:v>
      </x:c>
      <x:c r="M191" s="121" t="n">
        <x:v>0</x:v>
      </x:c>
      <x:c r="N191" s="121" t="n">
        <x:v>0.2750000000000057</x:v>
      </x:c>
      <x:c r="O191" s="121" t="n">
        <x:v>0.2750000000000057</x:v>
      </x:c>
      <x:c r="P191" s="121" t="n">
        <x:v>0.1200000000000001</x:v>
      </x:c>
      <x:c r="Q191" s="121" t="n">
        <x:v>0.2750000000000057</x:v>
      </x:c>
    </x:row>
    <x:row r="192">
      <x:c r="A192" t="n">
        <x:v>5000</x:v>
      </x:c>
      <x:c r="B192" t="n">
        <x:v>1000</x:v>
      </x:c>
      <x:c r="C192" t="n">
        <x:v>20260707</x:v>
      </x:c>
      <x:c r="D192" t="str">
        <x:v>R9</x:v>
      </x:c>
      <x:c r="E192" t="str">
        <x:v>61–90</x:v>
      </x:c>
      <x:c r="F192" s="121" t="n">
        <x:v>2.5</x:v>
      </x:c>
      <x:c r="G192" s="121" t="n">
        <x:v>12</x:v>
      </x:c>
      <x:c r="H192" s="121" t="n">
        <x:v>0.5</x:v>
      </x:c>
      <x:c r="I192" s="121" t="n">
        <x:v>99.9</x:v>
      </x:c>
      <x:c r="J192" s="121" t="n">
        <x:v>73.5</x:v>
      </x:c>
      <x:c r="K192" s="121" t="n">
        <x:v>73.5</x:v>
      </x:c>
      <x:c r="L192" s="121" t="n">
        <x:v>3.1</x:v>
      </x:c>
      <x:c r="M192" s="121" t="n">
        <x:v>-0.09499999999999886</x:v>
      </x:c>
      <x:c r="N192" s="121" t="n">
        <x:v>0.2750000000000057</x:v>
      </x:c>
      <x:c r="O192" s="121" t="n">
        <x:v>0.2750000000000057</x:v>
      </x:c>
      <x:c r="P192" s="121" t="n">
        <x:v>0.1200000000000001</x:v>
      </x:c>
      <x:c r="Q192" s="121" t="n">
        <x:v>0.2750000000000057</x:v>
      </x:c>
    </x:row>
    <x:row r="193">
      <x:c r="A193" t="n">
        <x:v>5000</x:v>
      </x:c>
      <x:c r="B193" t="n">
        <x:v>1000</x:v>
      </x:c>
      <x:c r="C193" t="n">
        <x:v>20260707</x:v>
      </x:c>
      <x:c r="D193" t="str">
        <x:v>R9</x:v>
      </x:c>
      <x:c r="E193" t="str">
        <x:v>61–90</x:v>
      </x:c>
      <x:c r="F193" s="121" t="n">
        <x:v>2.5</x:v>
      </x:c>
      <x:c r="G193" s="121" t="n">
        <x:v>12</x:v>
      </x:c>
      <x:c r="H193" s="121" t="n">
        <x:v>1</x:v>
      </x:c>
      <x:c r="I193" s="121" t="n">
        <x:v>99.9</x:v>
      </x:c>
      <x:c r="J193" s="121" t="n">
        <x:v>73.5</x:v>
      </x:c>
      <x:c r="K193" s="121" t="n">
        <x:v>73.5</x:v>
      </x:c>
      <x:c r="L193" s="121" t="n">
        <x:v>3.1</x:v>
      </x:c>
      <x:c r="M193" s="121" t="n">
        <x:v>-0.014999999999986358</x:v>
      </x:c>
      <x:c r="N193" s="121" t="n">
        <x:v>0.2750000000000057</x:v>
      </x:c>
      <x:c r="O193" s="121" t="n">
        <x:v>0.2750000000000057</x:v>
      </x:c>
      <x:c r="P193" s="121" t="n">
        <x:v>0.1200000000000001</x:v>
      </x:c>
      <x:c r="Q193" s="121" t="n">
        <x:v>0.2750000000000057</x:v>
      </x:c>
    </x:row>
    <x:row r="194">
      <x:c r="A194" t="n">
        <x:v>5000</x:v>
      </x:c>
      <x:c r="B194" t="n">
        <x:v>1000</x:v>
      </x:c>
      <x:c r="C194" t="n">
        <x:v>20260707</x:v>
      </x:c>
      <x:c r="D194" t="str">
        <x:v>R9</x:v>
      </x:c>
      <x:c r="E194" t="str">
        <x:v>61–90</x:v>
      </x:c>
      <x:c r="F194" s="121" t="n">
        <x:v>2.5</x:v>
      </x:c>
      <x:c r="G194" s="121" t="n">
        <x:v>12</x:v>
      </x:c>
      <x:c r="H194" s="121" t="n">
        <x:v>2</x:v>
      </x:c>
      <x:c r="I194" s="121" t="n">
        <x:v>97</x:v>
      </x:c>
      <x:c r="J194" s="121" t="n">
        <x:v>73.5</x:v>
      </x:c>
      <x:c r="K194" s="121" t="n">
        <x:v>73.5</x:v>
      </x:c>
      <x:c r="L194" s="121" t="n">
        <x:v>3.1</x:v>
      </x:c>
      <x:c r="M194" s="121" t="n">
        <x:v>-0.3149999999999977</x:v>
      </x:c>
      <x:c r="N194" s="121" t="n">
        <x:v>0.2750000000000057</x:v>
      </x:c>
      <x:c r="O194" s="121" t="n">
        <x:v>0.2750000000000057</x:v>
      </x:c>
      <x:c r="P194" s="121" t="n">
        <x:v>0.1200000000000001</x:v>
      </x:c>
      <x:c r="Q194" s="121" t="n">
        <x:v>0.2750000000000057</x:v>
      </x:c>
    </x:row>
    <x:row r="195">
      <x:c r="A195" t="n">
        <x:v>5000</x:v>
      </x:c>
      <x:c r="B195" t="n">
        <x:v>1000</x:v>
      </x:c>
      <x:c r="C195" t="n">
        <x:v>20260707</x:v>
      </x:c>
      <x:c r="D195" t="str">
        <x:v>R9</x:v>
      </x:c>
      <x:c r="E195" t="str">
        <x:v>61–90</x:v>
      </x:c>
      <x:c r="F195" s="121" t="n">
        <x:v>2.5</x:v>
      </x:c>
      <x:c r="G195" s="121" t="n">
        <x:v>12</x:v>
      </x:c>
      <x:c r="H195" s="121" t="n">
        <x:v>4</x:v>
      </x:c>
      <x:c r="I195" s="121" t="n">
        <x:v>81.2</x:v>
      </x:c>
      <x:c r="J195" s="121" t="n">
        <x:v>73.5</x:v>
      </x:c>
      <x:c r="K195" s="121" t="n">
        <x:v>72.3</x:v>
      </x:c>
      <x:c r="L195" s="121" t="n">
        <x:v>3.1</x:v>
      </x:c>
      <x:c r="M195" s="121" t="n">
        <x:v>1.3700000000000045</x:v>
      </x:c>
      <x:c r="N195" s="121" t="n">
        <x:v>0.2750000000000057</x:v>
      </x:c>
      <x:c r="O195" s="121" t="n">
        <x:v>0.6549999999999869</x:v>
      </x:c>
      <x:c r="P195" s="121" t="n">
        <x:v>0.1200000000000001</x:v>
      </x:c>
      <x:c r="Q195" s="121" t="n">
        <x:v>0.6549999999999869</x:v>
      </x:c>
    </x:row>
    <x:row r="196">
      <x:c r="A196" t="n">
        <x:v>5000</x:v>
      </x:c>
      <x:c r="B196" t="n">
        <x:v>1000</x:v>
      </x:c>
      <x:c r="C196" t="n">
        <x:v>20260707</x:v>
      </x:c>
      <x:c r="D196" t="str">
        <x:v>R9</x:v>
      </x:c>
      <x:c r="E196" t="str">
        <x:v>61–90</x:v>
      </x:c>
      <x:c r="F196" s="121" t="n">
        <x:v>2.5</x:v>
      </x:c>
      <x:c r="G196" s="121" t="n">
        <x:v>12</x:v>
      </x:c>
      <x:c r="H196" s="121" t="n">
        <x:v>8</x:v>
      </x:c>
      <x:c r="I196" s="121" t="n">
        <x:v>42.5</x:v>
      </x:c>
      <x:c r="J196" s="121" t="n">
        <x:v>73.5</x:v>
      </x:c>
      <x:c r="K196" s="121" t="n">
        <x:v>42.5</x:v>
      </x:c>
      <x:c r="L196" s="121" t="n">
        <x:v>3.1</x:v>
      </x:c>
      <x:c r="M196" s="121" t="n">
        <x:v>2.414999999999999</x:v>
      </x:c>
      <x:c r="N196" s="121" t="n">
        <x:v>0.2750000000000057</x:v>
      </x:c>
      <x:c r="O196" s="121" t="n">
        <x:v>2.4200000000000017</x:v>
      </x:c>
      <x:c r="P196" s="121" t="n">
        <x:v>0.1200000000000001</x:v>
      </x:c>
      <x:c r="Q196" s="121" t="n">
        <x:v>2.4200000000000017</x:v>
      </x:c>
    </x:row>
    <x:row r="197">
      <x:c r="A197" t="n">
        <x:v>5000</x:v>
      </x:c>
      <x:c r="B197" t="n">
        <x:v>1000</x:v>
      </x:c>
      <x:c r="C197" t="n">
        <x:v>20260707</x:v>
      </x:c>
      <x:c r="D197" t="str">
        <x:v>R9</x:v>
      </x:c>
      <x:c r="E197" t="str">
        <x:v>61–90</x:v>
      </x:c>
      <x:c r="F197" s="121" t="n">
        <x:v>2.5</x:v>
      </x:c>
      <x:c r="G197" s="121" t="n">
        <x:v>12</x:v>
      </x:c>
      <x:c r="H197" s="121" t="n">
        <x:v>16</x:v>
      </x:c>
      <x:c r="I197" s="121" t="n">
        <x:v>9.3</x:v>
      </x:c>
      <x:c r="J197" s="121" t="n">
        <x:v>73.5</x:v>
      </x:c>
      <x:c r="K197" s="121" t="n">
        <x:v>9.3</x:v>
      </x:c>
      <x:c r="L197" s="121" t="n">
        <x:v>3.1</x:v>
      </x:c>
      <x:c r="M197" s="121" t="n">
        <x:v>0.7700000000000014</x:v>
      </x:c>
      <x:c r="N197" s="121" t="n">
        <x:v>0.2750000000000057</x:v>
      </x:c>
      <x:c r="O197" s="121" t="n">
        <x:v>0.7700000000000014</x:v>
      </x:c>
      <x:c r="P197" s="121" t="n">
        <x:v>0.1200000000000001</x:v>
      </x:c>
      <x:c r="Q197" s="121" t="n">
        <x:v>0.7700000000000014</x:v>
      </x:c>
    </x:row>
    <x:row r="198">
      <x:c r="A198" t="n">
        <x:v>5000</x:v>
      </x:c>
      <x:c r="B198" t="n">
        <x:v>1000</x:v>
      </x:c>
      <x:c r="C198" t="n">
        <x:v>20260707</x:v>
      </x:c>
      <x:c r="D198" t="str">
        <x:v>R9</x:v>
      </x:c>
      <x:c r="E198" t="str">
        <x:v>61–90</x:v>
      </x:c>
      <x:c r="F198" s="121" t="n">
        <x:v>2.5</x:v>
      </x:c>
      <x:c r="G198" s="121" t="n">
        <x:v>12</x:v>
      </x:c>
      <x:c r="H198" s="121" t="n">
        <x:v>32</x:v>
      </x:c>
      <x:c r="I198" s="121" t="n">
        <x:v>0.4</x:v>
      </x:c>
      <x:c r="J198" s="121" t="n">
        <x:v>73.5</x:v>
      </x:c>
      <x:c r="K198" s="121" t="n">
        <x:v>0.4</x:v>
      </x:c>
      <x:c r="L198" s="121" t="n">
        <x:v>3.1</x:v>
      </x:c>
      <x:c r="M198" s="121" t="n">
        <x:v>-0.21999999999999997</x:v>
      </x:c>
      <x:c r="N198" s="121" t="n">
        <x:v>0.2750000000000057</x:v>
      </x:c>
      <x:c r="O198" s="121" t="n">
        <x:v>-0.21999999999999997</x:v>
      </x:c>
      <x:c r="P198" s="121" t="n">
        <x:v>0.1200000000000001</x:v>
      </x:c>
      <x:c r="Q198" s="121" t="n">
        <x:v>0.21999999999999997</x:v>
      </x:c>
    </x:row>
    <x:row r="199">
      <x:c r="A199" t="n">
        <x:v>5000</x:v>
      </x:c>
      <x:c r="B199" t="n">
        <x:v>1000</x:v>
      </x:c>
      <x:c r="C199" t="n">
        <x:v>20260707</x:v>
      </x:c>
      <x:c r="D199" t="str">
        <x:v>R9</x:v>
      </x:c>
      <x:c r="E199" t="str">
        <x:v>61–90</x:v>
      </x:c>
      <x:c r="F199" s="121" t="n">
        <x:v>2.5</x:v>
      </x:c>
      <x:c r="G199" s="121" t="n">
        <x:v>12</x:v>
      </x:c>
      <x:c r="H199" s="121" t="n">
        <x:v>64</x:v>
      </x:c>
      <x:c r="I199" s="121" t="n">
        <x:v>0</x:v>
      </x:c>
      <x:c r="J199" s="121" t="n">
        <x:v>73.5</x:v>
      </x:c>
      <x:c r="K199" s="121" t="n">
        <x:v>0</x:v>
      </x:c>
      <x:c r="L199" s="121" t="n">
        <x:v>3.1</x:v>
      </x:c>
      <x:c r="M199" s="121" t="n">
        <x:v>-0.04</x:v>
      </x:c>
      <x:c r="N199" s="121" t="n">
        <x:v>0.2750000000000057</x:v>
      </x:c>
      <x:c r="O199" s="121" t="n">
        <x:v>-0.04</x:v>
      </x:c>
      <x:c r="P199" s="121" t="n">
        <x:v>0.1200000000000001</x:v>
      </x:c>
      <x:c r="Q199" s="121" t="n">
        <x:v>0.04</x:v>
      </x:c>
    </x:row>
    <x:row r="200">
      <x:c r="A200" t="n">
        <x:v>5000</x:v>
      </x:c>
      <x:c r="B200" t="n">
        <x:v>1000</x:v>
      </x:c>
      <x:c r="C200" t="n">
        <x:v>20260707</x:v>
      </x:c>
      <x:c r="D200" t="str">
        <x:v>R10</x:v>
      </x:c>
      <x:c r="E200" t="str">
        <x:v>61–90</x:v>
      </x:c>
      <x:c r="F200" s="121" t="n">
        <x:v>2.5</x:v>
      </x:c>
      <x:c r="G200" s="121" t="n">
        <x:v>8</x:v>
      </x:c>
      <x:c r="H200" s="121" t="n">
        <x:v>0.0625</x:v>
      </x:c>
      <x:c r="I200" s="121" t="n">
        <x:v>100</x:v>
      </x:c>
      <x:c r="J200" s="121" t="n">
        <x:v>88.5</x:v>
      </x:c>
      <x:c r="K200" s="121" t="n">
        <x:v>88.5</x:v>
      </x:c>
      <x:c r="L200" s="121" t="n">
        <x:v>11.4</x:v>
      </x:c>
      <x:c r="M200" s="121" t="n">
        <x:v>0</x:v>
      </x:c>
      <x:c r="N200" s="121" t="n">
        <x:v>0.09499999999999886</x:v>
      </x:c>
      <x:c r="O200" s="121" t="n">
        <x:v>0.09499999999999886</x:v>
      </x:c>
      <x:c r="P200" s="121" t="n">
        <x:v>0.5099999999999998</x:v>
      </x:c>
      <x:c r="Q200" s="121" t="n">
        <x:v>0.09499999999999886</x:v>
      </x:c>
    </x:row>
    <x:row r="201">
      <x:c r="A201" t="n">
        <x:v>5000</x:v>
      </x:c>
      <x:c r="B201" t="n">
        <x:v>1000</x:v>
      </x:c>
      <x:c r="C201" t="n">
        <x:v>20260707</x:v>
      </x:c>
      <x:c r="D201" t="str">
        <x:v>R10</x:v>
      </x:c>
      <x:c r="E201" t="str">
        <x:v>61–90</x:v>
      </x:c>
      <x:c r="F201" s="121" t="n">
        <x:v>2.5</x:v>
      </x:c>
      <x:c r="G201" s="121" t="n">
        <x:v>8</x:v>
      </x:c>
      <x:c r="H201" s="121" t="n">
        <x:v>0.125</x:v>
      </x:c>
      <x:c r="I201" s="121" t="n">
        <x:v>100</x:v>
      </x:c>
      <x:c r="J201" s="121" t="n">
        <x:v>88.5</x:v>
      </x:c>
      <x:c r="K201" s="121" t="n">
        <x:v>88.5</x:v>
      </x:c>
      <x:c r="L201" s="121" t="n">
        <x:v>11.4</x:v>
      </x:c>
      <x:c r="M201" s="121" t="n">
        <x:v>0</x:v>
      </x:c>
      <x:c r="N201" s="121" t="n">
        <x:v>0.09499999999999886</x:v>
      </x:c>
      <x:c r="O201" s="121" t="n">
        <x:v>0.09499999999999886</x:v>
      </x:c>
      <x:c r="P201" s="121" t="n">
        <x:v>0.5099999999999998</x:v>
      </x:c>
      <x:c r="Q201" s="121" t="n">
        <x:v>0.09499999999999886</x:v>
      </x:c>
    </x:row>
    <x:row r="202">
      <x:c r="A202" t="n">
        <x:v>5000</x:v>
      </x:c>
      <x:c r="B202" t="n">
        <x:v>1000</x:v>
      </x:c>
      <x:c r="C202" t="n">
        <x:v>20260707</x:v>
      </x:c>
      <x:c r="D202" t="str">
        <x:v>R10</x:v>
      </x:c>
      <x:c r="E202" t="str">
        <x:v>61–90</x:v>
      </x:c>
      <x:c r="F202" s="121" t="n">
        <x:v>2.5</x:v>
      </x:c>
      <x:c r="G202" s="121" t="n">
        <x:v>8</x:v>
      </x:c>
      <x:c r="H202" s="121" t="n">
        <x:v>0.25</x:v>
      </x:c>
      <x:c r="I202" s="121" t="n">
        <x:v>100</x:v>
      </x:c>
      <x:c r="J202" s="121" t="n">
        <x:v>88.5</x:v>
      </x:c>
      <x:c r="K202" s="121" t="n">
        <x:v>88.5</x:v>
      </x:c>
      <x:c r="L202" s="121" t="n">
        <x:v>11.4</x:v>
      </x:c>
      <x:c r="M202" s="121" t="n">
        <x:v>0</x:v>
      </x:c>
      <x:c r="N202" s="121" t="n">
        <x:v>0.09499999999999886</x:v>
      </x:c>
      <x:c r="O202" s="121" t="n">
        <x:v>0.09499999999999886</x:v>
      </x:c>
      <x:c r="P202" s="121" t="n">
        <x:v>0.5099999999999998</x:v>
      </x:c>
      <x:c r="Q202" s="121" t="n">
        <x:v>0.09499999999999886</x:v>
      </x:c>
    </x:row>
    <x:row r="203">
      <x:c r="A203" t="n">
        <x:v>5000</x:v>
      </x:c>
      <x:c r="B203" t="n">
        <x:v>1000</x:v>
      </x:c>
      <x:c r="C203" t="n">
        <x:v>20260707</x:v>
      </x:c>
      <x:c r="D203" t="str">
        <x:v>R10</x:v>
      </x:c>
      <x:c r="E203" t="str">
        <x:v>61–90</x:v>
      </x:c>
      <x:c r="F203" s="121" t="n">
        <x:v>2.5</x:v>
      </x:c>
      <x:c r="G203" s="121" t="n">
        <x:v>8</x:v>
      </x:c>
      <x:c r="H203" s="121" t="n">
        <x:v>0.5</x:v>
      </x:c>
      <x:c r="I203" s="121" t="n">
        <x:v>100</x:v>
      </x:c>
      <x:c r="J203" s="121" t="n">
        <x:v>88.5</x:v>
      </x:c>
      <x:c r="K203" s="121" t="n">
        <x:v>88.5</x:v>
      </x:c>
      <x:c r="L203" s="121" t="n">
        <x:v>11.4</x:v>
      </x:c>
      <x:c r="M203" s="121" t="n">
        <x:v>0</x:v>
      </x:c>
      <x:c r="N203" s="121" t="n">
        <x:v>0.09499999999999886</x:v>
      </x:c>
      <x:c r="O203" s="121" t="n">
        <x:v>0.09499999999999886</x:v>
      </x:c>
      <x:c r="P203" s="121" t="n">
        <x:v>0.5099999999999998</x:v>
      </x:c>
      <x:c r="Q203" s="121" t="n">
        <x:v>0.09499999999999886</x:v>
      </x:c>
    </x:row>
    <x:row r="204">
      <x:c r="A204" t="n">
        <x:v>5000</x:v>
      </x:c>
      <x:c r="B204" t="n">
        <x:v>1000</x:v>
      </x:c>
      <x:c r="C204" t="n">
        <x:v>20260707</x:v>
      </x:c>
      <x:c r="D204" t="str">
        <x:v>R10</x:v>
      </x:c>
      <x:c r="E204" t="str">
        <x:v>61–90</x:v>
      </x:c>
      <x:c r="F204" s="121" t="n">
        <x:v>2.5</x:v>
      </x:c>
      <x:c r="G204" s="121" t="n">
        <x:v>8</x:v>
      </x:c>
      <x:c r="H204" s="121" t="n">
        <x:v>1</x:v>
      </x:c>
      <x:c r="I204" s="121" t="n">
        <x:v>99.9</x:v>
      </x:c>
      <x:c r="J204" s="121" t="n">
        <x:v>88.5</x:v>
      </x:c>
      <x:c r="K204" s="121" t="n">
        <x:v>88.5</x:v>
      </x:c>
      <x:c r="L204" s="121" t="n">
        <x:v>11.4</x:v>
      </x:c>
      <x:c r="M204" s="121" t="n">
        <x:v>-0.09499999999999886</x:v>
      </x:c>
      <x:c r="N204" s="121" t="n">
        <x:v>0.09499999999999886</x:v>
      </x:c>
      <x:c r="O204" s="121" t="n">
        <x:v>0.09499999999999886</x:v>
      </x:c>
      <x:c r="P204" s="121" t="n">
        <x:v>0.5099999999999998</x:v>
      </x:c>
      <x:c r="Q204" s="121" t="n">
        <x:v>0.09499999999999886</x:v>
      </x:c>
    </x:row>
    <x:row r="205">
      <x:c r="A205" t="n">
        <x:v>5000</x:v>
      </x:c>
      <x:c r="B205" t="n">
        <x:v>1000</x:v>
      </x:c>
      <x:c r="C205" t="n">
        <x:v>20260707</x:v>
      </x:c>
      <x:c r="D205" t="str">
        <x:v>R10</x:v>
      </x:c>
      <x:c r="E205" t="str">
        <x:v>61–90</x:v>
      </x:c>
      <x:c r="F205" s="121" t="n">
        <x:v>2.5</x:v>
      </x:c>
      <x:c r="G205" s="121" t="n">
        <x:v>8</x:v>
      </x:c>
      <x:c r="H205" s="121" t="n">
        <x:v>2</x:v>
      </x:c>
      <x:c r="I205" s="121" t="n">
        <x:v>99.4</x:v>
      </x:c>
      <x:c r="J205" s="121" t="n">
        <x:v>88.5</x:v>
      </x:c>
      <x:c r="K205" s="121" t="n">
        <x:v>88.5</x:v>
      </x:c>
      <x:c r="L205" s="121" t="n">
        <x:v>11.4</x:v>
      </x:c>
      <x:c r="M205" s="121" t="n">
        <x:v>-0.15500000000000114</x:v>
      </x:c>
      <x:c r="N205" s="121" t="n">
        <x:v>0.09499999999999886</x:v>
      </x:c>
      <x:c r="O205" s="121" t="n">
        <x:v>0.09499999999999886</x:v>
      </x:c>
      <x:c r="P205" s="121" t="n">
        <x:v>0.5099999999999998</x:v>
      </x:c>
      <x:c r="Q205" s="121" t="n">
        <x:v>0.09499999999999886</x:v>
      </x:c>
    </x:row>
    <x:row r="206">
      <x:c r="A206" t="n">
        <x:v>5000</x:v>
      </x:c>
      <x:c r="B206" t="n">
        <x:v>1000</x:v>
      </x:c>
      <x:c r="C206" t="n">
        <x:v>20260707</x:v>
      </x:c>
      <x:c r="D206" t="str">
        <x:v>R10</x:v>
      </x:c>
      <x:c r="E206" t="str">
        <x:v>61–90</x:v>
      </x:c>
      <x:c r="F206" s="121" t="n">
        <x:v>2.5</x:v>
      </x:c>
      <x:c r="G206" s="121" t="n">
        <x:v>8</x:v>
      </x:c>
      <x:c r="H206" s="121" t="n">
        <x:v>4</x:v>
      </x:c>
      <x:c r="I206" s="121" t="n">
        <x:v>93.5</x:v>
      </x:c>
      <x:c r="J206" s="121" t="n">
        <x:v>88.5</x:v>
      </x:c>
      <x:c r="K206" s="121" t="n">
        <x:v>88.2</x:v>
      </x:c>
      <x:c r="L206" s="121" t="n">
        <x:v>11.4</x:v>
      </x:c>
      <x:c r="M206" s="121" t="n">
        <x:v>0.394999999999996</x:v>
      </x:c>
      <x:c r="N206" s="121" t="n">
        <x:v>0.09499999999999886</x:v>
      </x:c>
      <x:c r="O206" s="121" t="n">
        <x:v>0.4399999999999977</x:v>
      </x:c>
      <x:c r="P206" s="121" t="n">
        <x:v>0.5099999999999998</x:v>
      </x:c>
      <x:c r="Q206" s="121" t="n">
        <x:v>0.4399999999999977</x:v>
      </x:c>
    </x:row>
    <x:row r="207">
      <x:c r="A207" t="n">
        <x:v>5000</x:v>
      </x:c>
      <x:c r="B207" t="n">
        <x:v>1000</x:v>
      </x:c>
      <x:c r="C207" t="n">
        <x:v>20260707</x:v>
      </x:c>
      <x:c r="D207" t="str">
        <x:v>R10</x:v>
      </x:c>
      <x:c r="E207" t="str">
        <x:v>61–90</x:v>
      </x:c>
      <x:c r="F207" s="121" t="n">
        <x:v>2.5</x:v>
      </x:c>
      <x:c r="G207" s="121" t="n">
        <x:v>8</x:v>
      </x:c>
      <x:c r="H207" s="121" t="n">
        <x:v>8</x:v>
      </x:c>
      <x:c r="I207" s="121" t="n">
        <x:v>65.2</x:v>
      </x:c>
      <x:c r="J207" s="121" t="n">
        <x:v>88.5</x:v>
      </x:c>
      <x:c r="K207" s="121" t="n">
        <x:v>65.2</x:v>
      </x:c>
      <x:c r="L207" s="121" t="n">
        <x:v>11.4</x:v>
      </x:c>
      <x:c r="M207" s="121" t="n">
        <x:v>0.25500000000000966</x:v>
      </x:c>
      <x:c r="N207" s="121" t="n">
        <x:v>0.09499999999999886</x:v>
      </x:c>
      <x:c r="O207" s="121" t="n">
        <x:v>0.27000000000001023</x:v>
      </x:c>
      <x:c r="P207" s="121" t="n">
        <x:v>0.5099999999999998</x:v>
      </x:c>
      <x:c r="Q207" s="121" t="n">
        <x:v>0.27000000000001023</x:v>
      </x:c>
    </x:row>
    <x:row r="208">
      <x:c r="A208" t="n">
        <x:v>5000</x:v>
      </x:c>
      <x:c r="B208" t="n">
        <x:v>1000</x:v>
      </x:c>
      <x:c r="C208" t="n">
        <x:v>20260707</x:v>
      </x:c>
      <x:c r="D208" t="str">
        <x:v>R10</x:v>
      </x:c>
      <x:c r="E208" t="str">
        <x:v>61–90</x:v>
      </x:c>
      <x:c r="F208" s="121" t="n">
        <x:v>2.5</x:v>
      </x:c>
      <x:c r="G208" s="121" t="n">
        <x:v>8</x:v>
      </x:c>
      <x:c r="H208" s="121" t="n">
        <x:v>16</x:v>
      </x:c>
      <x:c r="I208" s="121" t="n">
        <x:v>24.5</x:v>
      </x:c>
      <x:c r="J208" s="121" t="n">
        <x:v>88.5</x:v>
      </x:c>
      <x:c r="K208" s="121" t="n">
        <x:v>24.5</x:v>
      </x:c>
      <x:c r="L208" s="121" t="n">
        <x:v>11.4</x:v>
      </x:c>
      <x:c r="M208" s="121" t="n">
        <x:v>0.75</x:v>
      </x:c>
      <x:c r="N208" s="121" t="n">
        <x:v>0.09499999999999886</x:v>
      </x:c>
      <x:c r="O208" s="121" t="n">
        <x:v>0.75</x:v>
      </x:c>
      <x:c r="P208" s="121" t="n">
        <x:v>0.5099999999999998</x:v>
      </x:c>
      <x:c r="Q208" s="121" t="n">
        <x:v>0.75</x:v>
      </x:c>
    </x:row>
    <x:row r="209">
      <x:c r="A209" t="n">
        <x:v>5000</x:v>
      </x:c>
      <x:c r="B209" t="n">
        <x:v>1000</x:v>
      </x:c>
      <x:c r="C209" t="n">
        <x:v>20260707</x:v>
      </x:c>
      <x:c r="D209" t="str">
        <x:v>R10</x:v>
      </x:c>
      <x:c r="E209" t="str">
        <x:v>61–90</x:v>
      </x:c>
      <x:c r="F209" s="121" t="n">
        <x:v>2.5</x:v>
      </x:c>
      <x:c r="G209" s="121" t="n">
        <x:v>8</x:v>
      </x:c>
      <x:c r="H209" s="121" t="n">
        <x:v>32</x:v>
      </x:c>
      <x:c r="I209" s="121" t="n">
        <x:v>3.5999999999999996</x:v>
      </x:c>
      <x:c r="J209" s="121" t="n">
        <x:v>88.5</x:v>
      </x:c>
      <x:c r="K209" s="121" t="n">
        <x:v>3.5999999999999996</x:v>
      </x:c>
      <x:c r="L209" s="121" t="n">
        <x:v>11.4</x:v>
      </x:c>
      <x:c r="M209" s="121" t="n">
        <x:v>0.11499999999999977</x:v>
      </x:c>
      <x:c r="N209" s="121" t="n">
        <x:v>0.09499999999999886</x:v>
      </x:c>
      <x:c r="O209" s="121" t="n">
        <x:v>0.11499999999999977</x:v>
      </x:c>
      <x:c r="P209" s="121" t="n">
        <x:v>0.5099999999999998</x:v>
      </x:c>
      <x:c r="Q209" s="121" t="n">
        <x:v>0.11499999999999977</x:v>
      </x:c>
    </x:row>
    <x:row r="210">
      <x:c r="A210" t="n">
        <x:v>5000</x:v>
      </x:c>
      <x:c r="B210" t="n">
        <x:v>1000</x:v>
      </x:c>
      <x:c r="C210" t="n">
        <x:v>20260707</x:v>
      </x:c>
      <x:c r="D210" t="str">
        <x:v>R10</x:v>
      </x:c>
      <x:c r="E210" t="str">
        <x:v>61–90</x:v>
      </x:c>
      <x:c r="F210" s="121" t="n">
        <x:v>2.5</x:v>
      </x:c>
      <x:c r="G210" s="121" t="n">
        <x:v>8</x:v>
      </x:c>
      <x:c r="H210" s="121" t="n">
        <x:v>64</x:v>
      </x:c>
      <x:c r="I210" s="121" t="n">
        <x:v>0</x:v>
      </x:c>
      <x:c r="J210" s="121" t="n">
        <x:v>88.5</x:v>
      </x:c>
      <x:c r="K210" s="121" t="n">
        <x:v>0</x:v>
      </x:c>
      <x:c r="L210" s="121" t="n">
        <x:v>11.4</x:v>
      </x:c>
      <x:c r="M210" s="121" t="n">
        <x:v>-0.11499999999999999</x:v>
      </x:c>
      <x:c r="N210" s="121" t="n">
        <x:v>0.09499999999999886</x:v>
      </x:c>
      <x:c r="O210" s="121" t="n">
        <x:v>-0.11499999999999999</x:v>
      </x:c>
      <x:c r="P210" s="121" t="n">
        <x:v>0.5099999999999998</x:v>
      </x:c>
      <x:c r="Q210" s="121" t="n">
        <x:v>0.11499999999999999</x:v>
      </x:c>
    </x:row>
    <x:row r="211">
      <x:c r="A211" t="n">
        <x:v>5000</x:v>
      </x:c>
      <x:c r="B211" t="n">
        <x:v>1000</x:v>
      </x:c>
      <x:c r="C211" t="n">
        <x:v>20260707</x:v>
      </x:c>
      <x:c r="D211" t="str">
        <x:v>R11</x:v>
      </x:c>
      <x:c r="E211" t="str">
        <x:v>91–120</x:v>
      </x:c>
      <x:c r="F211" s="121" t="n">
        <x:v>2.5</x:v>
      </x:c>
      <x:c r="G211" s="121" t="n">
        <x:v>8</x:v>
      </x:c>
      <x:c r="H211" s="121" t="n">
        <x:v>0.0625</x:v>
      </x:c>
      <x:c r="I211" s="121" t="n">
        <x:v>100</x:v>
      </x:c>
      <x:c r="J211" s="121" t="n">
        <x:v>77.2</x:v>
      </x:c>
      <x:c r="K211" s="121" t="n">
        <x:v>77.2</x:v>
      </x:c>
      <x:c r="L211" s="121" t="n">
        <x:v>5.5</x:v>
      </x:c>
      <x:c r="M211" s="121" t="n">
        <x:v>0</x:v>
      </x:c>
      <x:c r="N211" s="121" t="n">
        <x:v>-0.980000000000004</x:v>
      </x:c>
      <x:c r="O211" s="121" t="n">
        <x:v>-0.980000000000004</x:v>
      </x:c>
      <x:c r="P211" s="121" t="n">
        <x:v>0.35000000000000053</x:v>
      </x:c>
      <x:c r="Q211" s="121" t="n">
        <x:v>0.980000000000004</x:v>
      </x:c>
    </x:row>
    <x:row r="212">
      <x:c r="A212" t="n">
        <x:v>5000</x:v>
      </x:c>
      <x:c r="B212" t="n">
        <x:v>1000</x:v>
      </x:c>
      <x:c r="C212" t="n">
        <x:v>20260707</x:v>
      </x:c>
      <x:c r="D212" t="str">
        <x:v>R11</x:v>
      </x:c>
      <x:c r="E212" t="str">
        <x:v>91–120</x:v>
      </x:c>
      <x:c r="F212" s="121" t="n">
        <x:v>2.5</x:v>
      </x:c>
      <x:c r="G212" s="121" t="n">
        <x:v>8</x:v>
      </x:c>
      <x:c r="H212" s="121" t="n">
        <x:v>0.125</x:v>
      </x:c>
      <x:c r="I212" s="121" t="n">
        <x:v>100</x:v>
      </x:c>
      <x:c r="J212" s="121" t="n">
        <x:v>77.2</x:v>
      </x:c>
      <x:c r="K212" s="121" t="n">
        <x:v>77.2</x:v>
      </x:c>
      <x:c r="L212" s="121" t="n">
        <x:v>5.5</x:v>
      </x:c>
      <x:c r="M212" s="121" t="n">
        <x:v>0</x:v>
      </x:c>
      <x:c r="N212" s="121" t="n">
        <x:v>-0.980000000000004</x:v>
      </x:c>
      <x:c r="O212" s="121" t="n">
        <x:v>-0.980000000000004</x:v>
      </x:c>
      <x:c r="P212" s="121" t="n">
        <x:v>0.35000000000000053</x:v>
      </x:c>
      <x:c r="Q212" s="121" t="n">
        <x:v>0.980000000000004</x:v>
      </x:c>
    </x:row>
    <x:row r="213">
      <x:c r="A213" t="n">
        <x:v>5000</x:v>
      </x:c>
      <x:c r="B213" t="n">
        <x:v>1000</x:v>
      </x:c>
      <x:c r="C213" t="n">
        <x:v>20260707</x:v>
      </x:c>
      <x:c r="D213" t="str">
        <x:v>R11</x:v>
      </x:c>
      <x:c r="E213" t="str">
        <x:v>91–120</x:v>
      </x:c>
      <x:c r="F213" s="121" t="n">
        <x:v>2.5</x:v>
      </x:c>
      <x:c r="G213" s="121" t="n">
        <x:v>8</x:v>
      </x:c>
      <x:c r="H213" s="121" t="n">
        <x:v>0.25</x:v>
      </x:c>
      <x:c r="I213" s="121" t="n">
        <x:v>100</x:v>
      </x:c>
      <x:c r="J213" s="121" t="n">
        <x:v>77.2</x:v>
      </x:c>
      <x:c r="K213" s="121" t="n">
        <x:v>77.2</x:v>
      </x:c>
      <x:c r="L213" s="121" t="n">
        <x:v>5.5</x:v>
      </x:c>
      <x:c r="M213" s="121" t="n">
        <x:v>0</x:v>
      </x:c>
      <x:c r="N213" s="121" t="n">
        <x:v>-0.980000000000004</x:v>
      </x:c>
      <x:c r="O213" s="121" t="n">
        <x:v>-0.980000000000004</x:v>
      </x:c>
      <x:c r="P213" s="121" t="n">
        <x:v>0.35000000000000053</x:v>
      </x:c>
      <x:c r="Q213" s="121" t="n">
        <x:v>0.980000000000004</x:v>
      </x:c>
    </x:row>
    <x:row r="214">
      <x:c r="A214" t="n">
        <x:v>5000</x:v>
      </x:c>
      <x:c r="B214" t="n">
        <x:v>1000</x:v>
      </x:c>
      <x:c r="C214" t="n">
        <x:v>20260707</x:v>
      </x:c>
      <x:c r="D214" t="str">
        <x:v>R11</x:v>
      </x:c>
      <x:c r="E214" t="str">
        <x:v>91–120</x:v>
      </x:c>
      <x:c r="F214" s="121" t="n">
        <x:v>2.5</x:v>
      </x:c>
      <x:c r="G214" s="121" t="n">
        <x:v>8</x:v>
      </x:c>
      <x:c r="H214" s="121" t="n">
        <x:v>0.5</x:v>
      </x:c>
      <x:c r="I214" s="121" t="n">
        <x:v>100</x:v>
      </x:c>
      <x:c r="J214" s="121" t="n">
        <x:v>77.2</x:v>
      </x:c>
      <x:c r="K214" s="121" t="n">
        <x:v>77.2</x:v>
      </x:c>
      <x:c r="L214" s="121" t="n">
        <x:v>5.5</x:v>
      </x:c>
      <x:c r="M214" s="121" t="n">
        <x:v>0.0049999999999954525</x:v>
      </x:c>
      <x:c r="N214" s="121" t="n">
        <x:v>-0.980000000000004</x:v>
      </x:c>
      <x:c r="O214" s="121" t="n">
        <x:v>-0.980000000000004</x:v>
      </x:c>
      <x:c r="P214" s="121" t="n">
        <x:v>0.35000000000000053</x:v>
      </x:c>
      <x:c r="Q214" s="121" t="n">
        <x:v>0.980000000000004</x:v>
      </x:c>
    </x:row>
    <x:row r="215">
      <x:c r="A215" t="n">
        <x:v>5000</x:v>
      </x:c>
      <x:c r="B215" t="n">
        <x:v>1000</x:v>
      </x:c>
      <x:c r="C215" t="n">
        <x:v>20260707</x:v>
      </x:c>
      <x:c r="D215" t="str">
        <x:v>R11</x:v>
      </x:c>
      <x:c r="E215" t="str">
        <x:v>91–120</x:v>
      </x:c>
      <x:c r="F215" s="121" t="n">
        <x:v>2.5</x:v>
      </x:c>
      <x:c r="G215" s="121" t="n">
        <x:v>8</x:v>
      </x:c>
      <x:c r="H215" s="121" t="n">
        <x:v>1</x:v>
      </x:c>
      <x:c r="I215" s="121" t="n">
        <x:v>100</x:v>
      </x:c>
      <x:c r="J215" s="121" t="n">
        <x:v>77.2</x:v>
      </x:c>
      <x:c r="K215" s="121" t="n">
        <x:v>77.2</x:v>
      </x:c>
      <x:c r="L215" s="121" t="n">
        <x:v>5.5</x:v>
      </x:c>
      <x:c r="M215" s="121" t="n">
        <x:v>0.04999999999999716</x:v>
      </x:c>
      <x:c r="N215" s="121" t="n">
        <x:v>-0.980000000000004</x:v>
      </x:c>
      <x:c r="O215" s="121" t="n">
        <x:v>-0.980000000000004</x:v>
      </x:c>
      <x:c r="P215" s="121" t="n">
        <x:v>0.35000000000000053</x:v>
      </x:c>
      <x:c r="Q215" s="121" t="n">
        <x:v>0.980000000000004</x:v>
      </x:c>
    </x:row>
    <x:row r="216">
      <x:c r="A216" t="n">
        <x:v>5000</x:v>
      </x:c>
      <x:c r="B216" t="n">
        <x:v>1000</x:v>
      </x:c>
      <x:c r="C216" t="n">
        <x:v>20260707</x:v>
      </x:c>
      <x:c r="D216" t="str">
        <x:v>R11</x:v>
      </x:c>
      <x:c r="E216" t="str">
        <x:v>91–120</x:v>
      </x:c>
      <x:c r="F216" s="121" t="n">
        <x:v>2.5</x:v>
      </x:c>
      <x:c r="G216" s="121" t="n">
        <x:v>8</x:v>
      </x:c>
      <x:c r="H216" s="121" t="n">
        <x:v>2</x:v>
      </x:c>
      <x:c r="I216" s="121" t="n">
        <x:v>99</x:v>
      </x:c>
      <x:c r="J216" s="121" t="n">
        <x:v>77.2</x:v>
      </x:c>
      <x:c r="K216" s="121" t="n">
        <x:v>77.2</x:v>
      </x:c>
      <x:c r="L216" s="121" t="n">
        <x:v>5.5</x:v>
      </x:c>
      <x:c r="M216" s="121" t="n">
        <x:v>0.23000000000000398</x:v>
      </x:c>
      <x:c r="N216" s="121" t="n">
        <x:v>-0.980000000000004</x:v>
      </x:c>
      <x:c r="O216" s="121" t="n">
        <x:v>-0.980000000000004</x:v>
      </x:c>
      <x:c r="P216" s="121" t="n">
        <x:v>0.35000000000000053</x:v>
      </x:c>
      <x:c r="Q216" s="121" t="n">
        <x:v>0.980000000000004</x:v>
      </x:c>
    </x:row>
    <x:row r="217">
      <x:c r="A217" t="n">
        <x:v>5000</x:v>
      </x:c>
      <x:c r="B217" t="n">
        <x:v>1000</x:v>
      </x:c>
      <x:c r="C217" t="n">
        <x:v>20260707</x:v>
      </x:c>
      <x:c r="D217" t="str">
        <x:v>R11</x:v>
      </x:c>
      <x:c r="E217" t="str">
        <x:v>91–120</x:v>
      </x:c>
      <x:c r="F217" s="121" t="n">
        <x:v>2.5</x:v>
      </x:c>
      <x:c r="G217" s="121" t="n">
        <x:v>8</x:v>
      </x:c>
      <x:c r="H217" s="121" t="n">
        <x:v>4</x:v>
      </x:c>
      <x:c r="I217" s="121" t="n">
        <x:v>87.2</x:v>
      </x:c>
      <x:c r="J217" s="121" t="n">
        <x:v>77.2</x:v>
      </x:c>
      <x:c r="K217" s="121" t="n">
        <x:v>76.3</x:v>
      </x:c>
      <x:c r="L217" s="121" t="n">
        <x:v>5.5</x:v>
      </x:c>
      <x:c r="M217" s="121" t="n">
        <x:v>0.2950000000000017</x:v>
      </x:c>
      <x:c r="N217" s="121" t="n">
        <x:v>-0.980000000000004</x:v>
      </x:c>
      <x:c r="O217" s="121" t="n">
        <x:v>-1.1599999999999966</x:v>
      </x:c>
      <x:c r="P217" s="121" t="n">
        <x:v>0.35000000000000053</x:v>
      </x:c>
      <x:c r="Q217" s="121" t="n">
        <x:v>1.1599999999999966</x:v>
      </x:c>
    </x:row>
    <x:row r="218">
      <x:c r="A218" t="n">
        <x:v>5000</x:v>
      </x:c>
      <x:c r="B218" t="n">
        <x:v>1000</x:v>
      </x:c>
      <x:c r="C218" t="n">
        <x:v>20260707</x:v>
      </x:c>
      <x:c r="D218" t="str">
        <x:v>R11</x:v>
      </x:c>
      <x:c r="E218" t="str">
        <x:v>91–120</x:v>
      </x:c>
      <x:c r="F218" s="121" t="n">
        <x:v>2.5</x:v>
      </x:c>
      <x:c r="G218" s="121" t="n">
        <x:v>8</x:v>
      </x:c>
      <x:c r="H218" s="121" t="n">
        <x:v>8</x:v>
      </x:c>
      <x:c r="I218" s="121" t="n">
        <x:v>48.5</x:v>
      </x:c>
      <x:c r="J218" s="121" t="n">
        <x:v>77.2</x:v>
      </x:c>
      <x:c r="K218" s="121" t="n">
        <x:v>48.4</x:v>
      </x:c>
      <x:c r="L218" s="121" t="n">
        <x:v>5.5</x:v>
      </x:c>
      <x:c r="M218" s="121" t="n">
        <x:v>-2.190000000000005</x:v>
      </x:c>
      <x:c r="N218" s="121" t="n">
        <x:v>-0.980000000000004</x:v>
      </x:c>
      <x:c r="O218" s="121" t="n">
        <x:v>-2.2650000000000077</x:v>
      </x:c>
      <x:c r="P218" s="121" t="n">
        <x:v>0.35000000000000053</x:v>
      </x:c>
      <x:c r="Q218" s="121" t="n">
        <x:v>2.2650000000000077</x:v>
      </x:c>
    </x:row>
    <x:row r="219">
      <x:c r="A219" t="n">
        <x:v>5000</x:v>
      </x:c>
      <x:c r="B219" t="n">
        <x:v>1000</x:v>
      </x:c>
      <x:c r="C219" t="n">
        <x:v>20260707</x:v>
      </x:c>
      <x:c r="D219" t="str">
        <x:v>R11</x:v>
      </x:c>
      <x:c r="E219" t="str">
        <x:v>91–120</x:v>
      </x:c>
      <x:c r="F219" s="121" t="n">
        <x:v>2.5</x:v>
      </x:c>
      <x:c r="G219" s="121" t="n">
        <x:v>8</x:v>
      </x:c>
      <x:c r="H219" s="121" t="n">
        <x:v>16</x:v>
      </x:c>
      <x:c r="I219" s="121" t="n">
        <x:v>12.8</x:v>
      </x:c>
      <x:c r="J219" s="121" t="n">
        <x:v>77.2</x:v>
      </x:c>
      <x:c r="K219" s="121" t="n">
        <x:v>12.8</x:v>
      </x:c>
      <x:c r="L219" s="121" t="n">
        <x:v>5.5</x:v>
      </x:c>
      <x:c r="M219" s="121" t="n">
        <x:v>-0.6699999999999982</x:v>
      </x:c>
      <x:c r="N219" s="121" t="n">
        <x:v>-0.980000000000004</x:v>
      </x:c>
      <x:c r="O219" s="121" t="n">
        <x:v>-0.6699999999999982</x:v>
      </x:c>
      <x:c r="P219" s="121" t="n">
        <x:v>0.35000000000000053</x:v>
      </x:c>
      <x:c r="Q219" s="121" t="n">
        <x:v>0.6699999999999982</x:v>
      </x:c>
    </x:row>
    <x:row r="220">
      <x:c r="A220" t="n">
        <x:v>5000</x:v>
      </x:c>
      <x:c r="B220" t="n">
        <x:v>1000</x:v>
      </x:c>
      <x:c r="C220" t="n">
        <x:v>20260707</x:v>
      </x:c>
      <x:c r="D220" t="str">
        <x:v>R11</x:v>
      </x:c>
      <x:c r="E220" t="str">
        <x:v>91–120</x:v>
      </x:c>
      <x:c r="F220" s="121" t="n">
        <x:v>2.5</x:v>
      </x:c>
      <x:c r="G220" s="121" t="n">
        <x:v>8</x:v>
      </x:c>
      <x:c r="H220" s="121" t="n">
        <x:v>32</x:v>
      </x:c>
      <x:c r="I220" s="121" t="n">
        <x:v>1.3</x:v>
      </x:c>
      <x:c r="J220" s="121" t="n">
        <x:v>77.2</x:v>
      </x:c>
      <x:c r="K220" s="121" t="n">
        <x:v>1.3</x:v>
      </x:c>
      <x:c r="L220" s="121" t="n">
        <x:v>5.5</x:v>
      </x:c>
      <x:c r="M220" s="121" t="n">
        <x:v>0.010000000000000009</x:v>
      </x:c>
      <x:c r="N220" s="121" t="n">
        <x:v>-0.980000000000004</x:v>
      </x:c>
      <x:c r="O220" s="121" t="n">
        <x:v>0.010000000000000009</x:v>
      </x:c>
      <x:c r="P220" s="121" t="n">
        <x:v>0.35000000000000053</x:v>
      </x:c>
      <x:c r="Q220" s="121" t="n">
        <x:v>0.010000000000000009</x:v>
      </x:c>
    </x:row>
    <x:row r="221">
      <x:c r="A221" t="n">
        <x:v>5000</x:v>
      </x:c>
      <x:c r="B221" t="n">
        <x:v>1000</x:v>
      </x:c>
      <x:c r="C221" t="n">
        <x:v>20260707</x:v>
      </x:c>
      <x:c r="D221" t="str">
        <x:v>R11</x:v>
      </x:c>
      <x:c r="E221" t="str">
        <x:v>91–120</x:v>
      </x:c>
      <x:c r="F221" s="121" t="n">
        <x:v>2.5</x:v>
      </x:c>
      <x:c r="G221" s="121" t="n">
        <x:v>8</x:v>
      </x:c>
      <x:c r="H221" s="121" t="n">
        <x:v>64</x:v>
      </x:c>
      <x:c r="I221" s="121" t="n">
        <x:v>0</x:v>
      </x:c>
      <x:c r="J221" s="121" t="n">
        <x:v>77.2</x:v>
      </x:c>
      <x:c r="K221" s="121" t="n">
        <x:v>0</x:v>
      </x:c>
      <x:c r="L221" s="121" t="n">
        <x:v>5.5</x:v>
      </x:c>
      <x:c r="M221" s="121" t="n">
        <x:v>-0.015</x:v>
      </x:c>
      <x:c r="N221" s="121" t="n">
        <x:v>-0.980000000000004</x:v>
      </x:c>
      <x:c r="O221" s="121" t="n">
        <x:v>-0.015</x:v>
      </x:c>
      <x:c r="P221" s="121" t="n">
        <x:v>0.35000000000000053</x:v>
      </x:c>
      <x:c r="Q221" s="121" t="n">
        <x:v>0.015</x:v>
      </x:c>
    </x:row>
    <x:row r="222">
      <x:c r="A222" t="n">
        <x:v>5000</x:v>
      </x:c>
      <x:c r="B222" t="n">
        <x:v>1000</x:v>
      </x:c>
      <x:c r="C222" t="n">
        <x:v>20260707</x:v>
      </x:c>
      <x:c r="D222" t="str">
        <x:v>R12</x:v>
      </x:c>
      <x:c r="E222" t="str">
        <x:v>91–120</x:v>
      </x:c>
      <x:c r="F222" s="121" t="n">
        <x:v>2.5</x:v>
      </x:c>
      <x:c r="G222" s="121" t="n">
        <x:v>6</x:v>
      </x:c>
      <x:c r="H222" s="121" t="n">
        <x:v>0.0625</x:v>
      </x:c>
      <x:c r="I222" s="121" t="n">
        <x:v>100</x:v>
      </x:c>
      <x:c r="J222" s="121" t="n">
        <x:v>88.7</x:v>
      </x:c>
      <x:c r="K222" s="121" t="n">
        <x:v>88.7</x:v>
      </x:c>
      <x:c r="L222" s="121" t="n">
        <x:v>11.799999999999999</x:v>
      </x:c>
      <x:c r="M222" s="121" t="n">
        <x:v>0</x:v>
      </x:c>
      <x:c r="N222" s="121" t="n">
        <x:v>0.23999999999999488</x:v>
      </x:c>
      <x:c r="O222" s="121" t="n">
        <x:v>0.23999999999999488</x:v>
      </x:c>
      <x:c r="P222" s="121" t="n">
        <x:v>-0.5200000000000014</x:v>
      </x:c>
      <x:c r="Q222" s="121" t="n">
        <x:v>0.23999999999999488</x:v>
      </x:c>
    </x:row>
    <x:row r="223">
      <x:c r="A223" t="n">
        <x:v>5000</x:v>
      </x:c>
      <x:c r="B223" t="n">
        <x:v>1000</x:v>
      </x:c>
      <x:c r="C223" t="n">
        <x:v>20260707</x:v>
      </x:c>
      <x:c r="D223" t="str">
        <x:v>R12</x:v>
      </x:c>
      <x:c r="E223" t="str">
        <x:v>91–120</x:v>
      </x:c>
      <x:c r="F223" s="121" t="n">
        <x:v>2.5</x:v>
      </x:c>
      <x:c r="G223" s="121" t="n">
        <x:v>6</x:v>
      </x:c>
      <x:c r="H223" s="121" t="n">
        <x:v>0.125</x:v>
      </x:c>
      <x:c r="I223" s="121" t="n">
        <x:v>100</x:v>
      </x:c>
      <x:c r="J223" s="121" t="n">
        <x:v>88.7</x:v>
      </x:c>
      <x:c r="K223" s="121" t="n">
        <x:v>88.7</x:v>
      </x:c>
      <x:c r="L223" s="121" t="n">
        <x:v>11.799999999999999</x:v>
      </x:c>
      <x:c r="M223" s="121" t="n">
        <x:v>0</x:v>
      </x:c>
      <x:c r="N223" s="121" t="n">
        <x:v>0.23999999999999488</x:v>
      </x:c>
      <x:c r="O223" s="121" t="n">
        <x:v>0.23999999999999488</x:v>
      </x:c>
      <x:c r="P223" s="121" t="n">
        <x:v>-0.5200000000000014</x:v>
      </x:c>
      <x:c r="Q223" s="121" t="n">
        <x:v>0.23999999999999488</x:v>
      </x:c>
    </x:row>
    <x:row r="224">
      <x:c r="A224" t="n">
        <x:v>5000</x:v>
      </x:c>
      <x:c r="B224" t="n">
        <x:v>1000</x:v>
      </x:c>
      <x:c r="C224" t="n">
        <x:v>20260707</x:v>
      </x:c>
      <x:c r="D224" t="str">
        <x:v>R12</x:v>
      </x:c>
      <x:c r="E224" t="str">
        <x:v>91–120</x:v>
      </x:c>
      <x:c r="F224" s="121" t="n">
        <x:v>2.5</x:v>
      </x:c>
      <x:c r="G224" s="121" t="n">
        <x:v>6</x:v>
      </x:c>
      <x:c r="H224" s="121" t="n">
        <x:v>0.25</x:v>
      </x:c>
      <x:c r="I224" s="121" t="n">
        <x:v>100</x:v>
      </x:c>
      <x:c r="J224" s="121" t="n">
        <x:v>88.7</x:v>
      </x:c>
      <x:c r="K224" s="121" t="n">
        <x:v>88.7</x:v>
      </x:c>
      <x:c r="L224" s="121" t="n">
        <x:v>11.799999999999999</x:v>
      </x:c>
      <x:c r="M224" s="121" t="n">
        <x:v>0</x:v>
      </x:c>
      <x:c r="N224" s="121" t="n">
        <x:v>0.23999999999999488</x:v>
      </x:c>
      <x:c r="O224" s="121" t="n">
        <x:v>0.23999999999999488</x:v>
      </x:c>
      <x:c r="P224" s="121" t="n">
        <x:v>-0.5200000000000014</x:v>
      </x:c>
      <x:c r="Q224" s="121" t="n">
        <x:v>0.23999999999999488</x:v>
      </x:c>
    </x:row>
    <x:row r="225">
      <x:c r="A225" t="n">
        <x:v>5000</x:v>
      </x:c>
      <x:c r="B225" t="n">
        <x:v>1000</x:v>
      </x:c>
      <x:c r="C225" t="n">
        <x:v>20260707</x:v>
      </x:c>
      <x:c r="D225" t="str">
        <x:v>R12</x:v>
      </x:c>
      <x:c r="E225" t="str">
        <x:v>91–120</x:v>
      </x:c>
      <x:c r="F225" s="121" t="n">
        <x:v>2.5</x:v>
      </x:c>
      <x:c r="G225" s="121" t="n">
        <x:v>6</x:v>
      </x:c>
      <x:c r="H225" s="121" t="n">
        <x:v>0.5</x:v>
      </x:c>
      <x:c r="I225" s="121" t="n">
        <x:v>100</x:v>
      </x:c>
      <x:c r="J225" s="121" t="n">
        <x:v>88.7</x:v>
      </x:c>
      <x:c r="K225" s="121" t="n">
        <x:v>88.7</x:v>
      </x:c>
      <x:c r="L225" s="121" t="n">
        <x:v>11.799999999999999</x:v>
      </x:c>
      <x:c r="M225" s="121" t="n">
        <x:v>0</x:v>
      </x:c>
      <x:c r="N225" s="121" t="n">
        <x:v>0.23999999999999488</x:v>
      </x:c>
      <x:c r="O225" s="121" t="n">
        <x:v>0.23999999999999488</x:v>
      </x:c>
      <x:c r="P225" s="121" t="n">
        <x:v>-0.5200000000000014</x:v>
      </x:c>
      <x:c r="Q225" s="121" t="n">
        <x:v>0.23999999999999488</x:v>
      </x:c>
    </x:row>
    <x:row r="226">
      <x:c r="A226" t="n">
        <x:v>5000</x:v>
      </x:c>
      <x:c r="B226" t="n">
        <x:v>1000</x:v>
      </x:c>
      <x:c r="C226" t="n">
        <x:v>20260707</x:v>
      </x:c>
      <x:c r="D226" t="str">
        <x:v>R12</x:v>
      </x:c>
      <x:c r="E226" t="str">
        <x:v>91–120</x:v>
      </x:c>
      <x:c r="F226" s="121" t="n">
        <x:v>2.5</x:v>
      </x:c>
      <x:c r="G226" s="121" t="n">
        <x:v>6</x:v>
      </x:c>
      <x:c r="H226" s="121" t="n">
        <x:v>1</x:v>
      </x:c>
      <x:c r="I226" s="121" t="n">
        <x:v>100</x:v>
      </x:c>
      <x:c r="J226" s="121" t="n">
        <x:v>88.7</x:v>
      </x:c>
      <x:c r="K226" s="121" t="n">
        <x:v>88.7</x:v>
      </x:c>
      <x:c r="L226" s="121" t="n">
        <x:v>11.799999999999999</x:v>
      </x:c>
      <x:c r="M226" s="121" t="n">
        <x:v>0.010000000000005116</x:v>
      </x:c>
      <x:c r="N226" s="121" t="n">
        <x:v>0.23999999999999488</x:v>
      </x:c>
      <x:c r="O226" s="121" t="n">
        <x:v>0.23999999999999488</x:v>
      </x:c>
      <x:c r="P226" s="121" t="n">
        <x:v>-0.5200000000000014</x:v>
      </x:c>
      <x:c r="Q226" s="121" t="n">
        <x:v>0.23999999999999488</x:v>
      </x:c>
    </x:row>
    <x:row r="227">
      <x:c r="A227" t="n">
        <x:v>5000</x:v>
      </x:c>
      <x:c r="B227" t="n">
        <x:v>1000</x:v>
      </x:c>
      <x:c r="C227" t="n">
        <x:v>20260707</x:v>
      </x:c>
      <x:c r="D227" t="str">
        <x:v>R12</x:v>
      </x:c>
      <x:c r="E227" t="str">
        <x:v>91–120</x:v>
      </x:c>
      <x:c r="F227" s="121" t="n">
        <x:v>2.5</x:v>
      </x:c>
      <x:c r="G227" s="121" t="n">
        <x:v>6</x:v>
      </x:c>
      <x:c r="H227" s="121" t="n">
        <x:v>2</x:v>
      </x:c>
      <x:c r="I227" s="121" t="n">
        <x:v>99.8</x:v>
      </x:c>
      <x:c r="J227" s="121" t="n">
        <x:v>88.7</x:v>
      </x:c>
      <x:c r="K227" s="121" t="n">
        <x:v>88.7</x:v>
      </x:c>
      <x:c r="L227" s="121" t="n">
        <x:v>11.799999999999999</x:v>
      </x:c>
      <x:c r="M227" s="121" t="n">
        <x:v>0.11999999999999034</x:v>
      </x:c>
      <x:c r="N227" s="121" t="n">
        <x:v>0.23999999999999488</x:v>
      </x:c>
      <x:c r="O227" s="121" t="n">
        <x:v>0.23999999999999488</x:v>
      </x:c>
      <x:c r="P227" s="121" t="n">
        <x:v>-0.5200000000000014</x:v>
      </x:c>
      <x:c r="Q227" s="121" t="n">
        <x:v>0.23999999999999488</x:v>
      </x:c>
    </x:row>
    <x:row r="228">
      <x:c r="A228" t="n">
        <x:v>5000</x:v>
      </x:c>
      <x:c r="B228" t="n">
        <x:v>1000</x:v>
      </x:c>
      <x:c r="C228" t="n">
        <x:v>20260707</x:v>
      </x:c>
      <x:c r="D228" t="str">
        <x:v>R12</x:v>
      </x:c>
      <x:c r="E228" t="str">
        <x:v>91–120</x:v>
      </x:c>
      <x:c r="F228" s="121" t="n">
        <x:v>2.5</x:v>
      </x:c>
      <x:c r="G228" s="121" t="n">
        <x:v>6</x:v>
      </x:c>
      <x:c r="H228" s="121" t="n">
        <x:v>4</x:v>
      </x:c>
      <x:c r="I228" s="121" t="n">
        <x:v>94</x:v>
      </x:c>
      <x:c r="J228" s="121" t="n">
        <x:v>88.7</x:v>
      </x:c>
      <x:c r="K228" s="121" t="n">
        <x:v>87.9</x:v>
      </x:c>
      <x:c r="L228" s="121" t="n">
        <x:v>11.799999999999999</x:v>
      </x:c>
      <x:c r="M228" s="121" t="n">
        <x:v>-0.40500000000000114</x:v>
      </x:c>
      <x:c r="N228" s="121" t="n">
        <x:v>0.23999999999999488</x:v>
      </x:c>
      <x:c r="O228" s="121" t="n">
        <x:v>-0.1700000000000017</x:v>
      </x:c>
      <x:c r="P228" s="121" t="n">
        <x:v>-0.5200000000000014</x:v>
      </x:c>
      <x:c r="Q228" s="121" t="n">
        <x:v>0.1700000000000017</x:v>
      </x:c>
    </x:row>
    <x:row r="229">
      <x:c r="A229" t="n">
        <x:v>5000</x:v>
      </x:c>
      <x:c r="B229" t="n">
        <x:v>1000</x:v>
      </x:c>
      <x:c r="C229" t="n">
        <x:v>20260707</x:v>
      </x:c>
      <x:c r="D229" t="str">
        <x:v>R12</x:v>
      </x:c>
      <x:c r="E229" t="str">
        <x:v>91–120</x:v>
      </x:c>
      <x:c r="F229" s="121" t="n">
        <x:v>2.5</x:v>
      </x:c>
      <x:c r="G229" s="121" t="n">
        <x:v>6</x:v>
      </x:c>
      <x:c r="H229" s="121" t="n">
        <x:v>8</x:v>
      </x:c>
      <x:c r="I229" s="121" t="n">
        <x:v>65.60000000000001</x:v>
      </x:c>
      <x:c r="J229" s="121" t="n">
        <x:v>88.7</x:v>
      </x:c>
      <x:c r="K229" s="121" t="n">
        <x:v>65.60000000000001</x:v>
      </x:c>
      <x:c r="L229" s="121" t="n">
        <x:v>11.799999999999999</x:v>
      </x:c>
      <x:c r="M229" s="121" t="n">
        <x:v>-2.5150000000000006</x:v>
      </x:c>
      <x:c r="N229" s="121" t="n">
        <x:v>0.23999999999999488</x:v>
      </x:c>
      <x:c r="O229" s="121" t="n">
        <x:v>-2.444999999999993</x:v>
      </x:c>
      <x:c r="P229" s="121" t="n">
        <x:v>-0.5200000000000014</x:v>
      </x:c>
      <x:c r="Q229" s="121" t="n">
        <x:v>2.444999999999993</x:v>
      </x:c>
    </x:row>
    <x:row r="230">
      <x:c r="A230" t="n">
        <x:v>5000</x:v>
      </x:c>
      <x:c r="B230" t="n">
        <x:v>1000</x:v>
      </x:c>
      <x:c r="C230" t="n">
        <x:v>20260707</x:v>
      </x:c>
      <x:c r="D230" t="str">
        <x:v>R12</x:v>
      </x:c>
      <x:c r="E230" t="str">
        <x:v>91–120</x:v>
      </x:c>
      <x:c r="F230" s="121" t="n">
        <x:v>2.5</x:v>
      </x:c>
      <x:c r="G230" s="121" t="n">
        <x:v>6</x:v>
      </x:c>
      <x:c r="H230" s="121" t="n">
        <x:v>16</x:v>
      </x:c>
      <x:c r="I230" s="121" t="n">
        <x:v>23.599999999999998</x:v>
      </x:c>
      <x:c r="J230" s="121" t="n">
        <x:v>88.7</x:v>
      </x:c>
      <x:c r="K230" s="121" t="n">
        <x:v>23.599999999999998</x:v>
      </x:c>
      <x:c r="L230" s="121" t="n">
        <x:v>11.799999999999999</x:v>
      </x:c>
      <x:c r="M230" s="121" t="n">
        <x:v>-2.5749999999999993</x:v>
      </x:c>
      <x:c r="N230" s="121" t="n">
        <x:v>0.23999999999999488</x:v>
      </x:c>
      <x:c r="O230" s="121" t="n">
        <x:v>-2.5749999999999993</x:v>
      </x:c>
      <x:c r="P230" s="121" t="n">
        <x:v>-0.5200000000000014</x:v>
      </x:c>
      <x:c r="Q230" s="121" t="n">
        <x:v>2.5749999999999993</x:v>
      </x:c>
    </x:row>
    <x:row r="231">
      <x:c r="A231" t="n">
        <x:v>5000</x:v>
      </x:c>
      <x:c r="B231" t="n">
        <x:v>1000</x:v>
      </x:c>
      <x:c r="C231" t="n">
        <x:v>20260707</x:v>
      </x:c>
      <x:c r="D231" t="str">
        <x:v>R12</x:v>
      </x:c>
      <x:c r="E231" t="str">
        <x:v>91–120</x:v>
      </x:c>
      <x:c r="F231" s="121" t="n">
        <x:v>2.5</x:v>
      </x:c>
      <x:c r="G231" s="121" t="n">
        <x:v>6</x:v>
      </x:c>
      <x:c r="H231" s="121" t="n">
        <x:v>32</x:v>
      </x:c>
      <x:c r="I231" s="121" t="n">
        <x:v>4.3999999999999995</x:v>
      </x:c>
      <x:c r="J231" s="121" t="n">
        <x:v>88.7</x:v>
      </x:c>
      <x:c r="K231" s="121" t="n">
        <x:v>4.3999999999999995</x:v>
      </x:c>
      <x:c r="L231" s="121" t="n">
        <x:v>11.799999999999999</x:v>
      </x:c>
      <x:c r="M231" s="121" t="n">
        <x:v>0.6199999999999992</x:v>
      </x:c>
      <x:c r="N231" s="121" t="n">
        <x:v>0.23999999999999488</x:v>
      </x:c>
      <x:c r="O231" s="121" t="n">
        <x:v>0.6199999999999992</x:v>
      </x:c>
      <x:c r="P231" s="121" t="n">
        <x:v>-0.5200000000000014</x:v>
      </x:c>
      <x:c r="Q231" s="121" t="n">
        <x:v>0.6199999999999992</x:v>
      </x:c>
    </x:row>
    <x:row r="232">
      <x:c r="A232" t="n">
        <x:v>5000</x:v>
      </x:c>
      <x:c r="B232" t="n">
        <x:v>1000</x:v>
      </x:c>
      <x:c r="C232" t="n">
        <x:v>20260707</x:v>
      </x:c>
      <x:c r="D232" t="str">
        <x:v>R12</x:v>
      </x:c>
      <x:c r="E232" t="str">
        <x:v>91–120</x:v>
      </x:c>
      <x:c r="F232" s="121" t="n">
        <x:v>2.5</x:v>
      </x:c>
      <x:c r="G232" s="121" t="n">
        <x:v>6</x:v>
      </x:c>
      <x:c r="H232" s="121" t="n">
        <x:v>64</x:v>
      </x:c>
      <x:c r="I232" s="121" t="n">
        <x:v>0.1</x:v>
      </x:c>
      <x:c r="J232" s="121" t="n">
        <x:v>88.7</x:v>
      </x:c>
      <x:c r="K232" s="121" t="n">
        <x:v>0.1</x:v>
      </x:c>
      <x:c r="L232" s="121" t="n">
        <x:v>11.799999999999999</x:v>
      </x:c>
      <x:c r="M232" s="121" t="n">
        <x:v>-0.1</x:v>
      </x:c>
      <x:c r="N232" s="121" t="n">
        <x:v>0.23999999999999488</x:v>
      </x:c>
      <x:c r="O232" s="121" t="n">
        <x:v>-0.1</x:v>
      </x:c>
      <x:c r="P232" s="121" t="n">
        <x:v>-0.5200000000000014</x:v>
      </x:c>
      <x:c r="Q232" s="121" t="n">
        <x:v>0.1</x:v>
      </x:c>
    </x:row>
    <x:row r="233">
      <x:c r="A233" t="n">
        <x:v>5000</x:v>
      </x:c>
      <x:c r="B233" t="n">
        <x:v>1000</x:v>
      </x:c>
      <x:c r="C233" t="n">
        <x:v>20260707</x:v>
      </x:c>
      <x:c r="D233" t="str">
        <x:v>R13</x:v>
      </x:c>
      <x:c r="E233" t="str">
        <x:v>121–150</x:v>
      </x:c>
      <x:c r="F233" s="121" t="n">
        <x:v>2.5</x:v>
      </x:c>
      <x:c r="G233" s="121" t="n">
        <x:v>6</x:v>
      </x:c>
      <x:c r="H233" s="121" t="n">
        <x:v>0.0625</x:v>
      </x:c>
      <x:c r="I233" s="121" t="n">
        <x:v>100</x:v>
      </x:c>
      <x:c r="J233" s="121" t="n">
        <x:v>80.4</x:v>
      </x:c>
      <x:c r="K233" s="121" t="n">
        <x:v>80.4</x:v>
      </x:c>
      <x:c r="L233" s="121" t="n">
        <x:v>7.000000000000001</x:v>
      </x:c>
      <x:c r="M233" s="121" t="n">
        <x:v>0</x:v>
      </x:c>
      <x:c r="N233" s="121" t="n">
        <x:v>-0.8449999999999989</x:v>
      </x:c>
      <x:c r="O233" s="121" t="n">
        <x:v>-0.8449999999999989</x:v>
      </x:c>
      <x:c r="P233" s="121" t="n">
        <x:v>-0.3299999999999992</x:v>
      </x:c>
      <x:c r="Q233" s="121" t="n">
        <x:v>0.8449999999999989</x:v>
      </x:c>
    </x:row>
    <x:row r="234">
      <x:c r="A234" t="n">
        <x:v>5000</x:v>
      </x:c>
      <x:c r="B234" t="n">
        <x:v>1000</x:v>
      </x:c>
      <x:c r="C234" t="n">
        <x:v>20260707</x:v>
      </x:c>
      <x:c r="D234" t="str">
        <x:v>R13</x:v>
      </x:c>
      <x:c r="E234" t="str">
        <x:v>121–150</x:v>
      </x:c>
      <x:c r="F234" s="121" t="n">
        <x:v>2.5</x:v>
      </x:c>
      <x:c r="G234" s="121" t="n">
        <x:v>6</x:v>
      </x:c>
      <x:c r="H234" s="121" t="n">
        <x:v>0.125</x:v>
      </x:c>
      <x:c r="I234" s="121" t="n">
        <x:v>100</x:v>
      </x:c>
      <x:c r="J234" s="121" t="n">
        <x:v>80.4</x:v>
      </x:c>
      <x:c r="K234" s="121" t="n">
        <x:v>80.4</x:v>
      </x:c>
      <x:c r="L234" s="121" t="n">
        <x:v>7.000000000000001</x:v>
      </x:c>
      <x:c r="M234" s="121" t="n">
        <x:v>0</x:v>
      </x:c>
      <x:c r="N234" s="121" t="n">
        <x:v>-0.8449999999999989</x:v>
      </x:c>
      <x:c r="O234" s="121" t="n">
        <x:v>-0.8449999999999989</x:v>
      </x:c>
      <x:c r="P234" s="121" t="n">
        <x:v>-0.3299999999999992</x:v>
      </x:c>
      <x:c r="Q234" s="121" t="n">
        <x:v>0.8449999999999989</x:v>
      </x:c>
    </x:row>
    <x:row r="235">
      <x:c r="A235" t="n">
        <x:v>5000</x:v>
      </x:c>
      <x:c r="B235" t="n">
        <x:v>1000</x:v>
      </x:c>
      <x:c r="C235" t="n">
        <x:v>20260707</x:v>
      </x:c>
      <x:c r="D235" t="str">
        <x:v>R13</x:v>
      </x:c>
      <x:c r="E235" t="str">
        <x:v>121–150</x:v>
      </x:c>
      <x:c r="F235" s="121" t="n">
        <x:v>2.5</x:v>
      </x:c>
      <x:c r="G235" s="121" t="n">
        <x:v>6</x:v>
      </x:c>
      <x:c r="H235" s="121" t="n">
        <x:v>0.25</x:v>
      </x:c>
      <x:c r="I235" s="121" t="n">
        <x:v>100</x:v>
      </x:c>
      <x:c r="J235" s="121" t="n">
        <x:v>80.4</x:v>
      </x:c>
      <x:c r="K235" s="121" t="n">
        <x:v>80.4</x:v>
      </x:c>
      <x:c r="L235" s="121" t="n">
        <x:v>7.000000000000001</x:v>
      </x:c>
      <x:c r="M235" s="121" t="n">
        <x:v>0</x:v>
      </x:c>
      <x:c r="N235" s="121" t="n">
        <x:v>-0.8449999999999989</x:v>
      </x:c>
      <x:c r="O235" s="121" t="n">
        <x:v>-0.8449999999999989</x:v>
      </x:c>
      <x:c r="P235" s="121" t="n">
        <x:v>-0.3299999999999992</x:v>
      </x:c>
      <x:c r="Q235" s="121" t="n">
        <x:v>0.8449999999999989</x:v>
      </x:c>
    </x:row>
    <x:row r="236">
      <x:c r="A236" t="n">
        <x:v>5000</x:v>
      </x:c>
      <x:c r="B236" t="n">
        <x:v>1000</x:v>
      </x:c>
      <x:c r="C236" t="n">
        <x:v>20260707</x:v>
      </x:c>
      <x:c r="D236" t="str">
        <x:v>R13</x:v>
      </x:c>
      <x:c r="E236" t="str">
        <x:v>121–150</x:v>
      </x:c>
      <x:c r="F236" s="121" t="n">
        <x:v>2.5</x:v>
      </x:c>
      <x:c r="G236" s="121" t="n">
        <x:v>6</x:v>
      </x:c>
      <x:c r="H236" s="121" t="n">
        <x:v>0.5</x:v>
      </x:c>
      <x:c r="I236" s="121" t="n">
        <x:v>100</x:v>
      </x:c>
      <x:c r="J236" s="121" t="n">
        <x:v>80.4</x:v>
      </x:c>
      <x:c r="K236" s="121" t="n">
        <x:v>80.4</x:v>
      </x:c>
      <x:c r="L236" s="121" t="n">
        <x:v>7.000000000000001</x:v>
      </x:c>
      <x:c r="M236" s="121" t="n">
        <x:v>0</x:v>
      </x:c>
      <x:c r="N236" s="121" t="n">
        <x:v>-0.8449999999999989</x:v>
      </x:c>
      <x:c r="O236" s="121" t="n">
        <x:v>-0.8449999999999989</x:v>
      </x:c>
      <x:c r="P236" s="121" t="n">
        <x:v>-0.3299999999999992</x:v>
      </x:c>
      <x:c r="Q236" s="121" t="n">
        <x:v>0.8449999999999989</x:v>
      </x:c>
    </x:row>
    <x:row r="237">
      <x:c r="A237" t="n">
        <x:v>5000</x:v>
      </x:c>
      <x:c r="B237" t="n">
        <x:v>1000</x:v>
      </x:c>
      <x:c r="C237" t="n">
        <x:v>20260707</x:v>
      </x:c>
      <x:c r="D237" t="str">
        <x:v>R13</x:v>
      </x:c>
      <x:c r="E237" t="str">
        <x:v>121–150</x:v>
      </x:c>
      <x:c r="F237" s="121" t="n">
        <x:v>2.5</x:v>
      </x:c>
      <x:c r="G237" s="121" t="n">
        <x:v>6</x:v>
      </x:c>
      <x:c r="H237" s="121" t="n">
        <x:v>1</x:v>
      </x:c>
      <x:c r="I237" s="121" t="n">
        <x:v>100</x:v>
      </x:c>
      <x:c r="J237" s="121" t="n">
        <x:v>80.4</x:v>
      </x:c>
      <x:c r="K237" s="121" t="n">
        <x:v>80.4</x:v>
      </x:c>
      <x:c r="L237" s="121" t="n">
        <x:v>7.000000000000001</x:v>
      </x:c>
      <x:c r="M237" s="121" t="n">
        <x:v>0.015000000000000568</x:v>
      </x:c>
      <x:c r="N237" s="121" t="n">
        <x:v>-0.8449999999999989</x:v>
      </x:c>
      <x:c r="O237" s="121" t="n">
        <x:v>-0.8449999999999989</x:v>
      </x:c>
      <x:c r="P237" s="121" t="n">
        <x:v>-0.3299999999999992</x:v>
      </x:c>
      <x:c r="Q237" s="121" t="n">
        <x:v>0.8449999999999989</x:v>
      </x:c>
    </x:row>
    <x:row r="238">
      <x:c r="A238" t="n">
        <x:v>5000</x:v>
      </x:c>
      <x:c r="B238" t="n">
        <x:v>1000</x:v>
      </x:c>
      <x:c r="C238" t="n">
        <x:v>20260707</x:v>
      </x:c>
      <x:c r="D238" t="str">
        <x:v>R13</x:v>
      </x:c>
      <x:c r="E238" t="str">
        <x:v>121–150</x:v>
      </x:c>
      <x:c r="F238" s="121" t="n">
        <x:v>2.5</x:v>
      </x:c>
      <x:c r="G238" s="121" t="n">
        <x:v>6</x:v>
      </x:c>
      <x:c r="H238" s="121" t="n">
        <x:v>2</x:v>
      </x:c>
      <x:c r="I238" s="121" t="n">
        <x:v>99</x:v>
      </x:c>
      <x:c r="J238" s="121" t="n">
        <x:v>80.4</x:v>
      </x:c>
      <x:c r="K238" s="121" t="n">
        <x:v>80.4</x:v>
      </x:c>
      <x:c r="L238" s="121" t="n">
        <x:v>7.000000000000001</x:v>
      </x:c>
      <x:c r="M238" s="121" t="n">
        <x:v>-0.18000000000000682</x:v>
      </x:c>
      <x:c r="N238" s="121" t="n">
        <x:v>-0.8449999999999989</x:v>
      </x:c>
      <x:c r="O238" s="121" t="n">
        <x:v>-0.8449999999999989</x:v>
      </x:c>
      <x:c r="P238" s="121" t="n">
        <x:v>-0.3299999999999992</x:v>
      </x:c>
      <x:c r="Q238" s="121" t="n">
        <x:v>0.8449999999999989</x:v>
      </x:c>
    </x:row>
    <x:row r="239">
      <x:c r="A239" t="n">
        <x:v>5000</x:v>
      </x:c>
      <x:c r="B239" t="n">
        <x:v>1000</x:v>
      </x:c>
      <x:c r="C239" t="n">
        <x:v>20260707</x:v>
      </x:c>
      <x:c r="D239" t="str">
        <x:v>R13</x:v>
      </x:c>
      <x:c r="E239" t="str">
        <x:v>121–150</x:v>
      </x:c>
      <x:c r="F239" s="121" t="n">
        <x:v>2.5</x:v>
      </x:c>
      <x:c r="G239" s="121" t="n">
        <x:v>6</x:v>
      </x:c>
      <x:c r="H239" s="121" t="n">
        <x:v>4</x:v>
      </x:c>
      <x:c r="I239" s="121" t="n">
        <x:v>89.8</x:v>
      </x:c>
      <x:c r="J239" s="121" t="n">
        <x:v>80.4</x:v>
      </x:c>
      <x:c r="K239" s="121" t="n">
        <x:v>79.9</x:v>
      </x:c>
      <x:c r="L239" s="121" t="n">
        <x:v>7.000000000000001</x:v>
      </x:c>
      <x:c r="M239" s="121" t="n">
        <x:v>-0.625</x:v>
      </x:c>
      <x:c r="N239" s="121" t="n">
        <x:v>-0.8449999999999989</x:v>
      </x:c>
      <x:c r="O239" s="121" t="n">
        <x:v>-0.9050000000000011</x:v>
      </x:c>
      <x:c r="P239" s="121" t="n">
        <x:v>-0.3299999999999992</x:v>
      </x:c>
      <x:c r="Q239" s="121" t="n">
        <x:v>0.9050000000000011</x:v>
      </x:c>
    </x:row>
    <x:row r="240">
      <x:c r="A240" t="n">
        <x:v>5000</x:v>
      </x:c>
      <x:c r="B240" t="n">
        <x:v>1000</x:v>
      </x:c>
      <x:c r="C240" t="n">
        <x:v>20260707</x:v>
      </x:c>
      <x:c r="D240" t="str">
        <x:v>R13</x:v>
      </x:c>
      <x:c r="E240" t="str">
        <x:v>121–150</x:v>
      </x:c>
      <x:c r="F240" s="121" t="n">
        <x:v>2.5</x:v>
      </x:c>
      <x:c r="G240" s="121" t="n">
        <x:v>6</x:v>
      </x:c>
      <x:c r="H240" s="121" t="n">
        <x:v>8</x:v>
      </x:c>
      <x:c r="I240" s="121" t="n">
        <x:v>57.4</x:v>
      </x:c>
      <x:c r="J240" s="121" t="n">
        <x:v>80.4</x:v>
      </x:c>
      <x:c r="K240" s="121" t="n">
        <x:v>57.3</x:v>
      </x:c>
      <x:c r="L240" s="121" t="n">
        <x:v>7.000000000000001</x:v>
      </x:c>
      <x:c r="M240" s="121" t="n">
        <x:v>0.09500000000000597</x:v>
      </x:c>
      <x:c r="N240" s="121" t="n">
        <x:v>-0.8449999999999989</x:v>
      </x:c>
      <x:c r="O240" s="121" t="n">
        <x:v>0.09499999999999886</x:v>
      </x:c>
      <x:c r="P240" s="121" t="n">
        <x:v>-0.3299999999999992</x:v>
      </x:c>
      <x:c r="Q240" s="121" t="n">
        <x:v>0.09499999999999886</x:v>
      </x:c>
    </x:row>
    <x:row r="241">
      <x:c r="A241" t="n">
        <x:v>5000</x:v>
      </x:c>
      <x:c r="B241" t="n">
        <x:v>1000</x:v>
      </x:c>
      <x:c r="C241" t="n">
        <x:v>20260707</x:v>
      </x:c>
      <x:c r="D241" t="str">
        <x:v>R13</x:v>
      </x:c>
      <x:c r="E241" t="str">
        <x:v>121–150</x:v>
      </x:c>
      <x:c r="F241" s="121" t="n">
        <x:v>2.5</x:v>
      </x:c>
      <x:c r="G241" s="121" t="n">
        <x:v>6</x:v>
      </x:c>
      <x:c r="H241" s="121" t="n">
        <x:v>16</x:v>
      </x:c>
      <x:c r="I241" s="121" t="n">
        <x:v>18.3</x:v>
      </x:c>
      <x:c r="J241" s="121" t="n">
        <x:v>80.4</x:v>
      </x:c>
      <x:c r="K241" s="121" t="n">
        <x:v>18.3</x:v>
      </x:c>
      <x:c r="L241" s="121" t="n">
        <x:v>7.000000000000001</x:v>
      </x:c>
      <x:c r="M241" s="121" t="n">
        <x:v>0.6000000000000014</x:v>
      </x:c>
      <x:c r="N241" s="121" t="n">
        <x:v>-0.8449999999999989</x:v>
      </x:c>
      <x:c r="O241" s="121" t="n">
        <x:v>0.6000000000000014</x:v>
      </x:c>
      <x:c r="P241" s="121" t="n">
        <x:v>-0.3299999999999992</x:v>
      </x:c>
      <x:c r="Q241" s="121" t="n">
        <x:v>0.6000000000000014</x:v>
      </x:c>
    </x:row>
    <x:row r="242">
      <x:c r="A242" t="n">
        <x:v>5000</x:v>
      </x:c>
      <x:c r="B242" t="n">
        <x:v>1000</x:v>
      </x:c>
      <x:c r="C242" t="n">
        <x:v>20260707</x:v>
      </x:c>
      <x:c r="D242" t="str">
        <x:v>R13</x:v>
      </x:c>
      <x:c r="E242" t="str">
        <x:v>121–150</x:v>
      </x:c>
      <x:c r="F242" s="121" t="n">
        <x:v>2.5</x:v>
      </x:c>
      <x:c r="G242" s="121" t="n">
        <x:v>6</x:v>
      </x:c>
      <x:c r="H242" s="121" t="n">
        <x:v>32</x:v>
      </x:c>
      <x:c r="I242" s="121" t="n">
        <x:v>2</x:v>
      </x:c>
      <x:c r="J242" s="121" t="n">
        <x:v>80.4</x:v>
      </x:c>
      <x:c r="K242" s="121" t="n">
        <x:v>2</x:v>
      </x:c>
      <x:c r="L242" s="121" t="n">
        <x:v>7.000000000000001</x:v>
      </x:c>
      <x:c r="M242" s="121" t="n">
        <x:v>-0.10499999999999998</x:v>
      </x:c>
      <x:c r="N242" s="121" t="n">
        <x:v>-0.8449999999999989</x:v>
      </x:c>
      <x:c r="O242" s="121" t="n">
        <x:v>-0.10499999999999998</x:v>
      </x:c>
      <x:c r="P242" s="121" t="n">
        <x:v>-0.3299999999999992</x:v>
      </x:c>
      <x:c r="Q242" s="121" t="n">
        <x:v>0.10499999999999998</x:v>
      </x:c>
    </x:row>
    <x:row r="243">
      <x:c r="A243" t="n">
        <x:v>5000</x:v>
      </x:c>
      <x:c r="B243" t="n">
        <x:v>1000</x:v>
      </x:c>
      <x:c r="C243" t="n">
        <x:v>20260707</x:v>
      </x:c>
      <x:c r="D243" t="str">
        <x:v>R13</x:v>
      </x:c>
      <x:c r="E243" t="str">
        <x:v>121–150</x:v>
      </x:c>
      <x:c r="F243" s="121" t="n">
        <x:v>2.5</x:v>
      </x:c>
      <x:c r="G243" s="121" t="n">
        <x:v>6</x:v>
      </x:c>
      <x:c r="H243" s="121" t="n">
        <x:v>64</x:v>
      </x:c>
      <x:c r="I243" s="121" t="n">
        <x:v>0.1</x:v>
      </x:c>
      <x:c r="J243" s="121" t="n">
        <x:v>80.4</x:v>
      </x:c>
      <x:c r="K243" s="121" t="n">
        <x:v>0.1</x:v>
      </x:c>
      <x:c r="L243" s="121" t="n">
        <x:v>7.000000000000001</x:v>
      </x:c>
      <x:c r="M243" s="121" t="n">
        <x:v>0.04000000000000001</x:v>
      </x:c>
      <x:c r="N243" s="121" t="n">
        <x:v>-0.8449999999999989</x:v>
      </x:c>
      <x:c r="O243" s="121" t="n">
        <x:v>0.04000000000000001</x:v>
      </x:c>
      <x:c r="P243" s="121" t="n">
        <x:v>-0.3299999999999992</x:v>
      </x:c>
      <x:c r="Q243" s="121" t="n">
        <x:v>0.04000000000000001</x:v>
      </x:c>
    </x:row>
    <x:row r="244">
      <x:c r="A244" t="n">
        <x:v>10000</x:v>
      </x:c>
      <x:c r="B244" t="n">
        <x:v>2000</x:v>
      </x:c>
      <x:c r="C244" t="n">
        <x:v>20260707</x:v>
      </x:c>
      <x:c r="D244" t="str">
        <x:v>R1</x:v>
      </x:c>
      <x:c r="E244" t="str">
        <x:v>0–30</x:v>
      </x:c>
      <x:c r="F244" s="121" t="n">
        <x:v>0.625</x:v>
      </x:c>
      <x:c r="G244" s="121" t="n">
        <x:v>12</x:v>
      </x:c>
      <x:c r="H244" s="121" t="n">
        <x:v>0.0625</x:v>
      </x:c>
      <x:c r="I244" s="121" t="n">
        <x:v>100</x:v>
      </x:c>
      <x:c r="J244" s="121" t="n">
        <x:v>74.45</x:v>
      </x:c>
      <x:c r="K244" s="121" t="n">
        <x:v>74.45</x:v>
      </x:c>
      <x:c r="L244" s="121" t="n">
        <x:v>9.25</x:v>
      </x:c>
      <x:c r="M244" s="121" t="n">
        <x:v>0</x:v>
      </x:c>
      <x:c r="N244" s="121" t="n">
        <x:v>-0.4899999999999949</x:v>
      </x:c>
      <x:c r="O244" s="121" t="n">
        <x:v>-0.4899999999999949</x:v>
      </x:c>
      <x:c r="P244" s="121" t="n">
        <x:v>-0.0600000000000005</x:v>
      </x:c>
      <x:c r="Q244" s="121" t="n">
        <x:v>0.4899999999999949</x:v>
      </x:c>
    </x:row>
    <x:row r="245">
      <x:c r="A245" t="n">
        <x:v>10000</x:v>
      </x:c>
      <x:c r="B245" t="n">
        <x:v>2000</x:v>
      </x:c>
      <x:c r="C245" t="n">
        <x:v>20260707</x:v>
      </x:c>
      <x:c r="D245" t="str">
        <x:v>R1</x:v>
      </x:c>
      <x:c r="E245" t="str">
        <x:v>0–30</x:v>
      </x:c>
      <x:c r="F245" s="121" t="n">
        <x:v>0.625</x:v>
      </x:c>
      <x:c r="G245" s="121" t="n">
        <x:v>12</x:v>
      </x:c>
      <x:c r="H245" s="121" t="n">
        <x:v>0.125</x:v>
      </x:c>
      <x:c r="I245" s="121" t="n">
        <x:v>100</x:v>
      </x:c>
      <x:c r="J245" s="121" t="n">
        <x:v>74.45</x:v>
      </x:c>
      <x:c r="K245" s="121" t="n">
        <x:v>74.45</x:v>
      </x:c>
      <x:c r="L245" s="121" t="n">
        <x:v>9.25</x:v>
      </x:c>
      <x:c r="M245" s="121" t="n">
        <x:v>0</x:v>
      </x:c>
      <x:c r="N245" s="121" t="n">
        <x:v>-0.4899999999999949</x:v>
      </x:c>
      <x:c r="O245" s="121" t="n">
        <x:v>-0.4899999999999949</x:v>
      </x:c>
      <x:c r="P245" s="121" t="n">
        <x:v>-0.0600000000000005</x:v>
      </x:c>
      <x:c r="Q245" s="121" t="n">
        <x:v>0.4899999999999949</x:v>
      </x:c>
    </x:row>
    <x:row r="246">
      <x:c r="A246" t="n">
        <x:v>10000</x:v>
      </x:c>
      <x:c r="B246" t="n">
        <x:v>2000</x:v>
      </x:c>
      <x:c r="C246" t="n">
        <x:v>20260707</x:v>
      </x:c>
      <x:c r="D246" t="str">
        <x:v>R1</x:v>
      </x:c>
      <x:c r="E246" t="str">
        <x:v>0–30</x:v>
      </x:c>
      <x:c r="F246" s="121" t="n">
        <x:v>0.625</x:v>
      </x:c>
      <x:c r="G246" s="121" t="n">
        <x:v>12</x:v>
      </x:c>
      <x:c r="H246" s="121" t="n">
        <x:v>0.25</x:v>
      </x:c>
      <x:c r="I246" s="121" t="n">
        <x:v>100</x:v>
      </x:c>
      <x:c r="J246" s="121" t="n">
        <x:v>74.45</x:v>
      </x:c>
      <x:c r="K246" s="121" t="n">
        <x:v>74.45</x:v>
      </x:c>
      <x:c r="L246" s="121" t="n">
        <x:v>9.25</x:v>
      </x:c>
      <x:c r="M246" s="121" t="n">
        <x:v>0</x:v>
      </x:c>
      <x:c r="N246" s="121" t="n">
        <x:v>-0.4899999999999949</x:v>
      </x:c>
      <x:c r="O246" s="121" t="n">
        <x:v>-0.4899999999999949</x:v>
      </x:c>
      <x:c r="P246" s="121" t="n">
        <x:v>-0.0600000000000005</x:v>
      </x:c>
      <x:c r="Q246" s="121" t="n">
        <x:v>0.4899999999999949</x:v>
      </x:c>
    </x:row>
    <x:row r="247">
      <x:c r="A247" t="n">
        <x:v>10000</x:v>
      </x:c>
      <x:c r="B247" t="n">
        <x:v>2000</x:v>
      </x:c>
      <x:c r="C247" t="n">
        <x:v>20260707</x:v>
      </x:c>
      <x:c r="D247" t="str">
        <x:v>R1</x:v>
      </x:c>
      <x:c r="E247" t="str">
        <x:v>0–30</x:v>
      </x:c>
      <x:c r="F247" s="121" t="n">
        <x:v>0.625</x:v>
      </x:c>
      <x:c r="G247" s="121" t="n">
        <x:v>12</x:v>
      </x:c>
      <x:c r="H247" s="121" t="n">
        <x:v>0.5</x:v>
      </x:c>
      <x:c r="I247" s="121" t="n">
        <x:v>100</x:v>
      </x:c>
      <x:c r="J247" s="121" t="n">
        <x:v>74.45</x:v>
      </x:c>
      <x:c r="K247" s="121" t="n">
        <x:v>74.45</x:v>
      </x:c>
      <x:c r="L247" s="121" t="n">
        <x:v>9.25</x:v>
      </x:c>
      <x:c r="M247" s="121" t="n">
        <x:v>0.060000000000002274</x:v>
      </x:c>
      <x:c r="N247" s="121" t="n">
        <x:v>-0.4899999999999949</x:v>
      </x:c>
      <x:c r="O247" s="121" t="n">
        <x:v>-0.4899999999999949</x:v>
      </x:c>
      <x:c r="P247" s="121" t="n">
        <x:v>-0.0600000000000005</x:v>
      </x:c>
      <x:c r="Q247" s="121" t="n">
        <x:v>0.4899999999999949</x:v>
      </x:c>
    </x:row>
    <x:row r="248">
      <x:c r="A248" t="n">
        <x:v>10000</x:v>
      </x:c>
      <x:c r="B248" t="n">
        <x:v>2000</x:v>
      </x:c>
      <x:c r="C248" t="n">
        <x:v>20260707</x:v>
      </x:c>
      <x:c r="D248" t="str">
        <x:v>R1</x:v>
      </x:c>
      <x:c r="E248" t="str">
        <x:v>0–30</x:v>
      </x:c>
      <x:c r="F248" s="121" t="n">
        <x:v>0.625</x:v>
      </x:c>
      <x:c r="G248" s="121" t="n">
        <x:v>12</x:v>
      </x:c>
      <x:c r="H248" s="121" t="n">
        <x:v>1</x:v>
      </x:c>
      <x:c r="I248" s="121" t="n">
        <x:v>99.2</x:v>
      </x:c>
      <x:c r="J248" s="121" t="n">
        <x:v>74.45</x:v>
      </x:c>
      <x:c r="K248" s="121" t="n">
        <x:v>74.45</x:v>
      </x:c>
      <x:c r="L248" s="121" t="n">
        <x:v>9.25</x:v>
      </x:c>
      <x:c r="M248" s="121" t="n">
        <x:v>0.060000000000002274</x:v>
      </x:c>
      <x:c r="N248" s="121" t="n">
        <x:v>-0.4899999999999949</x:v>
      </x:c>
      <x:c r="O248" s="121" t="n">
        <x:v>-0.4899999999999949</x:v>
      </x:c>
      <x:c r="P248" s="121" t="n">
        <x:v>-0.0600000000000005</x:v>
      </x:c>
      <x:c r="Q248" s="121" t="n">
        <x:v>0.4899999999999949</x:v>
      </x:c>
    </x:row>
    <x:row r="249">
      <x:c r="A249" t="n">
        <x:v>10000</x:v>
      </x:c>
      <x:c r="B249" t="n">
        <x:v>2000</x:v>
      </x:c>
      <x:c r="C249" t="n">
        <x:v>20260707</x:v>
      </x:c>
      <x:c r="D249" t="str">
        <x:v>R1</x:v>
      </x:c>
      <x:c r="E249" t="str">
        <x:v>0–30</x:v>
      </x:c>
      <x:c r="F249" s="121" t="n">
        <x:v>0.625</x:v>
      </x:c>
      <x:c r="G249" s="121" t="n">
        <x:v>12</x:v>
      </x:c>
      <x:c r="H249" s="121" t="n">
        <x:v>2</x:v>
      </x:c>
      <x:c r="I249" s="121" t="n">
        <x:v>92.65</x:v>
      </x:c>
      <x:c r="J249" s="121" t="n">
        <x:v>74.45</x:v>
      </x:c>
      <x:c r="K249" s="121" t="n">
        <x:v>74.45</x:v>
      </x:c>
      <x:c r="L249" s="121" t="n">
        <x:v>9.25</x:v>
      </x:c>
      <x:c r="M249" s="121" t="n">
        <x:v>0.5600000000000023</x:v>
      </x:c>
      <x:c r="N249" s="121" t="n">
        <x:v>-0.4899999999999949</x:v>
      </x:c>
      <x:c r="O249" s="121" t="n">
        <x:v>-0.4749999999999943</x:v>
      </x:c>
      <x:c r="P249" s="121" t="n">
        <x:v>-0.0600000000000005</x:v>
      </x:c>
      <x:c r="Q249" s="121" t="n">
        <x:v>0.4749999999999943</x:v>
      </x:c>
    </x:row>
    <x:row r="250">
      <x:c r="A250" t="n">
        <x:v>10000</x:v>
      </x:c>
      <x:c r="B250" t="n">
        <x:v>2000</x:v>
      </x:c>
      <x:c r="C250" t="n">
        <x:v>20260707</x:v>
      </x:c>
      <x:c r="D250" t="str">
        <x:v>R1</x:v>
      </x:c>
      <x:c r="E250" t="str">
        <x:v>0–30</x:v>
      </x:c>
      <x:c r="F250" s="121" t="n">
        <x:v>0.625</x:v>
      </x:c>
      <x:c r="G250" s="121" t="n">
        <x:v>12</x:v>
      </x:c>
      <x:c r="H250" s="121" t="n">
        <x:v>4</x:v>
      </x:c>
      <x:c r="I250" s="121" t="n">
        <x:v>68.15</x:v>
      </x:c>
      <x:c r="J250" s="121" t="n">
        <x:v>74.45</x:v>
      </x:c>
      <x:c r="K250" s="121" t="n">
        <x:v>66.85</x:v>
      </x:c>
      <x:c r="L250" s="121" t="n">
        <x:v>9.25</x:v>
      </x:c>
      <x:c r="M250" s="121" t="n">
        <x:v>-0.5499999999999972</x:v>
      </x:c>
      <x:c r="N250" s="121" t="n">
        <x:v>-0.4899999999999949</x:v>
      </x:c>
      <x:c r="O250" s="121" t="n">
        <x:v>-0.3100000000000023</x:v>
      </x:c>
      <x:c r="P250" s="121" t="n">
        <x:v>-0.0600000000000005</x:v>
      </x:c>
      <x:c r="Q250" s="121" t="n">
        <x:v>0.3100000000000023</x:v>
      </x:c>
    </x:row>
    <x:row r="251">
      <x:c r="A251" t="n">
        <x:v>10000</x:v>
      </x:c>
      <x:c r="B251" t="n">
        <x:v>2000</x:v>
      </x:c>
      <x:c r="C251" t="n">
        <x:v>20260707</x:v>
      </x:c>
      <x:c r="D251" t="str">
        <x:v>R1</x:v>
      </x:c>
      <x:c r="E251" t="str">
        <x:v>0–30</x:v>
      </x:c>
      <x:c r="F251" s="121" t="n">
        <x:v>0.625</x:v>
      </x:c>
      <x:c r="G251" s="121" t="n">
        <x:v>12</x:v>
      </x:c>
      <x:c r="H251" s="121" t="n">
        <x:v>8</x:v>
      </x:c>
      <x:c r="I251" s="121" t="n">
        <x:v>33.75</x:v>
      </x:c>
      <x:c r="J251" s="121" t="n">
        <x:v>74.45</x:v>
      </x:c>
      <x:c r="K251" s="121" t="n">
        <x:v>33.75</x:v>
      </x:c>
      <x:c r="L251" s="121" t="n">
        <x:v>9.25</x:v>
      </x:c>
      <x:c r="M251" s="121" t="n">
        <x:v>-2.2349999999999994</x:v>
      </x:c>
      <x:c r="N251" s="121" t="n">
        <x:v>-0.4899999999999949</x:v>
      </x:c>
      <x:c r="O251" s="121" t="n">
        <x:v>-2.2349999999999994</x:v>
      </x:c>
      <x:c r="P251" s="121" t="n">
        <x:v>-0.0600000000000005</x:v>
      </x:c>
      <x:c r="Q251" s="121" t="n">
        <x:v>2.2349999999999994</x:v>
      </x:c>
    </x:row>
    <x:row r="252">
      <x:c r="A252" t="n">
        <x:v>10000</x:v>
      </x:c>
      <x:c r="B252" t="n">
        <x:v>2000</x:v>
      </x:c>
      <x:c r="C252" t="n">
        <x:v>20260707</x:v>
      </x:c>
      <x:c r="D252" t="str">
        <x:v>R1</x:v>
      </x:c>
      <x:c r="E252" t="str">
        <x:v>0–30</x:v>
      </x:c>
      <x:c r="F252" s="121" t="n">
        <x:v>0.625</x:v>
      </x:c>
      <x:c r="G252" s="121" t="n">
        <x:v>12</x:v>
      </x:c>
      <x:c r="H252" s="121" t="n">
        <x:v>16</x:v>
      </x:c>
      <x:c r="I252" s="121" t="n">
        <x:v>15.1</x:v>
      </x:c>
      <x:c r="J252" s="121" t="n">
        <x:v>74.45</x:v>
      </x:c>
      <x:c r="K252" s="121" t="n">
        <x:v>15.1</x:v>
      </x:c>
      <x:c r="L252" s="121" t="n">
        <x:v>9.25</x:v>
      </x:c>
      <x:c r="M252" s="121" t="n">
        <x:v>0.4599999999999991</x:v>
      </x:c>
      <x:c r="N252" s="121" t="n">
        <x:v>-0.4899999999999949</x:v>
      </x:c>
      <x:c r="O252" s="121" t="n">
        <x:v>0.4599999999999991</x:v>
      </x:c>
      <x:c r="P252" s="121" t="n">
        <x:v>-0.0600000000000005</x:v>
      </x:c>
      <x:c r="Q252" s="121" t="n">
        <x:v>0.4599999999999991</x:v>
      </x:c>
    </x:row>
    <x:row r="253">
      <x:c r="A253" t="n">
        <x:v>10000</x:v>
      </x:c>
      <x:c r="B253" t="n">
        <x:v>2000</x:v>
      </x:c>
      <x:c r="C253" t="n">
        <x:v>20260707</x:v>
      </x:c>
      <x:c r="D253" t="str">
        <x:v>R1</x:v>
      </x:c>
      <x:c r="E253" t="str">
        <x:v>0–30</x:v>
      </x:c>
      <x:c r="F253" s="121" t="n">
        <x:v>0.625</x:v>
      </x:c>
      <x:c r="G253" s="121" t="n">
        <x:v>12</x:v>
      </x:c>
      <x:c r="H253" s="121" t="n">
        <x:v>32</x:v>
      </x:c>
      <x:c r="I253" s="121" t="n">
        <x:v>5.4</x:v>
      </x:c>
      <x:c r="J253" s="121" t="n">
        <x:v>74.45</x:v>
      </x:c>
      <x:c r="K253" s="121" t="n">
        <x:v>5.4</x:v>
      </x:c>
      <x:c r="L253" s="121" t="n">
        <x:v>9.25</x:v>
      </x:c>
      <x:c r="M253" s="121" t="n">
        <x:v>0.10000000000000053</x:v>
      </x:c>
      <x:c r="N253" s="121" t="n">
        <x:v>-0.4899999999999949</x:v>
      </x:c>
      <x:c r="O253" s="121" t="n">
        <x:v>0.10000000000000053</x:v>
      </x:c>
      <x:c r="P253" s="121" t="n">
        <x:v>-0.0600000000000005</x:v>
      </x:c>
      <x:c r="Q253" s="121" t="n">
        <x:v>0.10000000000000053</x:v>
      </x:c>
    </x:row>
    <x:row r="254">
      <x:c r="A254" t="n">
        <x:v>10000</x:v>
      </x:c>
      <x:c r="B254" t="n">
        <x:v>2000</x:v>
      </x:c>
      <x:c r="C254" t="n">
        <x:v>20260707</x:v>
      </x:c>
      <x:c r="D254" t="str">
        <x:v>R1</x:v>
      </x:c>
      <x:c r="E254" t="str">
        <x:v>0–30</x:v>
      </x:c>
      <x:c r="F254" s="121" t="n">
        <x:v>0.625</x:v>
      </x:c>
      <x:c r="G254" s="121" t="n">
        <x:v>12</x:v>
      </x:c>
      <x:c r="H254" s="121" t="n">
        <x:v>64</x:v>
      </x:c>
      <x:c r="I254" s="121" t="n">
        <x:v>1.7999999999999998</x:v>
      </x:c>
      <x:c r="J254" s="121" t="n">
        <x:v>74.45</x:v>
      </x:c>
      <x:c r="K254" s="121" t="n">
        <x:v>1.7999999999999998</x:v>
      </x:c>
      <x:c r="L254" s="121" t="n">
        <x:v>9.25</x:v>
      </x:c>
      <x:c r="M254" s="121" t="n">
        <x:v>-0.23500000000000032</x:v>
      </x:c>
      <x:c r="N254" s="121" t="n">
        <x:v>-0.4899999999999949</x:v>
      </x:c>
      <x:c r="O254" s="121" t="n">
        <x:v>-0.23500000000000032</x:v>
      </x:c>
      <x:c r="P254" s="121" t="n">
        <x:v>-0.0600000000000005</x:v>
      </x:c>
      <x:c r="Q254" s="121" t="n">
        <x:v>0.23500000000000032</x:v>
      </x:c>
    </x:row>
    <x:row r="255">
      <x:c r="A255" t="n">
        <x:v>10000</x:v>
      </x:c>
      <x:c r="B255" t="n">
        <x:v>2000</x:v>
      </x:c>
      <x:c r="C255" t="n">
        <x:v>20260707</x:v>
      </x:c>
      <x:c r="D255" t="str">
        <x:v>R2</x:v>
      </x:c>
      <x:c r="E255" t="str">
        <x:v>0–30</x:v>
      </x:c>
      <x:c r="F255" s="121" t="n">
        <x:v>0.625</x:v>
      </x:c>
      <x:c r="G255" s="121" t="n">
        <x:v>8</x:v>
      </x:c>
      <x:c r="H255" s="121" t="n">
        <x:v>0.0625</x:v>
      </x:c>
      <x:c r="I255" s="121" t="n">
        <x:v>100</x:v>
      </x:c>
      <x:c r="J255" s="121" t="n">
        <x:v>87.1</x:v>
      </x:c>
      <x:c r="K255" s="121" t="n">
        <x:v>87.1</x:v>
      </x:c>
      <x:c r="L255" s="121" t="n">
        <x:v>17.150000000000002</x:v>
      </x:c>
      <x:c r="M255" s="121" t="n">
        <x:v>0</x:v>
      </x:c>
      <x:c r="N255" s="121" t="n">
        <x:v>-0.3299999999999983</x:v>
      </x:c>
      <x:c r="O255" s="121" t="n">
        <x:v>-0.3299999999999983</x:v>
      </x:c>
      <x:c r="P255" s="121" t="n">
        <x:v>0.9299999999999997</x:v>
      </x:c>
      <x:c r="Q255" s="121" t="n">
        <x:v>0.3299999999999983</x:v>
      </x:c>
    </x:row>
    <x:row r="256">
      <x:c r="A256" t="n">
        <x:v>10000</x:v>
      </x:c>
      <x:c r="B256" t="n">
        <x:v>2000</x:v>
      </x:c>
      <x:c r="C256" t="n">
        <x:v>20260707</x:v>
      </x:c>
      <x:c r="D256" t="str">
        <x:v>R2</x:v>
      </x:c>
      <x:c r="E256" t="str">
        <x:v>0–30</x:v>
      </x:c>
      <x:c r="F256" s="121" t="n">
        <x:v>0.625</x:v>
      </x:c>
      <x:c r="G256" s="121" t="n">
        <x:v>8</x:v>
      </x:c>
      <x:c r="H256" s="121" t="n">
        <x:v>0.125</x:v>
      </x:c>
      <x:c r="I256" s="121" t="n">
        <x:v>100</x:v>
      </x:c>
      <x:c r="J256" s="121" t="n">
        <x:v>87.1</x:v>
      </x:c>
      <x:c r="K256" s="121" t="n">
        <x:v>87.1</x:v>
      </x:c>
      <x:c r="L256" s="121" t="n">
        <x:v>17.150000000000002</x:v>
      </x:c>
      <x:c r="M256" s="121" t="n">
        <x:v>0</x:v>
      </x:c>
      <x:c r="N256" s="121" t="n">
        <x:v>-0.3299999999999983</x:v>
      </x:c>
      <x:c r="O256" s="121" t="n">
        <x:v>-0.3299999999999983</x:v>
      </x:c>
      <x:c r="P256" s="121" t="n">
        <x:v>0.9299999999999997</x:v>
      </x:c>
      <x:c r="Q256" s="121" t="n">
        <x:v>0.3299999999999983</x:v>
      </x:c>
    </x:row>
    <x:row r="257">
      <x:c r="A257" t="n">
        <x:v>10000</x:v>
      </x:c>
      <x:c r="B257" t="n">
        <x:v>2000</x:v>
      </x:c>
      <x:c r="C257" t="n">
        <x:v>20260707</x:v>
      </x:c>
      <x:c r="D257" t="str">
        <x:v>R2</x:v>
      </x:c>
      <x:c r="E257" t="str">
        <x:v>0–30</x:v>
      </x:c>
      <x:c r="F257" s="121" t="n">
        <x:v>0.625</x:v>
      </x:c>
      <x:c r="G257" s="121" t="n">
        <x:v>8</x:v>
      </x:c>
      <x:c r="H257" s="121" t="n">
        <x:v>0.25</x:v>
      </x:c>
      <x:c r="I257" s="121" t="n">
        <x:v>100</x:v>
      </x:c>
      <x:c r="J257" s="121" t="n">
        <x:v>87.1</x:v>
      </x:c>
      <x:c r="K257" s="121" t="n">
        <x:v>87.1</x:v>
      </x:c>
      <x:c r="L257" s="121" t="n">
        <x:v>17.150000000000002</x:v>
      </x:c>
      <x:c r="M257" s="121" t="n">
        <x:v>0</x:v>
      </x:c>
      <x:c r="N257" s="121" t="n">
        <x:v>-0.3299999999999983</x:v>
      </x:c>
      <x:c r="O257" s="121" t="n">
        <x:v>-0.3299999999999983</x:v>
      </x:c>
      <x:c r="P257" s="121" t="n">
        <x:v>0.9299999999999997</x:v>
      </x:c>
      <x:c r="Q257" s="121" t="n">
        <x:v>0.3299999999999983</x:v>
      </x:c>
    </x:row>
    <x:row r="258">
      <x:c r="A258" t="n">
        <x:v>10000</x:v>
      </x:c>
      <x:c r="B258" t="n">
        <x:v>2000</x:v>
      </x:c>
      <x:c r="C258" t="n">
        <x:v>20260707</x:v>
      </x:c>
      <x:c r="D258" t="str">
        <x:v>R2</x:v>
      </x:c>
      <x:c r="E258" t="str">
        <x:v>0–30</x:v>
      </x:c>
      <x:c r="F258" s="121" t="n">
        <x:v>0.625</x:v>
      </x:c>
      <x:c r="G258" s="121" t="n">
        <x:v>8</x:v>
      </x:c>
      <x:c r="H258" s="121" t="n">
        <x:v>0.5</x:v>
      </x:c>
      <x:c r="I258" s="121" t="n">
        <x:v>100</x:v>
      </x:c>
      <x:c r="J258" s="121" t="n">
        <x:v>87.1</x:v>
      </x:c>
      <x:c r="K258" s="121" t="n">
        <x:v>87.1</x:v>
      </x:c>
      <x:c r="L258" s="121" t="n">
        <x:v>17.150000000000002</x:v>
      </x:c>
      <x:c r="M258" s="121" t="n">
        <x:v>0</x:v>
      </x:c>
      <x:c r="N258" s="121" t="n">
        <x:v>-0.3299999999999983</x:v>
      </x:c>
      <x:c r="O258" s="121" t="n">
        <x:v>-0.3299999999999983</x:v>
      </x:c>
      <x:c r="P258" s="121" t="n">
        <x:v>0.9299999999999997</x:v>
      </x:c>
      <x:c r="Q258" s="121" t="n">
        <x:v>0.3299999999999983</x:v>
      </x:c>
    </x:row>
    <x:row r="259">
      <x:c r="A259" t="n">
        <x:v>10000</x:v>
      </x:c>
      <x:c r="B259" t="n">
        <x:v>2000</x:v>
      </x:c>
      <x:c r="C259" t="n">
        <x:v>20260707</x:v>
      </x:c>
      <x:c r="D259" t="str">
        <x:v>R2</x:v>
      </x:c>
      <x:c r="E259" t="str">
        <x:v>0–30</x:v>
      </x:c>
      <x:c r="F259" s="121" t="n">
        <x:v>0.625</x:v>
      </x:c>
      <x:c r="G259" s="121" t="n">
        <x:v>8</x:v>
      </x:c>
      <x:c r="H259" s="121" t="n">
        <x:v>1</x:v>
      </x:c>
      <x:c r="I259" s="121" t="n">
        <x:v>99.95</x:v>
      </x:c>
      <x:c r="J259" s="121" t="n">
        <x:v>87.1</x:v>
      </x:c>
      <x:c r="K259" s="121" t="n">
        <x:v>87.1</x:v>
      </x:c>
      <x:c r="L259" s="121" t="n">
        <x:v>17.150000000000002</x:v>
      </x:c>
      <x:c r="M259" s="121" t="n">
        <x:v>0.07000000000000739</x:v>
      </x:c>
      <x:c r="N259" s="121" t="n">
        <x:v>-0.3299999999999983</x:v>
      </x:c>
      <x:c r="O259" s="121" t="n">
        <x:v>-0.3299999999999983</x:v>
      </x:c>
      <x:c r="P259" s="121" t="n">
        <x:v>0.9299999999999997</x:v>
      </x:c>
      <x:c r="Q259" s="121" t="n">
        <x:v>0.3299999999999983</x:v>
      </x:c>
    </x:row>
    <x:row r="260">
      <x:c r="A260" t="n">
        <x:v>10000</x:v>
      </x:c>
      <x:c r="B260" t="n">
        <x:v>2000</x:v>
      </x:c>
      <x:c r="C260" t="n">
        <x:v>20260707</x:v>
      </x:c>
      <x:c r="D260" t="str">
        <x:v>R2</x:v>
      </x:c>
      <x:c r="E260" t="str">
        <x:v>0–30</x:v>
      </x:c>
      <x:c r="F260" s="121" t="n">
        <x:v>0.625</x:v>
      </x:c>
      <x:c r="G260" s="121" t="n">
        <x:v>8</x:v>
      </x:c>
      <x:c r="H260" s="121" t="n">
        <x:v>2</x:v>
      </x:c>
      <x:c r="I260" s="121" t="n">
        <x:v>98</x:v>
      </x:c>
      <x:c r="J260" s="121" t="n">
        <x:v>87.1</x:v>
      </x:c>
      <x:c r="K260" s="121" t="n">
        <x:v>87.1</x:v>
      </x:c>
      <x:c r="L260" s="121" t="n">
        <x:v>17.150000000000002</x:v>
      </x:c>
      <x:c r="M260" s="121" t="n">
        <x:v>0.3649999999999949</x:v>
      </x:c>
      <x:c r="N260" s="121" t="n">
        <x:v>-0.3299999999999983</x:v>
      </x:c>
      <x:c r="O260" s="121" t="n">
        <x:v>-0.3299999999999983</x:v>
      </x:c>
      <x:c r="P260" s="121" t="n">
        <x:v>0.9299999999999997</x:v>
      </x:c>
      <x:c r="Q260" s="121" t="n">
        <x:v>0.3299999999999983</x:v>
      </x:c>
    </x:row>
    <x:row r="261">
      <x:c r="A261" t="n">
        <x:v>10000</x:v>
      </x:c>
      <x:c r="B261" t="n">
        <x:v>2000</x:v>
      </x:c>
      <x:c r="C261" t="n">
        <x:v>20260707</x:v>
      </x:c>
      <x:c r="D261" t="str">
        <x:v>R2</x:v>
      </x:c>
      <x:c r="E261" t="str">
        <x:v>0–30</x:v>
      </x:c>
      <x:c r="F261" s="121" t="n">
        <x:v>0.625</x:v>
      </x:c>
      <x:c r="G261" s="121" t="n">
        <x:v>8</x:v>
      </x:c>
      <x:c r="H261" s="121" t="n">
        <x:v>4</x:v>
      </x:c>
      <x:c r="I261" s="121" t="n">
        <x:v>84.25</x:v>
      </x:c>
      <x:c r="J261" s="121" t="n">
        <x:v>87.1</x:v>
      </x:c>
      <x:c r="K261" s="121" t="n">
        <x:v>82.45</x:v>
      </x:c>
      <x:c r="L261" s="121" t="n">
        <x:v>17.150000000000002</x:v>
      </x:c>
      <x:c r="M261" s="121" t="n">
        <x:v>-0.3299999999999983</x:v>
      </x:c>
      <x:c r="N261" s="121" t="n">
        <x:v>-0.3299999999999983</x:v>
      </x:c>
      <x:c r="O261" s="121" t="n">
        <x:v>-0.6949999999999932</x:v>
      </x:c>
      <x:c r="P261" s="121" t="n">
        <x:v>0.9299999999999997</x:v>
      </x:c>
      <x:c r="Q261" s="121" t="n">
        <x:v>0.6949999999999932</x:v>
      </x:c>
    </x:row>
    <x:row r="262">
      <x:c r="A262" t="n">
        <x:v>10000</x:v>
      </x:c>
      <x:c r="B262" t="n">
        <x:v>2000</x:v>
      </x:c>
      <x:c r="C262" t="n">
        <x:v>20260707</x:v>
      </x:c>
      <x:c r="D262" t="str">
        <x:v>R2</x:v>
      </x:c>
      <x:c r="E262" t="str">
        <x:v>0–30</x:v>
      </x:c>
      <x:c r="F262" s="121" t="n">
        <x:v>0.625</x:v>
      </x:c>
      <x:c r="G262" s="121" t="n">
        <x:v>8</x:v>
      </x:c>
      <x:c r="H262" s="121" t="n">
        <x:v>8</x:v>
      </x:c>
      <x:c r="I262" s="121" t="n">
        <x:v>53.65</x:v>
      </x:c>
      <x:c r="J262" s="121" t="n">
        <x:v>87.1</x:v>
      </x:c>
      <x:c r="K262" s="121" t="n">
        <x:v>53.65</x:v>
      </x:c>
      <x:c r="L262" s="121" t="n">
        <x:v>17.150000000000002</x:v>
      </x:c>
      <x:c r="M262" s="121" t="n">
        <x:v>-1.0550000000000068</x:v>
      </x:c>
      <x:c r="N262" s="121" t="n">
        <x:v>-0.3299999999999983</x:v>
      </x:c>
      <x:c r="O262" s="121" t="n">
        <x:v>-1.0550000000000068</x:v>
      </x:c>
      <x:c r="P262" s="121" t="n">
        <x:v>0.9299999999999997</x:v>
      </x:c>
      <x:c r="Q262" s="121" t="n">
        <x:v>1.0550000000000068</x:v>
      </x:c>
    </x:row>
    <x:row r="263">
      <x:c r="A263" t="n">
        <x:v>10000</x:v>
      </x:c>
      <x:c r="B263" t="n">
        <x:v>2000</x:v>
      </x:c>
      <x:c r="C263" t="n">
        <x:v>20260707</x:v>
      </x:c>
      <x:c r="D263" t="str">
        <x:v>R2</x:v>
      </x:c>
      <x:c r="E263" t="str">
        <x:v>0–30</x:v>
      </x:c>
      <x:c r="F263" s="121" t="n">
        <x:v>0.625</x:v>
      </x:c>
      <x:c r="G263" s="121" t="n">
        <x:v>8</x:v>
      </x:c>
      <x:c r="H263" s="121" t="n">
        <x:v>16</x:v>
      </x:c>
      <x:c r="I263" s="121" t="n">
        <x:v>24.75</x:v>
      </x:c>
      <x:c r="J263" s="121" t="n">
        <x:v>87.1</x:v>
      </x:c>
      <x:c r="K263" s="121" t="n">
        <x:v>24.75</x:v>
      </x:c>
      <x:c r="L263" s="121" t="n">
        <x:v>17.150000000000002</x:v>
      </x:c>
      <x:c r="M263" s="121" t="n">
        <x:v>-0.240000000000002</x:v>
      </x:c>
      <x:c r="N263" s="121" t="n">
        <x:v>-0.3299999999999983</x:v>
      </x:c>
      <x:c r="O263" s="121" t="n">
        <x:v>-0.240000000000002</x:v>
      </x:c>
      <x:c r="P263" s="121" t="n">
        <x:v>0.9299999999999997</x:v>
      </x:c>
      <x:c r="Q263" s="121" t="n">
        <x:v>0.240000000000002</x:v>
      </x:c>
    </x:row>
    <x:row r="264">
      <x:c r="A264" t="n">
        <x:v>10000</x:v>
      </x:c>
      <x:c r="B264" t="n">
        <x:v>2000</x:v>
      </x:c>
      <x:c r="C264" t="n">
        <x:v>20260707</x:v>
      </x:c>
      <x:c r="D264" t="str">
        <x:v>R2</x:v>
      </x:c>
      <x:c r="E264" t="str">
        <x:v>0–30</x:v>
      </x:c>
      <x:c r="F264" s="121" t="n">
        <x:v>0.625</x:v>
      </x:c>
      <x:c r="G264" s="121" t="n">
        <x:v>8</x:v>
      </x:c>
      <x:c r="H264" s="121" t="n">
        <x:v>32</x:v>
      </x:c>
      <x:c r="I264" s="121" t="n">
        <x:v>9.85</x:v>
      </x:c>
      <x:c r="J264" s="121" t="n">
        <x:v>87.1</x:v>
      </x:c>
      <x:c r="K264" s="121" t="n">
        <x:v>9.85</x:v>
      </x:c>
      <x:c r="L264" s="121" t="n">
        <x:v>17.150000000000002</x:v>
      </x:c>
      <x:c r="M264" s="121" t="n">
        <x:v>0.02499999999999858</x:v>
      </x:c>
      <x:c r="N264" s="121" t="n">
        <x:v>-0.3299999999999983</x:v>
      </x:c>
      <x:c r="O264" s="121" t="n">
        <x:v>0.02499999999999858</x:v>
      </x:c>
      <x:c r="P264" s="121" t="n">
        <x:v>0.9299999999999997</x:v>
      </x:c>
      <x:c r="Q264" s="121" t="n">
        <x:v>0.02499999999999858</x:v>
      </x:c>
    </x:row>
    <x:row r="265">
      <x:c r="A265" t="n">
        <x:v>10000</x:v>
      </x:c>
      <x:c r="B265" t="n">
        <x:v>2000</x:v>
      </x:c>
      <x:c r="C265" t="n">
        <x:v>20260707</x:v>
      </x:c>
      <x:c r="D265" t="str">
        <x:v>R2</x:v>
      </x:c>
      <x:c r="E265" t="str">
        <x:v>0–30</x:v>
      </x:c>
      <x:c r="F265" s="121" t="n">
        <x:v>0.625</x:v>
      </x:c>
      <x:c r="G265" s="121" t="n">
        <x:v>8</x:v>
      </x:c>
      <x:c r="H265" s="121" t="n">
        <x:v>64</x:v>
      </x:c>
      <x:c r="I265" s="121" t="n">
        <x:v>3.6999999999999997</x:v>
      </x:c>
      <x:c r="J265" s="121" t="n">
        <x:v>87.1</x:v>
      </x:c>
      <x:c r="K265" s="121" t="n">
        <x:v>3.6999999999999997</x:v>
      </x:c>
      <x:c r="L265" s="121" t="n">
        <x:v>17.150000000000002</x:v>
      </x:c>
      <x:c r="M265" s="121" t="n">
        <x:v>0.06999999999999984</x:v>
      </x:c>
      <x:c r="N265" s="121" t="n">
        <x:v>-0.3299999999999983</x:v>
      </x:c>
      <x:c r="O265" s="121" t="n">
        <x:v>0.06999999999999984</x:v>
      </x:c>
      <x:c r="P265" s="121" t="n">
        <x:v>0.9299999999999997</x:v>
      </x:c>
      <x:c r="Q265" s="121" t="n">
        <x:v>0.06999999999999984</x:v>
      </x:c>
    </x:row>
    <x:row r="266">
      <x:c r="A266" t="n">
        <x:v>10000</x:v>
      </x:c>
      <x:c r="B266" t="n">
        <x:v>2000</x:v>
      </x:c>
      <x:c r="C266" t="n">
        <x:v>20260707</x:v>
      </x:c>
      <x:c r="D266" t="str">
        <x:v>R5</x:v>
      </x:c>
      <x:c r="E266" t="str">
        <x:v>31–60</x:v>
      </x:c>
      <x:c r="F266" s="121" t="n">
        <x:v>0.625</x:v>
      </x:c>
      <x:c r="G266" s="121" t="n">
        <x:v>8</x:v>
      </x:c>
      <x:c r="H266" s="121" t="n">
        <x:v>0.0625</x:v>
      </x:c>
      <x:c r="I266" s="121" t="n">
        <x:v>100</x:v>
      </x:c>
      <x:c r="J266" s="121" t="n">
        <x:v>44.45</x:v>
      </x:c>
      <x:c r="K266" s="121" t="n">
        <x:v>44.45</x:v>
      </x:c>
      <x:c r="L266" s="121" t="n">
        <x:v>0.25</x:v>
      </x:c>
      <x:c r="M266" s="121" t="n">
        <x:v>0</x:v>
      </x:c>
      <x:c r="N266" s="121" t="n">
        <x:v>-0.5149999999999935</x:v>
      </x:c>
      <x:c r="O266" s="121" t="n">
        <x:v>-0.5149999999999935</x:v>
      </x:c>
      <x:c r="P266" s="121" t="n">
        <x:v>0.0050000000000000044</x:v>
      </x:c>
      <x:c r="Q266" s="121" t="n">
        <x:v>0.5149999999999935</x:v>
      </x:c>
    </x:row>
    <x:row r="267">
      <x:c r="A267" t="n">
        <x:v>10000</x:v>
      </x:c>
      <x:c r="B267" t="n">
        <x:v>2000</x:v>
      </x:c>
      <x:c r="C267" t="n">
        <x:v>20260707</x:v>
      </x:c>
      <x:c r="D267" t="str">
        <x:v>R5</x:v>
      </x:c>
      <x:c r="E267" t="str">
        <x:v>31–60</x:v>
      </x:c>
      <x:c r="F267" s="121" t="n">
        <x:v>0.625</x:v>
      </x:c>
      <x:c r="G267" s="121" t="n">
        <x:v>8</x:v>
      </x:c>
      <x:c r="H267" s="121" t="n">
        <x:v>0.125</x:v>
      </x:c>
      <x:c r="I267" s="121" t="n">
        <x:v>100</x:v>
      </x:c>
      <x:c r="J267" s="121" t="n">
        <x:v>44.45</x:v>
      </x:c>
      <x:c r="K267" s="121" t="n">
        <x:v>44.45</x:v>
      </x:c>
      <x:c r="L267" s="121" t="n">
        <x:v>0.25</x:v>
      </x:c>
      <x:c r="M267" s="121" t="n">
        <x:v>0</x:v>
      </x:c>
      <x:c r="N267" s="121" t="n">
        <x:v>-0.5149999999999935</x:v>
      </x:c>
      <x:c r="O267" s="121" t="n">
        <x:v>-0.5149999999999935</x:v>
      </x:c>
      <x:c r="P267" s="121" t="n">
        <x:v>0.0050000000000000044</x:v>
      </x:c>
      <x:c r="Q267" s="121" t="n">
        <x:v>0.5149999999999935</x:v>
      </x:c>
    </x:row>
    <x:row r="268">
      <x:c r="A268" t="n">
        <x:v>10000</x:v>
      </x:c>
      <x:c r="B268" t="n">
        <x:v>2000</x:v>
      </x:c>
      <x:c r="C268" t="n">
        <x:v>20260707</x:v>
      </x:c>
      <x:c r="D268" t="str">
        <x:v>R5</x:v>
      </x:c>
      <x:c r="E268" t="str">
        <x:v>31–60</x:v>
      </x:c>
      <x:c r="F268" s="121" t="n">
        <x:v>0.625</x:v>
      </x:c>
      <x:c r="G268" s="121" t="n">
        <x:v>8</x:v>
      </x:c>
      <x:c r="H268" s="121" t="n">
        <x:v>0.25</x:v>
      </x:c>
      <x:c r="I268" s="121" t="n">
        <x:v>100</x:v>
      </x:c>
      <x:c r="J268" s="121" t="n">
        <x:v>44.45</x:v>
      </x:c>
      <x:c r="K268" s="121" t="n">
        <x:v>44.45</x:v>
      </x:c>
      <x:c r="L268" s="121" t="n">
        <x:v>0.25</x:v>
      </x:c>
      <x:c r="M268" s="121" t="n">
        <x:v>0</x:v>
      </x:c>
      <x:c r="N268" s="121" t="n">
        <x:v>-0.5149999999999935</x:v>
      </x:c>
      <x:c r="O268" s="121" t="n">
        <x:v>-0.5149999999999935</x:v>
      </x:c>
      <x:c r="P268" s="121" t="n">
        <x:v>0.0050000000000000044</x:v>
      </x:c>
      <x:c r="Q268" s="121" t="n">
        <x:v>0.5149999999999935</x:v>
      </x:c>
    </x:row>
    <x:row r="269">
      <x:c r="A269" t="n">
        <x:v>10000</x:v>
      </x:c>
      <x:c r="B269" t="n">
        <x:v>2000</x:v>
      </x:c>
      <x:c r="C269" t="n">
        <x:v>20260707</x:v>
      </x:c>
      <x:c r="D269" t="str">
        <x:v>R5</x:v>
      </x:c>
      <x:c r="E269" t="str">
        <x:v>31–60</x:v>
      </x:c>
      <x:c r="F269" s="121" t="n">
        <x:v>0.625</x:v>
      </x:c>
      <x:c r="G269" s="121" t="n">
        <x:v>8</x:v>
      </x:c>
      <x:c r="H269" s="121" t="n">
        <x:v>0.5</x:v>
      </x:c>
      <x:c r="I269" s="121" t="n">
        <x:v>99.8</x:v>
      </x:c>
      <x:c r="J269" s="121" t="n">
        <x:v>44.45</x:v>
      </x:c>
      <x:c r="K269" s="121" t="n">
        <x:v>44.45</x:v>
      </x:c>
      <x:c r="L269" s="121" t="n">
        <x:v>0.25</x:v>
      </x:c>
      <x:c r="M269" s="121" t="n">
        <x:v>-0.13500000000000512</x:v>
      </x:c>
      <x:c r="N269" s="121" t="n">
        <x:v>-0.5149999999999935</x:v>
      </x:c>
      <x:c r="O269" s="121" t="n">
        <x:v>-0.5149999999999935</x:v>
      </x:c>
      <x:c r="P269" s="121" t="n">
        <x:v>0.0050000000000000044</x:v>
      </x:c>
      <x:c r="Q269" s="121" t="n">
        <x:v>0.5149999999999935</x:v>
      </x:c>
    </x:row>
    <x:row r="270">
      <x:c r="A270" t="n">
        <x:v>10000</x:v>
      </x:c>
      <x:c r="B270" t="n">
        <x:v>2000</x:v>
      </x:c>
      <x:c r="C270" t="n">
        <x:v>20260707</x:v>
      </x:c>
      <x:c r="D270" t="str">
        <x:v>R5</x:v>
      </x:c>
      <x:c r="E270" t="str">
        <x:v>31–60</x:v>
      </x:c>
      <x:c r="F270" s="121" t="n">
        <x:v>0.625</x:v>
      </x:c>
      <x:c r="G270" s="121" t="n">
        <x:v>8</x:v>
      </x:c>
      <x:c r="H270" s="121" t="n">
        <x:v>1</x:v>
      </x:c>
      <x:c r="I270" s="121" t="n">
        <x:v>97.8</x:v>
      </x:c>
      <x:c r="J270" s="121" t="n">
        <x:v>44.45</x:v>
      </x:c>
      <x:c r="K270" s="121" t="n">
        <x:v>44.45</x:v>
      </x:c>
      <x:c r="L270" s="121" t="n">
        <x:v>0.25</x:v>
      </x:c>
      <x:c r="M270" s="121" t="n">
        <x:v>-0.07500000000000284</x:v>
      </x:c>
      <x:c r="N270" s="121" t="n">
        <x:v>-0.5149999999999935</x:v>
      </x:c>
      <x:c r="O270" s="121" t="n">
        <x:v>-0.5149999999999935</x:v>
      </x:c>
      <x:c r="P270" s="121" t="n">
        <x:v>0.0050000000000000044</x:v>
      </x:c>
      <x:c r="Q270" s="121" t="n">
        <x:v>0.5149999999999935</x:v>
      </x:c>
    </x:row>
    <x:row r="271">
      <x:c r="A271" t="n">
        <x:v>10000</x:v>
      </x:c>
      <x:c r="B271" t="n">
        <x:v>2000</x:v>
      </x:c>
      <x:c r="C271" t="n">
        <x:v>20260707</x:v>
      </x:c>
      <x:c r="D271" t="str">
        <x:v>R5</x:v>
      </x:c>
      <x:c r="E271" t="str">
        <x:v>31–60</x:v>
      </x:c>
      <x:c r="F271" s="121" t="n">
        <x:v>0.625</x:v>
      </x:c>
      <x:c r="G271" s="121" t="n">
        <x:v>8</x:v>
      </x:c>
      <x:c r="H271" s="121" t="n">
        <x:v>2</x:v>
      </x:c>
      <x:c r="I271" s="121" t="n">
        <x:v>82.39999999999999</x:v>
      </x:c>
      <x:c r="J271" s="121" t="n">
        <x:v>44.45</x:v>
      </x:c>
      <x:c r="K271" s="121" t="n">
        <x:v>44.45</x:v>
      </x:c>
      <x:c r="L271" s="121" t="n">
        <x:v>0.25</x:v>
      </x:c>
      <x:c r="M271" s="121" t="n">
        <x:v>-0.3500000000000085</x:v>
      </x:c>
      <x:c r="N271" s="121" t="n">
        <x:v>-0.5149999999999935</x:v>
      </x:c>
      <x:c r="O271" s="121" t="n">
        <x:v>-0.5149999999999935</x:v>
      </x:c>
      <x:c r="P271" s="121" t="n">
        <x:v>0.0050000000000000044</x:v>
      </x:c>
      <x:c r="Q271" s="121" t="n">
        <x:v>0.5149999999999935</x:v>
      </x:c>
    </x:row>
    <x:row r="272">
      <x:c r="A272" t="n">
        <x:v>10000</x:v>
      </x:c>
      <x:c r="B272" t="n">
        <x:v>2000</x:v>
      </x:c>
      <x:c r="C272" t="n">
        <x:v>20260707</x:v>
      </x:c>
      <x:c r="D272" t="str">
        <x:v>R5</x:v>
      </x:c>
      <x:c r="E272" t="str">
        <x:v>31–60</x:v>
      </x:c>
      <x:c r="F272" s="121" t="n">
        <x:v>0.625</x:v>
      </x:c>
      <x:c r="G272" s="121" t="n">
        <x:v>8</x:v>
      </x:c>
      <x:c r="H272" s="121" t="n">
        <x:v>4</x:v>
      </x:c>
      <x:c r="I272" s="121" t="n">
        <x:v>43.6</x:v>
      </x:c>
      <x:c r="J272" s="121" t="n">
        <x:v>44.45</x:v>
      </x:c>
      <x:c r="K272" s="121" t="n">
        <x:v>38.95</x:v>
      </x:c>
      <x:c r="L272" s="121" t="n">
        <x:v>0.25</x:v>
      </x:c>
      <x:c r="M272" s="121" t="n">
        <x:v>-0.7449999999999974</x:v>
      </x:c>
      <x:c r="N272" s="121" t="n">
        <x:v>-0.5149999999999935</x:v>
      </x:c>
      <x:c r="O272" s="121" t="n">
        <x:v>-0.3299999999999983</x:v>
      </x:c>
      <x:c r="P272" s="121" t="n">
        <x:v>0.0050000000000000044</x:v>
      </x:c>
      <x:c r="Q272" s="121" t="n">
        <x:v>0.3299999999999983</x:v>
      </x:c>
    </x:row>
    <x:row r="273">
      <x:c r="A273" t="n">
        <x:v>10000</x:v>
      </x:c>
      <x:c r="B273" t="n">
        <x:v>2000</x:v>
      </x:c>
      <x:c r="C273" t="n">
        <x:v>20260707</x:v>
      </x:c>
      <x:c r="D273" t="str">
        <x:v>R5</x:v>
      </x:c>
      <x:c r="E273" t="str">
        <x:v>31–60</x:v>
      </x:c>
      <x:c r="F273" s="121" t="n">
        <x:v>0.625</x:v>
      </x:c>
      <x:c r="G273" s="121" t="n">
        <x:v>8</x:v>
      </x:c>
      <x:c r="H273" s="121" t="n">
        <x:v>8</x:v>
      </x:c>
      <x:c r="I273" s="121" t="n">
        <x:v>11.600000000000001</x:v>
      </x:c>
      <x:c r="J273" s="121" t="n">
        <x:v>44.45</x:v>
      </x:c>
      <x:c r="K273" s="121" t="n">
        <x:v>11.600000000000001</x:v>
      </x:c>
      <x:c r="L273" s="121" t="n">
        <x:v>0.25</x:v>
      </x:c>
      <x:c r="M273" s="121" t="n">
        <x:v>1.2800000000000011</x:v>
      </x:c>
      <x:c r="N273" s="121" t="n">
        <x:v>-0.5149999999999935</x:v>
      </x:c>
      <x:c r="O273" s="121" t="n">
        <x:v>1.2800000000000011</x:v>
      </x:c>
      <x:c r="P273" s="121" t="n">
        <x:v>0.0050000000000000044</x:v>
      </x:c>
      <x:c r="Q273" s="121" t="n">
        <x:v>1.2800000000000011</x:v>
      </x:c>
    </x:row>
    <x:row r="274">
      <x:c r="A274" t="n">
        <x:v>10000</x:v>
      </x:c>
      <x:c r="B274" t="n">
        <x:v>2000</x:v>
      </x:c>
      <x:c r="C274" t="n">
        <x:v>20260707</x:v>
      </x:c>
      <x:c r="D274" t="str">
        <x:v>R5</x:v>
      </x:c>
      <x:c r="E274" t="str">
        <x:v>31–60</x:v>
      </x:c>
      <x:c r="F274" s="121" t="n">
        <x:v>0.625</x:v>
      </x:c>
      <x:c r="G274" s="121" t="n">
        <x:v>8</x:v>
      </x:c>
      <x:c r="H274" s="121" t="n">
        <x:v>16</x:v>
      </x:c>
      <x:c r="I274" s="121" t="n">
        <x:v>1</x:v>
      </x:c>
      <x:c r="J274" s="121" t="n">
        <x:v>44.45</x:v>
      </x:c>
      <x:c r="K274" s="121" t="n">
        <x:v>1</x:v>
      </x:c>
      <x:c r="L274" s="121" t="n">
        <x:v>0.25</x:v>
      </x:c>
      <x:c r="M274" s="121" t="n">
        <x:v>-0.010000000000000009</x:v>
      </x:c>
      <x:c r="N274" s="121" t="n">
        <x:v>-0.5149999999999935</x:v>
      </x:c>
      <x:c r="O274" s="121" t="n">
        <x:v>-0.010000000000000009</x:v>
      </x:c>
      <x:c r="P274" s="121" t="n">
        <x:v>0.0050000000000000044</x:v>
      </x:c>
      <x:c r="Q274" s="121" t="n">
        <x:v>0.010000000000000009</x:v>
      </x:c>
    </x:row>
    <x:row r="275">
      <x:c r="A275" t="n">
        <x:v>10000</x:v>
      </x:c>
      <x:c r="B275" t="n">
        <x:v>2000</x:v>
      </x:c>
      <x:c r="C275" t="n">
        <x:v>20260707</x:v>
      </x:c>
      <x:c r="D275" t="str">
        <x:v>R5</x:v>
      </x:c>
      <x:c r="E275" t="str">
        <x:v>31–60</x:v>
      </x:c>
      <x:c r="F275" s="121" t="n">
        <x:v>0.625</x:v>
      </x:c>
      <x:c r="G275" s="121" t="n">
        <x:v>8</x:v>
      </x:c>
      <x:c r="H275" s="121" t="n">
        <x:v>32</x:v>
      </x:c>
      <x:c r="I275" s="121" t="n">
        <x:v>0</x:v>
      </x:c>
      <x:c r="J275" s="121" t="n">
        <x:v>44.45</x:v>
      </x:c>
      <x:c r="K275" s="121" t="n">
        <x:v>0</x:v>
      </x:c>
      <x:c r="L275" s="121" t="n">
        <x:v>0.25</x:v>
      </x:c>
      <x:c r="M275" s="121" t="n">
        <x:v>-0.03</x:v>
      </x:c>
      <x:c r="N275" s="121" t="n">
        <x:v>-0.5149999999999935</x:v>
      </x:c>
      <x:c r="O275" s="121" t="n">
        <x:v>-0.03</x:v>
      </x:c>
      <x:c r="P275" s="121" t="n">
        <x:v>0.0050000000000000044</x:v>
      </x:c>
      <x:c r="Q275" s="121" t="n">
        <x:v>0.03</x:v>
      </x:c>
    </x:row>
    <x:row r="276">
      <x:c r="A276" t="n">
        <x:v>10000</x:v>
      </x:c>
      <x:c r="B276" t="n">
        <x:v>2000</x:v>
      </x:c>
      <x:c r="C276" t="n">
        <x:v>20260707</x:v>
      </x:c>
      <x:c r="D276" t="str">
        <x:v>R5</x:v>
      </x:c>
      <x:c r="E276" t="str">
        <x:v>31–60</x:v>
      </x:c>
      <x:c r="F276" s="121" t="n">
        <x:v>0.625</x:v>
      </x:c>
      <x:c r="G276" s="121" t="n">
        <x:v>8</x:v>
      </x:c>
      <x:c r="H276" s="121" t="n">
        <x:v>64</x:v>
      </x:c>
      <x:c r="I276" s="121" t="n">
        <x:v>0</x:v>
      </x:c>
      <x:c r="J276" s="121" t="n">
        <x:v>44.45</x:v>
      </x:c>
      <x:c r="K276" s="121" t="n">
        <x:v>0</x:v>
      </x:c>
      <x:c r="L276" s="121" t="n">
        <x:v>0.25</x:v>
      </x:c>
      <x:c r="M276" s="121" t="n">
        <x:v>0</x:v>
      </x:c>
      <x:c r="N276" s="121" t="n">
        <x:v>-0.5149999999999935</x:v>
      </x:c>
      <x:c r="O276" s="121" t="n">
        <x:v>0</x:v>
      </x:c>
      <x:c r="P276" s="121" t="n">
        <x:v>0.0050000000000000044</x:v>
      </x:c>
      <x:c r="Q276" s="121" t="n">
        <x:v>0</x:v>
      </x:c>
    </x:row>
    <x:row r="277">
      <x:c r="A277" t="n">
        <x:v>10000</x:v>
      </x:c>
      <x:c r="B277" t="n">
        <x:v>2000</x:v>
      </x:c>
      <x:c r="C277" t="n">
        <x:v>20260707</x:v>
      </x:c>
      <x:c r="D277" t="str">
        <x:v>R6</x:v>
      </x:c>
      <x:c r="E277" t="str">
        <x:v>31–60</x:v>
      </x:c>
      <x:c r="F277" s="121" t="n">
        <x:v>1.25</x:v>
      </x:c>
      <x:c r="G277" s="121" t="n">
        <x:v>12</x:v>
      </x:c>
      <x:c r="H277" s="121" t="n">
        <x:v>0.0625</x:v>
      </x:c>
      <x:c r="I277" s="121" t="n">
        <x:v>100</x:v>
      </x:c>
      <x:c r="J277" s="121" t="n">
        <x:v>60</x:v>
      </x:c>
      <x:c r="K277" s="121" t="n">
        <x:v>60</x:v>
      </x:c>
      <x:c r="L277" s="121" t="n">
        <x:v>0.8999999999999999</x:v>
      </x:c>
      <x:c r="M277" s="121" t="n">
        <x:v>0</x:v>
      </x:c>
      <x:c r="N277" s="121" t="n">
        <x:v>-1.0349999999999966</x:v>
      </x:c>
      <x:c r="O277" s="121" t="n">
        <x:v>-1.0349999999999966</x:v>
      </x:c>
      <x:c r="P277" s="121" t="n">
        <x:v>0.009999999999999898</x:v>
      </x:c>
      <x:c r="Q277" s="121" t="n">
        <x:v>1.0349999999999966</x:v>
      </x:c>
    </x:row>
    <x:row r="278">
      <x:c r="A278" t="n">
        <x:v>10000</x:v>
      </x:c>
      <x:c r="B278" t="n">
        <x:v>2000</x:v>
      </x:c>
      <x:c r="C278" t="n">
        <x:v>20260707</x:v>
      </x:c>
      <x:c r="D278" t="str">
        <x:v>R6</x:v>
      </x:c>
      <x:c r="E278" t="str">
        <x:v>31–60</x:v>
      </x:c>
      <x:c r="F278" s="121" t="n">
        <x:v>1.25</x:v>
      </x:c>
      <x:c r="G278" s="121" t="n">
        <x:v>12</x:v>
      </x:c>
      <x:c r="H278" s="121" t="n">
        <x:v>0.125</x:v>
      </x:c>
      <x:c r="I278" s="121" t="n">
        <x:v>100</x:v>
      </x:c>
      <x:c r="J278" s="121" t="n">
        <x:v>60</x:v>
      </x:c>
      <x:c r="K278" s="121" t="n">
        <x:v>60</x:v>
      </x:c>
      <x:c r="L278" s="121" t="n">
        <x:v>0.8999999999999999</x:v>
      </x:c>
      <x:c r="M278" s="121" t="n">
        <x:v>0</x:v>
      </x:c>
      <x:c r="N278" s="121" t="n">
        <x:v>-1.0349999999999966</x:v>
      </x:c>
      <x:c r="O278" s="121" t="n">
        <x:v>-1.0349999999999966</x:v>
      </x:c>
      <x:c r="P278" s="121" t="n">
        <x:v>0.009999999999999898</x:v>
      </x:c>
      <x:c r="Q278" s="121" t="n">
        <x:v>1.0349999999999966</x:v>
      </x:c>
    </x:row>
    <x:row r="279">
      <x:c r="A279" t="n">
        <x:v>10000</x:v>
      </x:c>
      <x:c r="B279" t="n">
        <x:v>2000</x:v>
      </x:c>
      <x:c r="C279" t="n">
        <x:v>20260707</x:v>
      </x:c>
      <x:c r="D279" t="str">
        <x:v>R6</x:v>
      </x:c>
      <x:c r="E279" t="str">
        <x:v>31–60</x:v>
      </x:c>
      <x:c r="F279" s="121" t="n">
        <x:v>1.25</x:v>
      </x:c>
      <x:c r="G279" s="121" t="n">
        <x:v>12</x:v>
      </x:c>
      <x:c r="H279" s="121" t="n">
        <x:v>0.25</x:v>
      </x:c>
      <x:c r="I279" s="121" t="n">
        <x:v>100</x:v>
      </x:c>
      <x:c r="J279" s="121" t="n">
        <x:v>60</x:v>
      </x:c>
      <x:c r="K279" s="121" t="n">
        <x:v>60</x:v>
      </x:c>
      <x:c r="L279" s="121" t="n">
        <x:v>0.8999999999999999</x:v>
      </x:c>
      <x:c r="M279" s="121" t="n">
        <x:v>0</x:v>
      </x:c>
      <x:c r="N279" s="121" t="n">
        <x:v>-1.0349999999999966</x:v>
      </x:c>
      <x:c r="O279" s="121" t="n">
        <x:v>-1.0349999999999966</x:v>
      </x:c>
      <x:c r="P279" s="121" t="n">
        <x:v>0.009999999999999898</x:v>
      </x:c>
      <x:c r="Q279" s="121" t="n">
        <x:v>1.0349999999999966</x:v>
      </x:c>
    </x:row>
    <x:row r="280">
      <x:c r="A280" t="n">
        <x:v>10000</x:v>
      </x:c>
      <x:c r="B280" t="n">
        <x:v>2000</x:v>
      </x:c>
      <x:c r="C280" t="n">
        <x:v>20260707</x:v>
      </x:c>
      <x:c r="D280" t="str">
        <x:v>R6</x:v>
      </x:c>
      <x:c r="E280" t="str">
        <x:v>31–60</x:v>
      </x:c>
      <x:c r="F280" s="121" t="n">
        <x:v>1.25</x:v>
      </x:c>
      <x:c r="G280" s="121" t="n">
        <x:v>12</x:v>
      </x:c>
      <x:c r="H280" s="121" t="n">
        <x:v>0.5</x:v>
      </x:c>
      <x:c r="I280" s="121" t="n">
        <x:v>99.95</x:v>
      </x:c>
      <x:c r="J280" s="121" t="n">
        <x:v>60</x:v>
      </x:c>
      <x:c r="K280" s="121" t="n">
        <x:v>60</x:v>
      </x:c>
      <x:c r="L280" s="121" t="n">
        <x:v>0.8999999999999999</x:v>
      </x:c>
      <x:c r="M280" s="121" t="n">
        <x:v>-0.045000000000001705</x:v>
      </x:c>
      <x:c r="N280" s="121" t="n">
        <x:v>-1.0349999999999966</x:v>
      </x:c>
      <x:c r="O280" s="121" t="n">
        <x:v>-1.0349999999999966</x:v>
      </x:c>
      <x:c r="P280" s="121" t="n">
        <x:v>0.009999999999999898</x:v>
      </x:c>
      <x:c r="Q280" s="121" t="n">
        <x:v>1.0349999999999966</x:v>
      </x:c>
    </x:row>
    <x:row r="281">
      <x:c r="A281" t="n">
        <x:v>10000</x:v>
      </x:c>
      <x:c r="B281" t="n">
        <x:v>2000</x:v>
      </x:c>
      <x:c r="C281" t="n">
        <x:v>20260707</x:v>
      </x:c>
      <x:c r="D281" t="str">
        <x:v>R6</x:v>
      </x:c>
      <x:c r="E281" t="str">
        <x:v>31–60</x:v>
      </x:c>
      <x:c r="F281" s="121" t="n">
        <x:v>1.25</x:v>
      </x:c>
      <x:c r="G281" s="121" t="n">
        <x:v>12</x:v>
      </x:c>
      <x:c r="H281" s="121" t="n">
        <x:v>1</x:v>
      </x:c>
      <x:c r="I281" s="121" t="n">
        <x:v>99.55000000000001</x:v>
      </x:c>
      <x:c r="J281" s="121" t="n">
        <x:v>60</x:v>
      </x:c>
      <x:c r="K281" s="121" t="n">
        <x:v>60</x:v>
      </x:c>
      <x:c r="L281" s="121" t="n">
        <x:v>0.8999999999999999</x:v>
      </x:c>
      <x:c r="M281" s="121" t="n">
        <x:v>0.1600000000000108</x:v>
      </x:c>
      <x:c r="N281" s="121" t="n">
        <x:v>-1.0349999999999966</x:v>
      </x:c>
      <x:c r="O281" s="121" t="n">
        <x:v>-1.0349999999999966</x:v>
      </x:c>
      <x:c r="P281" s="121" t="n">
        <x:v>0.009999999999999898</x:v>
      </x:c>
      <x:c r="Q281" s="121" t="n">
        <x:v>1.0349999999999966</x:v>
      </x:c>
    </x:row>
    <x:row r="282">
      <x:c r="A282" t="n">
        <x:v>10000</x:v>
      </x:c>
      <x:c r="B282" t="n">
        <x:v>2000</x:v>
      </x:c>
      <x:c r="C282" t="n">
        <x:v>20260707</x:v>
      </x:c>
      <x:c r="D282" t="str">
        <x:v>R6</x:v>
      </x:c>
      <x:c r="E282" t="str">
        <x:v>31–60</x:v>
      </x:c>
      <x:c r="F282" s="121" t="n">
        <x:v>1.25</x:v>
      </x:c>
      <x:c r="G282" s="121" t="n">
        <x:v>12</x:v>
      </x:c>
      <x:c r="H282" s="121" t="n">
        <x:v>2</x:v>
      </x:c>
      <x:c r="I282" s="121" t="n">
        <x:v>91.25</x:v>
      </x:c>
      <x:c r="J282" s="121" t="n">
        <x:v>60</x:v>
      </x:c>
      <x:c r="K282" s="121" t="n">
        <x:v>60</x:v>
      </x:c>
      <x:c r="L282" s="121" t="n">
        <x:v>0.8999999999999999</x:v>
      </x:c>
      <x:c r="M282" s="121" t="n">
        <x:v>-0.5700000000000074</x:v>
      </x:c>
      <x:c r="N282" s="121" t="n">
        <x:v>-1.0349999999999966</x:v>
      </x:c>
      <x:c r="O282" s="121" t="n">
        <x:v>-1.0349999999999966</x:v>
      </x:c>
      <x:c r="P282" s="121" t="n">
        <x:v>0.009999999999999898</x:v>
      </x:c>
      <x:c r="Q282" s="121" t="n">
        <x:v>1.0349999999999966</x:v>
      </x:c>
    </x:row>
    <x:row r="283">
      <x:c r="A283" t="n">
        <x:v>10000</x:v>
      </x:c>
      <x:c r="B283" t="n">
        <x:v>2000</x:v>
      </x:c>
      <x:c r="C283" t="n">
        <x:v>20260707</x:v>
      </x:c>
      <x:c r="D283" t="str">
        <x:v>R6</x:v>
      </x:c>
      <x:c r="E283" t="str">
        <x:v>31–60</x:v>
      </x:c>
      <x:c r="F283" s="121" t="n">
        <x:v>1.25</x:v>
      </x:c>
      <x:c r="G283" s="121" t="n">
        <x:v>12</x:v>
      </x:c>
      <x:c r="H283" s="121" t="n">
        <x:v>4</x:v>
      </x:c>
      <x:c r="I283" s="121" t="n">
        <x:v>61.95</x:v>
      </x:c>
      <x:c r="J283" s="121" t="n">
        <x:v>60</x:v>
      </x:c>
      <x:c r="K283" s="121" t="n">
        <x:v>56.05</x:v>
      </x:c>
      <x:c r="L283" s="121" t="n">
        <x:v>0.8999999999999999</x:v>
      </x:c>
      <x:c r="M283" s="121" t="n">
        <x:v>-0.1599999999999966</x:v>
      </x:c>
      <x:c r="N283" s="121" t="n">
        <x:v>-1.0349999999999966</x:v>
      </x:c>
      <x:c r="O283" s="121" t="n">
        <x:v>-0.3399999999999963</x:v>
      </x:c>
      <x:c r="P283" s="121" t="n">
        <x:v>0.009999999999999898</x:v>
      </x:c>
      <x:c r="Q283" s="121" t="n">
        <x:v>0.3399999999999963</x:v>
      </x:c>
    </x:row>
    <x:row r="284">
      <x:c r="A284" t="n">
        <x:v>10000</x:v>
      </x:c>
      <x:c r="B284" t="n">
        <x:v>2000</x:v>
      </x:c>
      <x:c r="C284" t="n">
        <x:v>20260707</x:v>
      </x:c>
      <x:c r="D284" t="str">
        <x:v>R6</x:v>
      </x:c>
      <x:c r="E284" t="str">
        <x:v>31–60</x:v>
      </x:c>
      <x:c r="F284" s="121" t="n">
        <x:v>1.25</x:v>
      </x:c>
      <x:c r="G284" s="121" t="n">
        <x:v>12</x:v>
      </x:c>
      <x:c r="H284" s="121" t="n">
        <x:v>8</x:v>
      </x:c>
      <x:c r="I284" s="121" t="n">
        <x:v>23.35</x:v>
      </x:c>
      <x:c r="J284" s="121" t="n">
        <x:v>60</x:v>
      </x:c>
      <x:c r="K284" s="121" t="n">
        <x:v>23.35</x:v>
      </x:c>
      <x:c r="L284" s="121" t="n">
        <x:v>0.8999999999999999</x:v>
      </x:c>
      <x:c r="M284" s="121" t="n">
        <x:v>1.5</x:v>
      </x:c>
      <x:c r="N284" s="121" t="n">
        <x:v>-1.0349999999999966</x:v>
      </x:c>
      <x:c r="O284" s="121" t="n">
        <x:v>1.5100000000000016</x:v>
      </x:c>
      <x:c r="P284" s="121" t="n">
        <x:v>0.009999999999999898</x:v>
      </x:c>
      <x:c r="Q284" s="121" t="n">
        <x:v>1.5100000000000016</x:v>
      </x:c>
    </x:row>
    <x:row r="285">
      <x:c r="A285" t="n">
        <x:v>10000</x:v>
      </x:c>
      <x:c r="B285" t="n">
        <x:v>2000</x:v>
      </x:c>
      <x:c r="C285" t="n">
        <x:v>20260707</x:v>
      </x:c>
      <x:c r="D285" t="str">
        <x:v>R6</x:v>
      </x:c>
      <x:c r="E285" t="str">
        <x:v>31–60</x:v>
      </x:c>
      <x:c r="F285" s="121" t="n">
        <x:v>1.25</x:v>
      </x:c>
      <x:c r="G285" s="121" t="n">
        <x:v>12</x:v>
      </x:c>
      <x:c r="H285" s="121" t="n">
        <x:v>16</x:v>
      </x:c>
      <x:c r="I285" s="121" t="n">
        <x:v>3.5000000000000004</x:v>
      </x:c>
      <x:c r="J285" s="121" t="n">
        <x:v>60</x:v>
      </x:c>
      <x:c r="K285" s="121" t="n">
        <x:v>3.5000000000000004</x:v>
      </x:c>
      <x:c r="L285" s="121" t="n">
        <x:v>0.8999999999999999</x:v>
      </x:c>
      <x:c r="M285" s="121" t="n">
        <x:v>0.5700000000000003</x:v>
      </x:c>
      <x:c r="N285" s="121" t="n">
        <x:v>-1.0349999999999966</x:v>
      </x:c>
      <x:c r="O285" s="121" t="n">
        <x:v>0.5700000000000003</x:v>
      </x:c>
      <x:c r="P285" s="121" t="n">
        <x:v>0.009999999999999898</x:v>
      </x:c>
      <x:c r="Q285" s="121" t="n">
        <x:v>0.5700000000000003</x:v>
      </x:c>
    </x:row>
    <x:row r="286">
      <x:c r="A286" t="n">
        <x:v>10000</x:v>
      </x:c>
      <x:c r="B286" t="n">
        <x:v>2000</x:v>
      </x:c>
      <x:c r="C286" t="n">
        <x:v>20260707</x:v>
      </x:c>
      <x:c r="D286" t="str">
        <x:v>R6</x:v>
      </x:c>
      <x:c r="E286" t="str">
        <x:v>31–60</x:v>
      </x:c>
      <x:c r="F286" s="121" t="n">
        <x:v>1.25</x:v>
      </x:c>
      <x:c r="G286" s="121" t="n">
        <x:v>12</x:v>
      </x:c>
      <x:c r="H286" s="121" t="n">
        <x:v>32</x:v>
      </x:c>
      <x:c r="I286" s="121" t="n">
        <x:v>0.15</x:v>
      </x:c>
      <x:c r="J286" s="121" t="n">
        <x:v>60</x:v>
      </x:c>
      <x:c r="K286" s="121" t="n">
        <x:v>0.15</x:v>
      </x:c>
      <x:c r="L286" s="121" t="n">
        <x:v>0.8999999999999999</x:v>
      </x:c>
      <x:c r="M286" s="121" t="n">
        <x:v>-0.015000000000000013</x:v>
      </x:c>
      <x:c r="N286" s="121" t="n">
        <x:v>-1.0349999999999966</x:v>
      </x:c>
      <x:c r="O286" s="121" t="n">
        <x:v>-0.015000000000000013</x:v>
      </x:c>
      <x:c r="P286" s="121" t="n">
        <x:v>0.009999999999999898</x:v>
      </x:c>
      <x:c r="Q286" s="121" t="n">
        <x:v>0.015000000000000013</x:v>
      </x:c>
    </x:row>
    <x:row r="287">
      <x:c r="A287" t="n">
        <x:v>10000</x:v>
      </x:c>
      <x:c r="B287" t="n">
        <x:v>2000</x:v>
      </x:c>
      <x:c r="C287" t="n">
        <x:v>20260707</x:v>
      </x:c>
      <x:c r="D287" t="str">
        <x:v>R6</x:v>
      </x:c>
      <x:c r="E287" t="str">
        <x:v>31–60</x:v>
      </x:c>
      <x:c r="F287" s="121" t="n">
        <x:v>1.25</x:v>
      </x:c>
      <x:c r="G287" s="121" t="n">
        <x:v>12</x:v>
      </x:c>
      <x:c r="H287" s="121" t="n">
        <x:v>64</x:v>
      </x:c>
      <x:c r="I287" s="121" t="n">
        <x:v>0</x:v>
      </x:c>
      <x:c r="J287" s="121" t="n">
        <x:v>60</x:v>
      </x:c>
      <x:c r="K287" s="121" t="n">
        <x:v>0</x:v>
      </x:c>
      <x:c r="L287" s="121" t="n">
        <x:v>0.8999999999999999</x:v>
      </x:c>
      <x:c r="M287" s="121" t="n">
        <x:v>0</x:v>
      </x:c>
      <x:c r="N287" s="121" t="n">
        <x:v>-1.0349999999999966</x:v>
      </x:c>
      <x:c r="O287" s="121" t="n">
        <x:v>0</x:v>
      </x:c>
      <x:c r="P287" s="121" t="n">
        <x:v>0.009999999999999898</x:v>
      </x:c>
      <x:c r="Q287" s="121" t="n">
        <x:v>0</x:v>
      </x:c>
    </x:row>
    <x:row r="288">
      <x:c r="A288" t="n">
        <x:v>10000</x:v>
      </x:c>
      <x:c r="B288" t="n">
        <x:v>2000</x:v>
      </x:c>
      <x:c r="C288" t="n">
        <x:v>20260707</x:v>
      </x:c>
      <x:c r="D288" t="str">
        <x:v>R7</x:v>
      </x:c>
      <x:c r="E288" t="str">
        <x:v>31–60</x:v>
      </x:c>
      <x:c r="F288" s="121" t="n">
        <x:v>1.25</x:v>
      </x:c>
      <x:c r="G288" s="121" t="n">
        <x:v>8</x:v>
      </x:c>
      <x:c r="H288" s="121" t="n">
        <x:v>0.0625</x:v>
      </x:c>
      <x:c r="I288" s="121" t="n">
        <x:v>100</x:v>
      </x:c>
      <x:c r="J288" s="121" t="n">
        <x:v>78.4</x:v>
      </x:c>
      <x:c r="K288" s="121" t="n">
        <x:v>78.4</x:v>
      </x:c>
      <x:c r="L288" s="121" t="n">
        <x:v>4.5</x:v>
      </x:c>
      <x:c r="M288" s="121" t="n">
        <x:v>0</x:v>
      </x:c>
      <x:c r="N288" s="121" t="n">
        <x:v>-2.0349999999999966</x:v>
      </x:c>
      <x:c r="O288" s="121" t="n">
        <x:v>-2.0349999999999966</x:v>
      </x:c>
      <x:c r="P288" s="121" t="n">
        <x:v>0.6649999999999996</x:v>
      </x:c>
      <x:c r="Q288" s="121" t="n">
        <x:v>2.0349999999999966</x:v>
      </x:c>
    </x:row>
    <x:row r="289">
      <x:c r="A289" t="n">
        <x:v>10000</x:v>
      </x:c>
      <x:c r="B289" t="n">
        <x:v>2000</x:v>
      </x:c>
      <x:c r="C289" t="n">
        <x:v>20260707</x:v>
      </x:c>
      <x:c r="D289" t="str">
        <x:v>R7</x:v>
      </x:c>
      <x:c r="E289" t="str">
        <x:v>31–60</x:v>
      </x:c>
      <x:c r="F289" s="121" t="n">
        <x:v>1.25</x:v>
      </x:c>
      <x:c r="G289" s="121" t="n">
        <x:v>8</x:v>
      </x:c>
      <x:c r="H289" s="121" t="n">
        <x:v>0.125</x:v>
      </x:c>
      <x:c r="I289" s="121" t="n">
        <x:v>100</x:v>
      </x:c>
      <x:c r="J289" s="121" t="n">
        <x:v>78.4</x:v>
      </x:c>
      <x:c r="K289" s="121" t="n">
        <x:v>78.4</x:v>
      </x:c>
      <x:c r="L289" s="121" t="n">
        <x:v>4.5</x:v>
      </x:c>
      <x:c r="M289" s="121" t="n">
        <x:v>0</x:v>
      </x:c>
      <x:c r="N289" s="121" t="n">
        <x:v>-2.0349999999999966</x:v>
      </x:c>
      <x:c r="O289" s="121" t="n">
        <x:v>-2.0349999999999966</x:v>
      </x:c>
      <x:c r="P289" s="121" t="n">
        <x:v>0.6649999999999996</x:v>
      </x:c>
      <x:c r="Q289" s="121" t="n">
        <x:v>2.0349999999999966</x:v>
      </x:c>
    </x:row>
    <x:row r="290">
      <x:c r="A290" t="n">
        <x:v>10000</x:v>
      </x:c>
      <x:c r="B290" t="n">
        <x:v>2000</x:v>
      </x:c>
      <x:c r="C290" t="n">
        <x:v>20260707</x:v>
      </x:c>
      <x:c r="D290" t="str">
        <x:v>R7</x:v>
      </x:c>
      <x:c r="E290" t="str">
        <x:v>31–60</x:v>
      </x:c>
      <x:c r="F290" s="121" t="n">
        <x:v>1.25</x:v>
      </x:c>
      <x:c r="G290" s="121" t="n">
        <x:v>8</x:v>
      </x:c>
      <x:c r="H290" s="121" t="n">
        <x:v>0.25</x:v>
      </x:c>
      <x:c r="I290" s="121" t="n">
        <x:v>100</x:v>
      </x:c>
      <x:c r="J290" s="121" t="n">
        <x:v>78.4</x:v>
      </x:c>
      <x:c r="K290" s="121" t="n">
        <x:v>78.4</x:v>
      </x:c>
      <x:c r="L290" s="121" t="n">
        <x:v>4.5</x:v>
      </x:c>
      <x:c r="M290" s="121" t="n">
        <x:v>0</x:v>
      </x:c>
      <x:c r="N290" s="121" t="n">
        <x:v>-2.0349999999999966</x:v>
      </x:c>
      <x:c r="O290" s="121" t="n">
        <x:v>-2.0349999999999966</x:v>
      </x:c>
      <x:c r="P290" s="121" t="n">
        <x:v>0.6649999999999996</x:v>
      </x:c>
      <x:c r="Q290" s="121" t="n">
        <x:v>2.0349999999999966</x:v>
      </x:c>
    </x:row>
    <x:row r="291">
      <x:c r="A291" t="n">
        <x:v>10000</x:v>
      </x:c>
      <x:c r="B291" t="n">
        <x:v>2000</x:v>
      </x:c>
      <x:c r="C291" t="n">
        <x:v>20260707</x:v>
      </x:c>
      <x:c r="D291" t="str">
        <x:v>R7</x:v>
      </x:c>
      <x:c r="E291" t="str">
        <x:v>31–60</x:v>
      </x:c>
      <x:c r="F291" s="121" t="n">
        <x:v>1.25</x:v>
      </x:c>
      <x:c r="G291" s="121" t="n">
        <x:v>8</x:v>
      </x:c>
      <x:c r="H291" s="121" t="n">
        <x:v>0.5</x:v>
      </x:c>
      <x:c r="I291" s="121" t="n">
        <x:v>100</x:v>
      </x:c>
      <x:c r="J291" s="121" t="n">
        <x:v>78.4</x:v>
      </x:c>
      <x:c r="K291" s="121" t="n">
        <x:v>78.4</x:v>
      </x:c>
      <x:c r="L291" s="121" t="n">
        <x:v>4.5</x:v>
      </x:c>
      <x:c r="M291" s="121" t="n">
        <x:v>0</x:v>
      </x:c>
      <x:c r="N291" s="121" t="n">
        <x:v>-2.0349999999999966</x:v>
      </x:c>
      <x:c r="O291" s="121" t="n">
        <x:v>-2.0349999999999966</x:v>
      </x:c>
      <x:c r="P291" s="121" t="n">
        <x:v>0.6649999999999996</x:v>
      </x:c>
      <x:c r="Q291" s="121" t="n">
        <x:v>2.0349999999999966</x:v>
      </x:c>
    </x:row>
    <x:row r="292">
      <x:c r="A292" t="n">
        <x:v>10000</x:v>
      </x:c>
      <x:c r="B292" t="n">
        <x:v>2000</x:v>
      </x:c>
      <x:c r="C292" t="n">
        <x:v>20260707</x:v>
      </x:c>
      <x:c r="D292" t="str">
        <x:v>R7</x:v>
      </x:c>
      <x:c r="E292" t="str">
        <x:v>31–60</x:v>
      </x:c>
      <x:c r="F292" s="121" t="n">
        <x:v>1.25</x:v>
      </x:c>
      <x:c r="G292" s="121" t="n">
        <x:v>8</x:v>
      </x:c>
      <x:c r="H292" s="121" t="n">
        <x:v>1</x:v>
      </x:c>
      <x:c r="I292" s="121" t="n">
        <x:v>99.8</x:v>
      </x:c>
      <x:c r="J292" s="121" t="n">
        <x:v>78.4</x:v>
      </x:c>
      <x:c r="K292" s="121" t="n">
        <x:v>78.4</x:v>
      </x:c>
      <x:c r="L292" s="121" t="n">
        <x:v>4.5</x:v>
      </x:c>
      <x:c r="M292" s="121" t="n">
        <x:v>-0.13500000000000512</x:v>
      </x:c>
      <x:c r="N292" s="121" t="n">
        <x:v>-2.0349999999999966</x:v>
      </x:c>
      <x:c r="O292" s="121" t="n">
        <x:v>-2.0349999999999966</x:v>
      </x:c>
      <x:c r="P292" s="121" t="n">
        <x:v>0.6649999999999996</x:v>
      </x:c>
      <x:c r="Q292" s="121" t="n">
        <x:v>2.0349999999999966</x:v>
      </x:c>
    </x:row>
    <x:row r="293">
      <x:c r="A293" t="n">
        <x:v>10000</x:v>
      </x:c>
      <x:c r="B293" t="n">
        <x:v>2000</x:v>
      </x:c>
      <x:c r="C293" t="n">
        <x:v>20260707</x:v>
      </x:c>
      <x:c r="D293" t="str">
        <x:v>R7</x:v>
      </x:c>
      <x:c r="E293" t="str">
        <x:v>31–60</x:v>
      </x:c>
      <x:c r="F293" s="121" t="n">
        <x:v>1.25</x:v>
      </x:c>
      <x:c r="G293" s="121" t="n">
        <x:v>8</x:v>
      </x:c>
      <x:c r="H293" s="121" t="n">
        <x:v>2</x:v>
      </x:c>
      <x:c r="I293" s="121" t="n">
        <x:v>97.8</x:v>
      </x:c>
      <x:c r="J293" s="121" t="n">
        <x:v>78.4</x:v>
      </x:c>
      <x:c r="K293" s="121" t="n">
        <x:v>78.4</x:v>
      </x:c>
      <x:c r="L293" s="121" t="n">
        <x:v>4.5</x:v>
      </x:c>
      <x:c r="M293" s="121" t="n">
        <x:v>-0.07500000000000284</x:v>
      </x:c>
      <x:c r="N293" s="121" t="n">
        <x:v>-2.0349999999999966</x:v>
      </x:c>
      <x:c r="O293" s="121" t="n">
        <x:v>-2.0349999999999966</x:v>
      </x:c>
      <x:c r="P293" s="121" t="n">
        <x:v>0.6649999999999996</x:v>
      </x:c>
      <x:c r="Q293" s="121" t="n">
        <x:v>2.0349999999999966</x:v>
      </x:c>
    </x:row>
    <x:row r="294">
      <x:c r="A294" t="n">
        <x:v>10000</x:v>
      </x:c>
      <x:c r="B294" t="n">
        <x:v>2000</x:v>
      </x:c>
      <x:c r="C294" t="n">
        <x:v>20260707</x:v>
      </x:c>
      <x:c r="D294" t="str">
        <x:v>R7</x:v>
      </x:c>
      <x:c r="E294" t="str">
        <x:v>31–60</x:v>
      </x:c>
      <x:c r="F294" s="121" t="n">
        <x:v>1.25</x:v>
      </x:c>
      <x:c r="G294" s="121" t="n">
        <x:v>8</x:v>
      </x:c>
      <x:c r="H294" s="121" t="n">
        <x:v>4</x:v>
      </x:c>
      <x:c r="I294" s="121" t="n">
        <x:v>82.39999999999999</x:v>
      </x:c>
      <x:c r="J294" s="121" t="n">
        <x:v>78.4</x:v>
      </x:c>
      <x:c r="K294" s="121" t="n">
        <x:v>76.6</x:v>
      </x:c>
      <x:c r="L294" s="121" t="n">
        <x:v>4.5</x:v>
      </x:c>
      <x:c r="M294" s="121" t="n">
        <x:v>-0.3500000000000085</x:v>
      </x:c>
      <x:c r="N294" s="121" t="n">
        <x:v>-2.0349999999999966</x:v>
      </x:c>
      <x:c r="O294" s="121" t="n">
        <x:v>-1.295000000000016</x:v>
      </x:c>
      <x:c r="P294" s="121" t="n">
        <x:v>0.6649999999999996</x:v>
      </x:c>
      <x:c r="Q294" s="121" t="n">
        <x:v>1.295000000000016</x:v>
      </x:c>
    </x:row>
    <x:row r="295">
      <x:c r="A295" t="n">
        <x:v>10000</x:v>
      </x:c>
      <x:c r="B295" t="n">
        <x:v>2000</x:v>
      </x:c>
      <x:c r="C295" t="n">
        <x:v>20260707</x:v>
      </x:c>
      <x:c r="D295" t="str">
        <x:v>R7</x:v>
      </x:c>
      <x:c r="E295" t="str">
        <x:v>31–60</x:v>
      </x:c>
      <x:c r="F295" s="121" t="n">
        <x:v>1.25</x:v>
      </x:c>
      <x:c r="G295" s="121" t="n">
        <x:v>8</x:v>
      </x:c>
      <x:c r="H295" s="121" t="n">
        <x:v>8</x:v>
      </x:c>
      <x:c r="I295" s="121" t="n">
        <x:v>43.6</x:v>
      </x:c>
      <x:c r="J295" s="121" t="n">
        <x:v>78.4</x:v>
      </x:c>
      <x:c r="K295" s="121" t="n">
        <x:v>43.6</x:v>
      </x:c>
      <x:c r="L295" s="121" t="n">
        <x:v>4.5</x:v>
      </x:c>
      <x:c r="M295" s="121" t="n">
        <x:v>-0.7449999999999974</x:v>
      </x:c>
      <x:c r="N295" s="121" t="n">
        <x:v>-2.0349999999999966</x:v>
      </x:c>
      <x:c r="O295" s="121" t="n">
        <x:v>-0.740000000000002</x:v>
      </x:c>
      <x:c r="P295" s="121" t="n">
        <x:v>0.6649999999999996</x:v>
      </x:c>
      <x:c r="Q295" s="121" t="n">
        <x:v>0.740000000000002</x:v>
      </x:c>
    </x:row>
    <x:row r="296">
      <x:c r="A296" t="n">
        <x:v>10000</x:v>
      </x:c>
      <x:c r="B296" t="n">
        <x:v>2000</x:v>
      </x:c>
      <x:c r="C296" t="n">
        <x:v>20260707</x:v>
      </x:c>
      <x:c r="D296" t="str">
        <x:v>R7</x:v>
      </x:c>
      <x:c r="E296" t="str">
        <x:v>31–60</x:v>
      </x:c>
      <x:c r="F296" s="121" t="n">
        <x:v>1.25</x:v>
      </x:c>
      <x:c r="G296" s="121" t="n">
        <x:v>8</x:v>
      </x:c>
      <x:c r="H296" s="121" t="n">
        <x:v>16</x:v>
      </x:c>
      <x:c r="I296" s="121" t="n">
        <x:v>11.600000000000001</x:v>
      </x:c>
      <x:c r="J296" s="121" t="n">
        <x:v>78.4</x:v>
      </x:c>
      <x:c r="K296" s="121" t="n">
        <x:v>11.600000000000001</x:v>
      </x:c>
      <x:c r="L296" s="121" t="n">
        <x:v>4.5</x:v>
      </x:c>
      <x:c r="M296" s="121" t="n">
        <x:v>1.2800000000000011</x:v>
      </x:c>
      <x:c r="N296" s="121" t="n">
        <x:v>-2.0349999999999966</x:v>
      </x:c>
      <x:c r="O296" s="121" t="n">
        <x:v>1.2800000000000011</x:v>
      </x:c>
      <x:c r="P296" s="121" t="n">
        <x:v>0.6649999999999996</x:v>
      </x:c>
      <x:c r="Q296" s="121" t="n">
        <x:v>1.2800000000000011</x:v>
      </x:c>
    </x:row>
    <x:row r="297">
      <x:c r="A297" t="n">
        <x:v>10000</x:v>
      </x:c>
      <x:c r="B297" t="n">
        <x:v>2000</x:v>
      </x:c>
      <x:c r="C297" t="n">
        <x:v>20260707</x:v>
      </x:c>
      <x:c r="D297" t="str">
        <x:v>R7</x:v>
      </x:c>
      <x:c r="E297" t="str">
        <x:v>31–60</x:v>
      </x:c>
      <x:c r="F297" s="121" t="n">
        <x:v>1.25</x:v>
      </x:c>
      <x:c r="G297" s="121" t="n">
        <x:v>8</x:v>
      </x:c>
      <x:c r="H297" s="121" t="n">
        <x:v>32</x:v>
      </x:c>
      <x:c r="I297" s="121" t="n">
        <x:v>1</x:v>
      </x:c>
      <x:c r="J297" s="121" t="n">
        <x:v>78.4</x:v>
      </x:c>
      <x:c r="K297" s="121" t="n">
        <x:v>1</x:v>
      </x:c>
      <x:c r="L297" s="121" t="n">
        <x:v>4.5</x:v>
      </x:c>
      <x:c r="M297" s="121" t="n">
        <x:v>-0.010000000000000009</x:v>
      </x:c>
      <x:c r="N297" s="121" t="n">
        <x:v>-2.0349999999999966</x:v>
      </x:c>
      <x:c r="O297" s="121" t="n">
        <x:v>-0.010000000000000009</x:v>
      </x:c>
      <x:c r="P297" s="121" t="n">
        <x:v>0.6649999999999996</x:v>
      </x:c>
      <x:c r="Q297" s="121" t="n">
        <x:v>0.010000000000000009</x:v>
      </x:c>
    </x:row>
    <x:row r="298">
      <x:c r="A298" t="n">
        <x:v>10000</x:v>
      </x:c>
      <x:c r="B298" t="n">
        <x:v>2000</x:v>
      </x:c>
      <x:c r="C298" t="n">
        <x:v>20260707</x:v>
      </x:c>
      <x:c r="D298" t="str">
        <x:v>R7</x:v>
      </x:c>
      <x:c r="E298" t="str">
        <x:v>31–60</x:v>
      </x:c>
      <x:c r="F298" s="121" t="n">
        <x:v>1.25</x:v>
      </x:c>
      <x:c r="G298" s="121" t="n">
        <x:v>8</x:v>
      </x:c>
      <x:c r="H298" s="121" t="n">
        <x:v>64</x:v>
      </x:c>
      <x:c r="I298" s="121" t="n">
        <x:v>0</x:v>
      </x:c>
      <x:c r="J298" s="121" t="n">
        <x:v>78.4</x:v>
      </x:c>
      <x:c r="K298" s="121" t="n">
        <x:v>0</x:v>
      </x:c>
      <x:c r="L298" s="121" t="n">
        <x:v>4.5</x:v>
      </x:c>
      <x:c r="M298" s="121" t="n">
        <x:v>-0.03</x:v>
      </x:c>
      <x:c r="N298" s="121" t="n">
        <x:v>-2.0349999999999966</x:v>
      </x:c>
      <x:c r="O298" s="121" t="n">
        <x:v>-0.03</x:v>
      </x:c>
      <x:c r="P298" s="121" t="n">
        <x:v>0.6649999999999996</x:v>
      </x:c>
      <x:c r="Q298" s="121" t="n">
        <x:v>0.03</x:v>
      </x:c>
    </x:row>
    <x:row r="299">
      <x:c r="A299" t="n">
        <x:v>10000</x:v>
      </x:c>
      <x:c r="B299" t="n">
        <x:v>2000</x:v>
      </x:c>
      <x:c r="C299" t="n">
        <x:v>20260707</x:v>
      </x:c>
      <x:c r="D299" t="str">
        <x:v>R8</x:v>
      </x:c>
      <x:c r="E299" t="str">
        <x:v>31–60</x:v>
      </x:c>
      <x:c r="F299" s="121" t="n">
        <x:v>2.5</x:v>
      </x:c>
      <x:c r="G299" s="121" t="n">
        <x:v>12</x:v>
      </x:c>
      <x:c r="H299" s="121" t="n">
        <x:v>0.0625</x:v>
      </x:c>
      <x:c r="I299" s="121" t="n">
        <x:v>100</x:v>
      </x:c>
      <x:c r="J299" s="121" t="n">
        <x:v>88.55</x:v>
      </x:c>
      <x:c r="K299" s="121" t="n">
        <x:v>88.55</x:v>
      </x:c>
      <x:c r="L299" s="121" t="n">
        <x:v>10.45</x:v>
      </x:c>
      <x:c r="M299" s="121" t="n">
        <x:v>0</x:v>
      </x:c>
      <x:c r="N299" s="121" t="n">
        <x:v>-0.9000000000000057</x:v>
      </x:c>
      <x:c r="O299" s="121" t="n">
        <x:v>-0.9000000000000057</x:v>
      </x:c>
      <x:c r="P299" s="121" t="n">
        <x:v>1.1149999999999984</x:v>
      </x:c>
      <x:c r="Q299" s="121" t="n">
        <x:v>0.9000000000000057</x:v>
      </x:c>
    </x:row>
    <x:row r="300">
      <x:c r="A300" t="n">
        <x:v>10000</x:v>
      </x:c>
      <x:c r="B300" t="n">
        <x:v>2000</x:v>
      </x:c>
      <x:c r="C300" t="n">
        <x:v>20260707</x:v>
      </x:c>
      <x:c r="D300" t="str">
        <x:v>R8</x:v>
      </x:c>
      <x:c r="E300" t="str">
        <x:v>31–60</x:v>
      </x:c>
      <x:c r="F300" s="121" t="n">
        <x:v>2.5</x:v>
      </x:c>
      <x:c r="G300" s="121" t="n">
        <x:v>12</x:v>
      </x:c>
      <x:c r="H300" s="121" t="n">
        <x:v>0.125</x:v>
      </x:c>
      <x:c r="I300" s="121" t="n">
        <x:v>100</x:v>
      </x:c>
      <x:c r="J300" s="121" t="n">
        <x:v>88.55</x:v>
      </x:c>
      <x:c r="K300" s="121" t="n">
        <x:v>88.55</x:v>
      </x:c>
      <x:c r="L300" s="121" t="n">
        <x:v>10.45</x:v>
      </x:c>
      <x:c r="M300" s="121" t="n">
        <x:v>0</x:v>
      </x:c>
      <x:c r="N300" s="121" t="n">
        <x:v>-0.9000000000000057</x:v>
      </x:c>
      <x:c r="O300" s="121" t="n">
        <x:v>-0.9000000000000057</x:v>
      </x:c>
      <x:c r="P300" s="121" t="n">
        <x:v>1.1149999999999984</x:v>
      </x:c>
      <x:c r="Q300" s="121" t="n">
        <x:v>0.9000000000000057</x:v>
      </x:c>
    </x:row>
    <x:row r="301">
      <x:c r="A301" t="n">
        <x:v>10000</x:v>
      </x:c>
      <x:c r="B301" t="n">
        <x:v>2000</x:v>
      </x:c>
      <x:c r="C301" t="n">
        <x:v>20260707</x:v>
      </x:c>
      <x:c r="D301" t="str">
        <x:v>R8</x:v>
      </x:c>
      <x:c r="E301" t="str">
        <x:v>31–60</x:v>
      </x:c>
      <x:c r="F301" s="121" t="n">
        <x:v>2.5</x:v>
      </x:c>
      <x:c r="G301" s="121" t="n">
        <x:v>12</x:v>
      </x:c>
      <x:c r="H301" s="121" t="n">
        <x:v>0.25</x:v>
      </x:c>
      <x:c r="I301" s="121" t="n">
        <x:v>100</x:v>
      </x:c>
      <x:c r="J301" s="121" t="n">
        <x:v>88.55</x:v>
      </x:c>
      <x:c r="K301" s="121" t="n">
        <x:v>88.55</x:v>
      </x:c>
      <x:c r="L301" s="121" t="n">
        <x:v>10.45</x:v>
      </x:c>
      <x:c r="M301" s="121" t="n">
        <x:v>0</x:v>
      </x:c>
      <x:c r="N301" s="121" t="n">
        <x:v>-0.9000000000000057</x:v>
      </x:c>
      <x:c r="O301" s="121" t="n">
        <x:v>-0.9000000000000057</x:v>
      </x:c>
      <x:c r="P301" s="121" t="n">
        <x:v>1.1149999999999984</x:v>
      </x:c>
      <x:c r="Q301" s="121" t="n">
        <x:v>0.9000000000000057</x:v>
      </x:c>
    </x:row>
    <x:row r="302">
      <x:c r="A302" t="n">
        <x:v>10000</x:v>
      </x:c>
      <x:c r="B302" t="n">
        <x:v>2000</x:v>
      </x:c>
      <x:c r="C302" t="n">
        <x:v>20260707</x:v>
      </x:c>
      <x:c r="D302" t="str">
        <x:v>R8</x:v>
      </x:c>
      <x:c r="E302" t="str">
        <x:v>31–60</x:v>
      </x:c>
      <x:c r="F302" s="121" t="n">
        <x:v>2.5</x:v>
      </x:c>
      <x:c r="G302" s="121" t="n">
        <x:v>12</x:v>
      </x:c>
      <x:c r="H302" s="121" t="n">
        <x:v>0.5</x:v>
      </x:c>
      <x:c r="I302" s="121" t="n">
        <x:v>100</x:v>
      </x:c>
      <x:c r="J302" s="121" t="n">
        <x:v>88.55</x:v>
      </x:c>
      <x:c r="K302" s="121" t="n">
        <x:v>88.55</x:v>
      </x:c>
      <x:c r="L302" s="121" t="n">
        <x:v>10.45</x:v>
      </x:c>
      <x:c r="M302" s="121" t="n">
        <x:v>0</x:v>
      </x:c>
      <x:c r="N302" s="121" t="n">
        <x:v>-0.9000000000000057</x:v>
      </x:c>
      <x:c r="O302" s="121" t="n">
        <x:v>-0.9000000000000057</x:v>
      </x:c>
      <x:c r="P302" s="121" t="n">
        <x:v>1.1149999999999984</x:v>
      </x:c>
      <x:c r="Q302" s="121" t="n">
        <x:v>0.9000000000000057</x:v>
      </x:c>
    </x:row>
    <x:row r="303">
      <x:c r="A303" t="n">
        <x:v>10000</x:v>
      </x:c>
      <x:c r="B303" t="n">
        <x:v>2000</x:v>
      </x:c>
      <x:c r="C303" t="n">
        <x:v>20260707</x:v>
      </x:c>
      <x:c r="D303" t="str">
        <x:v>R8</x:v>
      </x:c>
      <x:c r="E303" t="str">
        <x:v>31–60</x:v>
      </x:c>
      <x:c r="F303" s="121" t="n">
        <x:v>2.5</x:v>
      </x:c>
      <x:c r="G303" s="121" t="n">
        <x:v>12</x:v>
      </x:c>
      <x:c r="H303" s="121" t="n">
        <x:v>1</x:v>
      </x:c>
      <x:c r="I303" s="121" t="n">
        <x:v>99.95</x:v>
      </x:c>
      <x:c r="J303" s="121" t="n">
        <x:v>88.55</x:v>
      </x:c>
      <x:c r="K303" s="121" t="n">
        <x:v>88.55</x:v>
      </x:c>
      <x:c r="L303" s="121" t="n">
        <x:v>10.45</x:v>
      </x:c>
      <x:c r="M303" s="121" t="n">
        <x:v>-0.045000000000001705</x:v>
      </x:c>
      <x:c r="N303" s="121" t="n">
        <x:v>-0.9000000000000057</x:v>
      </x:c>
      <x:c r="O303" s="121" t="n">
        <x:v>-0.9000000000000057</x:v>
      </x:c>
      <x:c r="P303" s="121" t="n">
        <x:v>1.1149999999999984</x:v>
      </x:c>
      <x:c r="Q303" s="121" t="n">
        <x:v>0.9000000000000057</x:v>
      </x:c>
    </x:row>
    <x:row r="304">
      <x:c r="A304" t="n">
        <x:v>10000</x:v>
      </x:c>
      <x:c r="B304" t="n">
        <x:v>2000</x:v>
      </x:c>
      <x:c r="C304" t="n">
        <x:v>20260707</x:v>
      </x:c>
      <x:c r="D304" t="str">
        <x:v>R8</x:v>
      </x:c>
      <x:c r="E304" t="str">
        <x:v>31–60</x:v>
      </x:c>
      <x:c r="F304" s="121" t="n">
        <x:v>2.5</x:v>
      </x:c>
      <x:c r="G304" s="121" t="n">
        <x:v>12</x:v>
      </x:c>
      <x:c r="H304" s="121" t="n">
        <x:v>2</x:v>
      </x:c>
      <x:c r="I304" s="121" t="n">
        <x:v>99.55000000000001</x:v>
      </x:c>
      <x:c r="J304" s="121" t="n">
        <x:v>88.55</x:v>
      </x:c>
      <x:c r="K304" s="121" t="n">
        <x:v>88.55</x:v>
      </x:c>
      <x:c r="L304" s="121" t="n">
        <x:v>10.45</x:v>
      </x:c>
      <x:c r="M304" s="121" t="n">
        <x:v>0.1600000000000108</x:v>
      </x:c>
      <x:c r="N304" s="121" t="n">
        <x:v>-0.9000000000000057</x:v>
      </x:c>
      <x:c r="O304" s="121" t="n">
        <x:v>-0.9000000000000057</x:v>
      </x:c>
      <x:c r="P304" s="121" t="n">
        <x:v>1.1149999999999984</x:v>
      </x:c>
      <x:c r="Q304" s="121" t="n">
        <x:v>0.9000000000000057</x:v>
      </x:c>
    </x:row>
    <x:row r="305">
      <x:c r="A305" t="n">
        <x:v>10000</x:v>
      </x:c>
      <x:c r="B305" t="n">
        <x:v>2000</x:v>
      </x:c>
      <x:c r="C305" t="n">
        <x:v>20260707</x:v>
      </x:c>
      <x:c r="D305" t="str">
        <x:v>R8</x:v>
      </x:c>
      <x:c r="E305" t="str">
        <x:v>31–60</x:v>
      </x:c>
      <x:c r="F305" s="121" t="n">
        <x:v>2.5</x:v>
      </x:c>
      <x:c r="G305" s="121" t="n">
        <x:v>12</x:v>
      </x:c>
      <x:c r="H305" s="121" t="n">
        <x:v>4</x:v>
      </x:c>
      <x:c r="I305" s="121" t="n">
        <x:v>91.25</x:v>
      </x:c>
      <x:c r="J305" s="121" t="n">
        <x:v>88.55</x:v>
      </x:c>
      <x:c r="K305" s="121" t="n">
        <x:v>87.5</x:v>
      </x:c>
      <x:c r="L305" s="121" t="n">
        <x:v>10.45</x:v>
      </x:c>
      <x:c r="M305" s="121" t="n">
        <x:v>-0.5700000000000074</x:v>
      </x:c>
      <x:c r="N305" s="121" t="n">
        <x:v>-0.9000000000000057</x:v>
      </x:c>
      <x:c r="O305" s="121" t="n">
        <x:v>-0.7800000000000011</x:v>
      </x:c>
      <x:c r="P305" s="121" t="n">
        <x:v>1.1149999999999984</x:v>
      </x:c>
      <x:c r="Q305" s="121" t="n">
        <x:v>0.7800000000000011</x:v>
      </x:c>
    </x:row>
    <x:row r="306">
      <x:c r="A306" t="n">
        <x:v>10000</x:v>
      </x:c>
      <x:c r="B306" t="n">
        <x:v>2000</x:v>
      </x:c>
      <x:c r="C306" t="n">
        <x:v>20260707</x:v>
      </x:c>
      <x:c r="D306" t="str">
        <x:v>R8</x:v>
      </x:c>
      <x:c r="E306" t="str">
        <x:v>31–60</x:v>
      </x:c>
      <x:c r="F306" s="121" t="n">
        <x:v>2.5</x:v>
      </x:c>
      <x:c r="G306" s="121" t="n">
        <x:v>12</x:v>
      </x:c>
      <x:c r="H306" s="121" t="n">
        <x:v>8</x:v>
      </x:c>
      <x:c r="I306" s="121" t="n">
        <x:v>61.95</x:v>
      </x:c>
      <x:c r="J306" s="121" t="n">
        <x:v>88.55</x:v>
      </x:c>
      <x:c r="K306" s="121" t="n">
        <x:v>61.95</x:v>
      </x:c>
      <x:c r="L306" s="121" t="n">
        <x:v>10.45</x:v>
      </x:c>
      <x:c r="M306" s="121" t="n">
        <x:v>-0.1599999999999966</x:v>
      </x:c>
      <x:c r="N306" s="121" t="n">
        <x:v>-0.9000000000000057</x:v>
      </x:c>
      <x:c r="O306" s="121" t="n">
        <x:v>-0.14000000000000057</x:v>
      </x:c>
      <x:c r="P306" s="121" t="n">
        <x:v>1.1149999999999984</x:v>
      </x:c>
      <x:c r="Q306" s="121" t="n">
        <x:v>0.14000000000000057</x:v>
      </x:c>
    </x:row>
    <x:row r="307">
      <x:c r="A307" t="n">
        <x:v>10000</x:v>
      </x:c>
      <x:c r="B307" t="n">
        <x:v>2000</x:v>
      </x:c>
      <x:c r="C307" t="n">
        <x:v>20260707</x:v>
      </x:c>
      <x:c r="D307" t="str">
        <x:v>R8</x:v>
      </x:c>
      <x:c r="E307" t="str">
        <x:v>31–60</x:v>
      </x:c>
      <x:c r="F307" s="121" t="n">
        <x:v>2.5</x:v>
      </x:c>
      <x:c r="G307" s="121" t="n">
        <x:v>12</x:v>
      </x:c>
      <x:c r="H307" s="121" t="n">
        <x:v>16</x:v>
      </x:c>
      <x:c r="I307" s="121" t="n">
        <x:v>23.35</x:v>
      </x:c>
      <x:c r="J307" s="121" t="n">
        <x:v>88.55</x:v>
      </x:c>
      <x:c r="K307" s="121" t="n">
        <x:v>23.35</x:v>
      </x:c>
      <x:c r="L307" s="121" t="n">
        <x:v>10.45</x:v>
      </x:c>
      <x:c r="M307" s="121" t="n">
        <x:v>1.5</x:v>
      </x:c>
      <x:c r="N307" s="121" t="n">
        <x:v>-0.9000000000000057</x:v>
      </x:c>
      <x:c r="O307" s="121" t="n">
        <x:v>1.5</x:v>
      </x:c>
      <x:c r="P307" s="121" t="n">
        <x:v>1.1149999999999984</x:v>
      </x:c>
      <x:c r="Q307" s="121" t="n">
        <x:v>1.5</x:v>
      </x:c>
    </x:row>
    <x:row r="308">
      <x:c r="A308" t="n">
        <x:v>10000</x:v>
      </x:c>
      <x:c r="B308" t="n">
        <x:v>2000</x:v>
      </x:c>
      <x:c r="C308" t="n">
        <x:v>20260707</x:v>
      </x:c>
      <x:c r="D308" t="str">
        <x:v>R8</x:v>
      </x:c>
      <x:c r="E308" t="str">
        <x:v>31–60</x:v>
      </x:c>
      <x:c r="F308" s="121" t="n">
        <x:v>2.5</x:v>
      </x:c>
      <x:c r="G308" s="121" t="n">
        <x:v>12</x:v>
      </x:c>
      <x:c r="H308" s="121" t="n">
        <x:v>32</x:v>
      </x:c>
      <x:c r="I308" s="121" t="n">
        <x:v>3.5000000000000004</x:v>
      </x:c>
      <x:c r="J308" s="121" t="n">
        <x:v>88.55</x:v>
      </x:c>
      <x:c r="K308" s="121" t="n">
        <x:v>3.5000000000000004</x:v>
      </x:c>
      <x:c r="L308" s="121" t="n">
        <x:v>10.45</x:v>
      </x:c>
      <x:c r="M308" s="121" t="n">
        <x:v>0.5700000000000003</x:v>
      </x:c>
      <x:c r="N308" s="121" t="n">
        <x:v>-0.9000000000000057</x:v>
      </x:c>
      <x:c r="O308" s="121" t="n">
        <x:v>0.5700000000000003</x:v>
      </x:c>
      <x:c r="P308" s="121" t="n">
        <x:v>1.1149999999999984</x:v>
      </x:c>
      <x:c r="Q308" s="121" t="n">
        <x:v>0.5700000000000003</x:v>
      </x:c>
    </x:row>
    <x:row r="309">
      <x:c r="A309" t="n">
        <x:v>10000</x:v>
      </x:c>
      <x:c r="B309" t="n">
        <x:v>2000</x:v>
      </x:c>
      <x:c r="C309" t="n">
        <x:v>20260707</x:v>
      </x:c>
      <x:c r="D309" t="str">
        <x:v>R8</x:v>
      </x:c>
      <x:c r="E309" t="str">
        <x:v>31–60</x:v>
      </x:c>
      <x:c r="F309" s="121" t="n">
        <x:v>2.5</x:v>
      </x:c>
      <x:c r="G309" s="121" t="n">
        <x:v>12</x:v>
      </x:c>
      <x:c r="H309" s="121" t="n">
        <x:v>64</x:v>
      </x:c>
      <x:c r="I309" s="121" t="n">
        <x:v>0.15</x:v>
      </x:c>
      <x:c r="J309" s="121" t="n">
        <x:v>88.55</x:v>
      </x:c>
      <x:c r="K309" s="121" t="n">
        <x:v>0.15</x:v>
      </x:c>
      <x:c r="L309" s="121" t="n">
        <x:v>10.45</x:v>
      </x:c>
      <x:c r="M309" s="121" t="n">
        <x:v>-0.015000000000000013</x:v>
      </x:c>
      <x:c r="N309" s="121" t="n">
        <x:v>-0.9000000000000057</x:v>
      </x:c>
      <x:c r="O309" s="121" t="n">
        <x:v>-0.015000000000000013</x:v>
      </x:c>
      <x:c r="P309" s="121" t="n">
        <x:v>1.1149999999999984</x:v>
      </x:c>
      <x:c r="Q309" s="121" t="n">
        <x:v>0.015000000000000013</x:v>
      </x:c>
    </x:row>
    <x:row r="310">
      <x:c r="A310" t="n">
        <x:v>10000</x:v>
      </x:c>
      <x:c r="B310" t="n">
        <x:v>2000</x:v>
      </x:c>
      <x:c r="C310" t="n">
        <x:v>20260707</x:v>
      </x:c>
      <x:c r="D310" t="str">
        <x:v>R9</x:v>
      </x:c>
      <x:c r="E310" t="str">
        <x:v>61–90</x:v>
      </x:c>
      <x:c r="F310" s="121" t="n">
        <x:v>2.5</x:v>
      </x:c>
      <x:c r="G310" s="121" t="n">
        <x:v>12</x:v>
      </x:c>
      <x:c r="H310" s="121" t="n">
        <x:v>0.0625</x:v>
      </x:c>
      <x:c r="I310" s="121" t="n">
        <x:v>100</x:v>
      </x:c>
      <x:c r="J310" s="121" t="n">
        <x:v>72.95</x:v>
      </x:c>
      <x:c r="K310" s="121" t="n">
        <x:v>72.95</x:v>
      </x:c>
      <x:c r="L310" s="121" t="n">
        <x:v>3</x:v>
      </x:c>
      <x:c r="M310" s="121" t="n">
        <x:v>0</x:v>
      </x:c>
      <x:c r="N310" s="121" t="n">
        <x:v>-0.2749999999999915</x:v>
      </x:c>
      <x:c r="O310" s="121" t="n">
        <x:v>-0.2749999999999915</x:v>
      </x:c>
      <x:c r="P310" s="121" t="n">
        <x:v>0.020000000000000018</x:v>
      </x:c>
      <x:c r="Q310" s="121" t="n">
        <x:v>0.2749999999999915</x:v>
      </x:c>
    </x:row>
    <x:row r="311">
      <x:c r="A311" t="n">
        <x:v>10000</x:v>
      </x:c>
      <x:c r="B311" t="n">
        <x:v>2000</x:v>
      </x:c>
      <x:c r="C311" t="n">
        <x:v>20260707</x:v>
      </x:c>
      <x:c r="D311" t="str">
        <x:v>R9</x:v>
      </x:c>
      <x:c r="E311" t="str">
        <x:v>61–90</x:v>
      </x:c>
      <x:c r="F311" s="121" t="n">
        <x:v>2.5</x:v>
      </x:c>
      <x:c r="G311" s="121" t="n">
        <x:v>12</x:v>
      </x:c>
      <x:c r="H311" s="121" t="n">
        <x:v>0.125</x:v>
      </x:c>
      <x:c r="I311" s="121" t="n">
        <x:v>100</x:v>
      </x:c>
      <x:c r="J311" s="121" t="n">
        <x:v>72.95</x:v>
      </x:c>
      <x:c r="K311" s="121" t="n">
        <x:v>72.95</x:v>
      </x:c>
      <x:c r="L311" s="121" t="n">
        <x:v>3</x:v>
      </x:c>
      <x:c r="M311" s="121" t="n">
        <x:v>0</x:v>
      </x:c>
      <x:c r="N311" s="121" t="n">
        <x:v>-0.2749999999999915</x:v>
      </x:c>
      <x:c r="O311" s="121" t="n">
        <x:v>-0.2749999999999915</x:v>
      </x:c>
      <x:c r="P311" s="121" t="n">
        <x:v>0.020000000000000018</x:v>
      </x:c>
      <x:c r="Q311" s="121" t="n">
        <x:v>0.2749999999999915</x:v>
      </x:c>
    </x:row>
    <x:row r="312">
      <x:c r="A312" t="n">
        <x:v>10000</x:v>
      </x:c>
      <x:c r="B312" t="n">
        <x:v>2000</x:v>
      </x:c>
      <x:c r="C312" t="n">
        <x:v>20260707</x:v>
      </x:c>
      <x:c r="D312" t="str">
        <x:v>R9</x:v>
      </x:c>
      <x:c r="E312" t="str">
        <x:v>61–90</x:v>
      </x:c>
      <x:c r="F312" s="121" t="n">
        <x:v>2.5</x:v>
      </x:c>
      <x:c r="G312" s="121" t="n">
        <x:v>12</x:v>
      </x:c>
      <x:c r="H312" s="121" t="n">
        <x:v>0.25</x:v>
      </x:c>
      <x:c r="I312" s="121" t="n">
        <x:v>100</x:v>
      </x:c>
      <x:c r="J312" s="121" t="n">
        <x:v>72.95</x:v>
      </x:c>
      <x:c r="K312" s="121" t="n">
        <x:v>72.95</x:v>
      </x:c>
      <x:c r="L312" s="121" t="n">
        <x:v>3</x:v>
      </x:c>
      <x:c r="M312" s="121" t="n">
        <x:v>0</x:v>
      </x:c>
      <x:c r="N312" s="121" t="n">
        <x:v>-0.2749999999999915</x:v>
      </x:c>
      <x:c r="O312" s="121" t="n">
        <x:v>-0.2749999999999915</x:v>
      </x:c>
      <x:c r="P312" s="121" t="n">
        <x:v>0.020000000000000018</x:v>
      </x:c>
      <x:c r="Q312" s="121" t="n">
        <x:v>0.2749999999999915</x:v>
      </x:c>
    </x:row>
    <x:row r="313">
      <x:c r="A313" t="n">
        <x:v>10000</x:v>
      </x:c>
      <x:c r="B313" t="n">
        <x:v>2000</x:v>
      </x:c>
      <x:c r="C313" t="n">
        <x:v>20260707</x:v>
      </x:c>
      <x:c r="D313" t="str">
        <x:v>R9</x:v>
      </x:c>
      <x:c r="E313" t="str">
        <x:v>61–90</x:v>
      </x:c>
      <x:c r="F313" s="121" t="n">
        <x:v>2.5</x:v>
      </x:c>
      <x:c r="G313" s="121" t="n">
        <x:v>12</x:v>
      </x:c>
      <x:c r="H313" s="121" t="n">
        <x:v>0.5</x:v>
      </x:c>
      <x:c r="I313" s="121" t="n">
        <x:v>99.95</x:v>
      </x:c>
      <x:c r="J313" s="121" t="n">
        <x:v>72.95</x:v>
      </x:c>
      <x:c r="K313" s="121" t="n">
        <x:v>72.95</x:v>
      </x:c>
      <x:c r="L313" s="121" t="n">
        <x:v>3</x:v>
      </x:c>
      <x:c r="M313" s="121" t="n">
        <x:v>-0.045000000000001705</x:v>
      </x:c>
      <x:c r="N313" s="121" t="n">
        <x:v>-0.2749999999999915</x:v>
      </x:c>
      <x:c r="O313" s="121" t="n">
        <x:v>-0.2749999999999915</x:v>
      </x:c>
      <x:c r="P313" s="121" t="n">
        <x:v>0.020000000000000018</x:v>
      </x:c>
      <x:c r="Q313" s="121" t="n">
        <x:v>0.2749999999999915</x:v>
      </x:c>
    </x:row>
    <x:row r="314">
      <x:c r="A314" t="n">
        <x:v>10000</x:v>
      </x:c>
      <x:c r="B314" t="n">
        <x:v>2000</x:v>
      </x:c>
      <x:c r="C314" t="n">
        <x:v>20260707</x:v>
      </x:c>
      <x:c r="D314" t="str">
        <x:v>R9</x:v>
      </x:c>
      <x:c r="E314" t="str">
        <x:v>61–90</x:v>
      </x:c>
      <x:c r="F314" s="121" t="n">
        <x:v>2.5</x:v>
      </x:c>
      <x:c r="G314" s="121" t="n">
        <x:v>12</x:v>
      </x:c>
      <x:c r="H314" s="121" t="n">
        <x:v>1</x:v>
      </x:c>
      <x:c r="I314" s="121" t="n">
        <x:v>99.85000000000001</x:v>
      </x:c>
      <x:c r="J314" s="121" t="n">
        <x:v>72.95</x:v>
      </x:c>
      <x:c r="K314" s="121" t="n">
        <x:v>72.95</x:v>
      </x:c>
      <x:c r="L314" s="121" t="n">
        <x:v>3</x:v>
      </x:c>
      <x:c r="M314" s="121" t="n">
        <x:v>-0.06499999999998352</x:v>
      </x:c>
      <x:c r="N314" s="121" t="n">
        <x:v>-0.2749999999999915</x:v>
      </x:c>
      <x:c r="O314" s="121" t="n">
        <x:v>-0.2749999999999915</x:v>
      </x:c>
      <x:c r="P314" s="121" t="n">
        <x:v>0.020000000000000018</x:v>
      </x:c>
      <x:c r="Q314" s="121" t="n">
        <x:v>0.2749999999999915</x:v>
      </x:c>
    </x:row>
    <x:row r="315">
      <x:c r="A315" t="n">
        <x:v>10000</x:v>
      </x:c>
      <x:c r="B315" t="n">
        <x:v>2000</x:v>
      </x:c>
      <x:c r="C315" t="n">
        <x:v>20260707</x:v>
      </x:c>
      <x:c r="D315" t="str">
        <x:v>R9</x:v>
      </x:c>
      <x:c r="E315" t="str">
        <x:v>61–90</x:v>
      </x:c>
      <x:c r="F315" s="121" t="n">
        <x:v>2.5</x:v>
      </x:c>
      <x:c r="G315" s="121" t="n">
        <x:v>12</x:v>
      </x:c>
      <x:c r="H315" s="121" t="n">
        <x:v>2</x:v>
      </x:c>
      <x:c r="I315" s="121" t="n">
        <x:v>97.45</x:v>
      </x:c>
      <x:c r="J315" s="121" t="n">
        <x:v>72.95</x:v>
      </x:c>
      <x:c r="K315" s="121" t="n">
        <x:v>72.95</x:v>
      </x:c>
      <x:c r="L315" s="121" t="n">
        <x:v>3</x:v>
      </x:c>
      <x:c r="M315" s="121" t="n">
        <x:v>0.13500000000000512</x:v>
      </x:c>
      <x:c r="N315" s="121" t="n">
        <x:v>-0.2749999999999915</x:v>
      </x:c>
      <x:c r="O315" s="121" t="n">
        <x:v>-0.2749999999999915</x:v>
      </x:c>
      <x:c r="P315" s="121" t="n">
        <x:v>0.020000000000000018</x:v>
      </x:c>
      <x:c r="Q315" s="121" t="n">
        <x:v>0.2749999999999915</x:v>
      </x:c>
    </x:row>
    <x:row r="316">
      <x:c r="A316" t="n">
        <x:v>10000</x:v>
      </x:c>
      <x:c r="B316" t="n">
        <x:v>2000</x:v>
      </x:c>
      <x:c r="C316" t="n">
        <x:v>20260707</x:v>
      </x:c>
      <x:c r="D316" t="str">
        <x:v>R9</x:v>
      </x:c>
      <x:c r="E316" t="str">
        <x:v>61–90</x:v>
      </x:c>
      <x:c r="F316" s="121" t="n">
        <x:v>2.5</x:v>
      </x:c>
      <x:c r="G316" s="121" t="n">
        <x:v>12</x:v>
      </x:c>
      <x:c r="H316" s="121" t="n">
        <x:v>4</x:v>
      </x:c>
      <x:c r="I316" s="121" t="n">
        <x:v>80.4</x:v>
      </x:c>
      <x:c r="J316" s="121" t="n">
        <x:v>72.95</x:v>
      </x:c>
      <x:c r="K316" s="121" t="n">
        <x:v>71.39999999999999</x:v>
      </x:c>
      <x:c r="L316" s="121" t="n">
        <x:v>3</x:v>
      </x:c>
      <x:c r="M316" s="121" t="n">
        <x:v>0.5700000000000074</x:v>
      </x:c>
      <x:c r="N316" s="121" t="n">
        <x:v>-0.2749999999999915</x:v>
      </x:c>
      <x:c r="O316" s="121" t="n">
        <x:v>-0.24500000000001876</x:v>
      </x:c>
      <x:c r="P316" s="121" t="n">
        <x:v>0.020000000000000018</x:v>
      </x:c>
      <x:c r="Q316" s="121" t="n">
        <x:v>0.24500000000001876</x:v>
      </x:c>
    </x:row>
    <x:row r="317">
      <x:c r="A317" t="n">
        <x:v>10000</x:v>
      </x:c>
      <x:c r="B317" t="n">
        <x:v>2000</x:v>
      </x:c>
      <x:c r="C317" t="n">
        <x:v>20260707</x:v>
      </x:c>
      <x:c r="D317" t="str">
        <x:v>R9</x:v>
      </x:c>
      <x:c r="E317" t="str">
        <x:v>61–90</x:v>
      </x:c>
      <x:c r="F317" s="121" t="n">
        <x:v>2.5</x:v>
      </x:c>
      <x:c r="G317" s="121" t="n">
        <x:v>12</x:v>
      </x:c>
      <x:c r="H317" s="121" t="n">
        <x:v>8</x:v>
      </x:c>
      <x:c r="I317" s="121" t="n">
        <x:v>41.699999999999996</x:v>
      </x:c>
      <x:c r="J317" s="121" t="n">
        <x:v>72.95</x:v>
      </x:c>
      <x:c r="K317" s="121" t="n">
        <x:v>41.65</x:v>
      </x:c>
      <x:c r="L317" s="121" t="n">
        <x:v>3</x:v>
      </x:c>
      <x:c r="M317" s="121" t="n">
        <x:v>1.6149999999999949</x:v>
      </x:c>
      <x:c r="N317" s="121" t="n">
        <x:v>-0.2749999999999915</x:v>
      </x:c>
      <x:c r="O317" s="121" t="n">
        <x:v>1.5700000000000003</x:v>
      </x:c>
      <x:c r="P317" s="121" t="n">
        <x:v>0.020000000000000018</x:v>
      </x:c>
      <x:c r="Q317" s="121" t="n">
        <x:v>1.5700000000000003</x:v>
      </x:c>
    </x:row>
    <x:row r="318">
      <x:c r="A318" t="n">
        <x:v>10000</x:v>
      </x:c>
      <x:c r="B318" t="n">
        <x:v>2000</x:v>
      </x:c>
      <x:c r="C318" t="n">
        <x:v>20260707</x:v>
      </x:c>
      <x:c r="D318" t="str">
        <x:v>R9</x:v>
      </x:c>
      <x:c r="E318" t="str">
        <x:v>61–90</x:v>
      </x:c>
      <x:c r="F318" s="121" t="n">
        <x:v>2.5</x:v>
      </x:c>
      <x:c r="G318" s="121" t="n">
        <x:v>12</x:v>
      </x:c>
      <x:c r="H318" s="121" t="n">
        <x:v>16</x:v>
      </x:c>
      <x:c r="I318" s="121" t="n">
        <x:v>9.1</x:v>
      </x:c>
      <x:c r="J318" s="121" t="n">
        <x:v>72.95</x:v>
      </x:c>
      <x:c r="K318" s="121" t="n">
        <x:v>9.1</x:v>
      </x:c>
      <x:c r="L318" s="121" t="n">
        <x:v>3</x:v>
      </x:c>
      <x:c r="M318" s="121" t="n">
        <x:v>0.5700000000000003</x:v>
      </x:c>
      <x:c r="N318" s="121" t="n">
        <x:v>-0.2749999999999915</x:v>
      </x:c>
      <x:c r="O318" s="121" t="n">
        <x:v>0.5700000000000003</x:v>
      </x:c>
      <x:c r="P318" s="121" t="n">
        <x:v>0.020000000000000018</x:v>
      </x:c>
      <x:c r="Q318" s="121" t="n">
        <x:v>0.5700000000000003</x:v>
      </x:c>
    </x:row>
    <x:row r="319">
      <x:c r="A319" t="n">
        <x:v>10000</x:v>
      </x:c>
      <x:c r="B319" t="n">
        <x:v>2000</x:v>
      </x:c>
      <x:c r="C319" t="n">
        <x:v>20260707</x:v>
      </x:c>
      <x:c r="D319" t="str">
        <x:v>R9</x:v>
      </x:c>
      <x:c r="E319" t="str">
        <x:v>61–90</x:v>
      </x:c>
      <x:c r="F319" s="121" t="n">
        <x:v>2.5</x:v>
      </x:c>
      <x:c r="G319" s="121" t="n">
        <x:v>12</x:v>
      </x:c>
      <x:c r="H319" s="121" t="n">
        <x:v>32</x:v>
      </x:c>
      <x:c r="I319" s="121" t="n">
        <x:v>0.6</x:v>
      </x:c>
      <x:c r="J319" s="121" t="n">
        <x:v>72.95</x:v>
      </x:c>
      <x:c r="K319" s="121" t="n">
        <x:v>0.6</x:v>
      </x:c>
      <x:c r="L319" s="121" t="n">
        <x:v>3</x:v>
      </x:c>
      <x:c r="M319" s="121" t="n">
        <x:v>-0.020000000000000018</x:v>
      </x:c>
      <x:c r="N319" s="121" t="n">
        <x:v>-0.2749999999999915</x:v>
      </x:c>
      <x:c r="O319" s="121" t="n">
        <x:v>-0.020000000000000018</x:v>
      </x:c>
      <x:c r="P319" s="121" t="n">
        <x:v>0.020000000000000018</x:v>
      </x:c>
      <x:c r="Q319" s="121" t="n">
        <x:v>0.020000000000000018</x:v>
      </x:c>
    </x:row>
    <x:row r="320">
      <x:c r="A320" t="n">
        <x:v>10000</x:v>
      </x:c>
      <x:c r="B320" t="n">
        <x:v>2000</x:v>
      </x:c>
      <x:c r="C320" t="n">
        <x:v>20260707</x:v>
      </x:c>
      <x:c r="D320" t="str">
        <x:v>R9</x:v>
      </x:c>
      <x:c r="E320" t="str">
        <x:v>61–90</x:v>
      </x:c>
      <x:c r="F320" s="121" t="n">
        <x:v>2.5</x:v>
      </x:c>
      <x:c r="G320" s="121" t="n">
        <x:v>12</x:v>
      </x:c>
      <x:c r="H320" s="121" t="n">
        <x:v>64</x:v>
      </x:c>
      <x:c r="I320" s="121" t="n">
        <x:v>0</x:v>
      </x:c>
      <x:c r="J320" s="121" t="n">
        <x:v>72.95</x:v>
      </x:c>
      <x:c r="K320" s="121" t="n">
        <x:v>0</x:v>
      </x:c>
      <x:c r="L320" s="121" t="n">
        <x:v>3</x:v>
      </x:c>
      <x:c r="M320" s="121" t="n">
        <x:v>-0.04</x:v>
      </x:c>
      <x:c r="N320" s="121" t="n">
        <x:v>-0.2749999999999915</x:v>
      </x:c>
      <x:c r="O320" s="121" t="n">
        <x:v>-0.04</x:v>
      </x:c>
      <x:c r="P320" s="121" t="n">
        <x:v>0.020000000000000018</x:v>
      </x:c>
      <x:c r="Q320" s="121" t="n">
        <x:v>0.04</x:v>
      </x:c>
    </x:row>
    <x:row r="321">
      <x:c r="A321" t="n">
        <x:v>10000</x:v>
      </x:c>
      <x:c r="B321" t="n">
        <x:v>2000</x:v>
      </x:c>
      <x:c r="C321" t="n">
        <x:v>20260707</x:v>
      </x:c>
      <x:c r="D321" t="str">
        <x:v>R10</x:v>
      </x:c>
      <x:c r="E321" t="str">
        <x:v>61–90</x:v>
      </x:c>
      <x:c r="F321" s="121" t="n">
        <x:v>2.5</x:v>
      </x:c>
      <x:c r="G321" s="121" t="n">
        <x:v>8</x:v>
      </x:c>
      <x:c r="H321" s="121" t="n">
        <x:v>0.0625</x:v>
      </x:c>
      <x:c r="I321" s="121" t="n">
        <x:v>100</x:v>
      </x:c>
      <x:c r="J321" s="121" t="n">
        <x:v>88.85</x:v>
      </x:c>
      <x:c r="K321" s="121" t="n">
        <x:v>88.85</x:v>
      </x:c>
      <x:c r="L321" s="121" t="n">
        <x:v>11.4</x:v>
      </x:c>
      <x:c r="M321" s="121" t="n">
        <x:v>0</x:v>
      </x:c>
      <x:c r="N321" s="121" t="n">
        <x:v>0.4449999999999932</x:v>
      </x:c>
      <x:c r="O321" s="121" t="n">
        <x:v>0.4449999999999932</x:v>
      </x:c>
      <x:c r="P321" s="121" t="n">
        <x:v>0.5099999999999998</x:v>
      </x:c>
      <x:c r="Q321" s="121" t="n">
        <x:v>0.4449999999999932</x:v>
      </x:c>
    </x:row>
    <x:row r="322">
      <x:c r="A322" t="n">
        <x:v>10000</x:v>
      </x:c>
      <x:c r="B322" t="n">
        <x:v>2000</x:v>
      </x:c>
      <x:c r="C322" t="n">
        <x:v>20260707</x:v>
      </x:c>
      <x:c r="D322" t="str">
        <x:v>R10</x:v>
      </x:c>
      <x:c r="E322" t="str">
        <x:v>61–90</x:v>
      </x:c>
      <x:c r="F322" s="121" t="n">
        <x:v>2.5</x:v>
      </x:c>
      <x:c r="G322" s="121" t="n">
        <x:v>8</x:v>
      </x:c>
      <x:c r="H322" s="121" t="n">
        <x:v>0.125</x:v>
      </x:c>
      <x:c r="I322" s="121" t="n">
        <x:v>100</x:v>
      </x:c>
      <x:c r="J322" s="121" t="n">
        <x:v>88.85</x:v>
      </x:c>
      <x:c r="K322" s="121" t="n">
        <x:v>88.85</x:v>
      </x:c>
      <x:c r="L322" s="121" t="n">
        <x:v>11.4</x:v>
      </x:c>
      <x:c r="M322" s="121" t="n">
        <x:v>0</x:v>
      </x:c>
      <x:c r="N322" s="121" t="n">
        <x:v>0.4449999999999932</x:v>
      </x:c>
      <x:c r="O322" s="121" t="n">
        <x:v>0.4449999999999932</x:v>
      </x:c>
      <x:c r="P322" s="121" t="n">
        <x:v>0.5099999999999998</x:v>
      </x:c>
      <x:c r="Q322" s="121" t="n">
        <x:v>0.4449999999999932</x:v>
      </x:c>
    </x:row>
    <x:row r="323">
      <x:c r="A323" t="n">
        <x:v>10000</x:v>
      </x:c>
      <x:c r="B323" t="n">
        <x:v>2000</x:v>
      </x:c>
      <x:c r="C323" t="n">
        <x:v>20260707</x:v>
      </x:c>
      <x:c r="D323" t="str">
        <x:v>R10</x:v>
      </x:c>
      <x:c r="E323" t="str">
        <x:v>61–90</x:v>
      </x:c>
      <x:c r="F323" s="121" t="n">
        <x:v>2.5</x:v>
      </x:c>
      <x:c r="G323" s="121" t="n">
        <x:v>8</x:v>
      </x:c>
      <x:c r="H323" s="121" t="n">
        <x:v>0.25</x:v>
      </x:c>
      <x:c r="I323" s="121" t="n">
        <x:v>100</x:v>
      </x:c>
      <x:c r="J323" s="121" t="n">
        <x:v>88.85</x:v>
      </x:c>
      <x:c r="K323" s="121" t="n">
        <x:v>88.85</x:v>
      </x:c>
      <x:c r="L323" s="121" t="n">
        <x:v>11.4</x:v>
      </x:c>
      <x:c r="M323" s="121" t="n">
        <x:v>0</x:v>
      </x:c>
      <x:c r="N323" s="121" t="n">
        <x:v>0.4449999999999932</x:v>
      </x:c>
      <x:c r="O323" s="121" t="n">
        <x:v>0.4449999999999932</x:v>
      </x:c>
      <x:c r="P323" s="121" t="n">
        <x:v>0.5099999999999998</x:v>
      </x:c>
      <x:c r="Q323" s="121" t="n">
        <x:v>0.4449999999999932</x:v>
      </x:c>
    </x:row>
    <x:row r="324">
      <x:c r="A324" t="n">
        <x:v>10000</x:v>
      </x:c>
      <x:c r="B324" t="n">
        <x:v>2000</x:v>
      </x:c>
      <x:c r="C324" t="n">
        <x:v>20260707</x:v>
      </x:c>
      <x:c r="D324" t="str">
        <x:v>R10</x:v>
      </x:c>
      <x:c r="E324" t="str">
        <x:v>61–90</x:v>
      </x:c>
      <x:c r="F324" s="121" t="n">
        <x:v>2.5</x:v>
      </x:c>
      <x:c r="G324" s="121" t="n">
        <x:v>8</x:v>
      </x:c>
      <x:c r="H324" s="121" t="n">
        <x:v>0.5</x:v>
      </x:c>
      <x:c r="I324" s="121" t="n">
        <x:v>100</x:v>
      </x:c>
      <x:c r="J324" s="121" t="n">
        <x:v>88.85</x:v>
      </x:c>
      <x:c r="K324" s="121" t="n">
        <x:v>88.85</x:v>
      </x:c>
      <x:c r="L324" s="121" t="n">
        <x:v>11.4</x:v>
      </x:c>
      <x:c r="M324" s="121" t="n">
        <x:v>0</x:v>
      </x:c>
      <x:c r="N324" s="121" t="n">
        <x:v>0.4449999999999932</x:v>
      </x:c>
      <x:c r="O324" s="121" t="n">
        <x:v>0.4449999999999932</x:v>
      </x:c>
      <x:c r="P324" s="121" t="n">
        <x:v>0.5099999999999998</x:v>
      </x:c>
      <x:c r="Q324" s="121" t="n">
        <x:v>0.4449999999999932</x:v>
      </x:c>
    </x:row>
    <x:row r="325">
      <x:c r="A325" t="n">
        <x:v>10000</x:v>
      </x:c>
      <x:c r="B325" t="n">
        <x:v>2000</x:v>
      </x:c>
      <x:c r="C325" t="n">
        <x:v>20260707</x:v>
      </x:c>
      <x:c r="D325" t="str">
        <x:v>R10</x:v>
      </x:c>
      <x:c r="E325" t="str">
        <x:v>61–90</x:v>
      </x:c>
      <x:c r="F325" s="121" t="n">
        <x:v>2.5</x:v>
      </x:c>
      <x:c r="G325" s="121" t="n">
        <x:v>8</x:v>
      </x:c>
      <x:c r="H325" s="121" t="n">
        <x:v>1</x:v>
      </x:c>
      <x:c r="I325" s="121" t="n">
        <x:v>99.95</x:v>
      </x:c>
      <x:c r="J325" s="121" t="n">
        <x:v>88.85</x:v>
      </x:c>
      <x:c r="K325" s="121" t="n">
        <x:v>88.85</x:v>
      </x:c>
      <x:c r="L325" s="121" t="n">
        <x:v>11.4</x:v>
      </x:c>
      <x:c r="M325" s="121" t="n">
        <x:v>-0.045000000000001705</x:v>
      </x:c>
      <x:c r="N325" s="121" t="n">
        <x:v>0.4449999999999932</x:v>
      </x:c>
      <x:c r="O325" s="121" t="n">
        <x:v>0.4449999999999932</x:v>
      </x:c>
      <x:c r="P325" s="121" t="n">
        <x:v>0.5099999999999998</x:v>
      </x:c>
      <x:c r="Q325" s="121" t="n">
        <x:v>0.4449999999999932</x:v>
      </x:c>
    </x:row>
    <x:row r="326">
      <x:c r="A326" t="n">
        <x:v>10000</x:v>
      </x:c>
      <x:c r="B326" t="n">
        <x:v>2000</x:v>
      </x:c>
      <x:c r="C326" t="n">
        <x:v>20260707</x:v>
      </x:c>
      <x:c r="D326" t="str">
        <x:v>R10</x:v>
      </x:c>
      <x:c r="E326" t="str">
        <x:v>61–90</x:v>
      </x:c>
      <x:c r="F326" s="121" t="n">
        <x:v>2.5</x:v>
      </x:c>
      <x:c r="G326" s="121" t="n">
        <x:v>8</x:v>
      </x:c>
      <x:c r="H326" s="121" t="n">
        <x:v>2</x:v>
      </x:c>
      <x:c r="I326" s="121" t="n">
        <x:v>99.45</x:v>
      </x:c>
      <x:c r="J326" s="121" t="n">
        <x:v>88.85</x:v>
      </x:c>
      <x:c r="K326" s="121" t="n">
        <x:v>88.85</x:v>
      </x:c>
      <x:c r="L326" s="121" t="n">
        <x:v>11.4</x:v>
      </x:c>
      <x:c r="M326" s="121" t="n">
        <x:v>-0.10500000000000398</x:v>
      </x:c>
      <x:c r="N326" s="121" t="n">
        <x:v>0.4449999999999932</x:v>
      </x:c>
      <x:c r="O326" s="121" t="n">
        <x:v>0.4449999999999932</x:v>
      </x:c>
      <x:c r="P326" s="121" t="n">
        <x:v>0.5099999999999998</x:v>
      </x:c>
      <x:c r="Q326" s="121" t="n">
        <x:v>0.4449999999999932</x:v>
      </x:c>
    </x:row>
    <x:row r="327">
      <x:c r="A327" t="n">
        <x:v>10000</x:v>
      </x:c>
      <x:c r="B327" t="n">
        <x:v>2000</x:v>
      </x:c>
      <x:c r="C327" t="n">
        <x:v>20260707</x:v>
      </x:c>
      <x:c r="D327" t="str">
        <x:v>R10</x:v>
      </x:c>
      <x:c r="E327" t="str">
        <x:v>61–90</x:v>
      </x:c>
      <x:c r="F327" s="121" t="n">
        <x:v>2.5</x:v>
      </x:c>
      <x:c r="G327" s="121" t="n">
        <x:v>8</x:v>
      </x:c>
      <x:c r="H327" s="121" t="n">
        <x:v>4</x:v>
      </x:c>
      <x:c r="I327" s="121" t="n">
        <x:v>93.35</x:v>
      </x:c>
      <x:c r="J327" s="121" t="n">
        <x:v>88.85</x:v>
      </x:c>
      <x:c r="K327" s="121" t="n">
        <x:v>88.5</x:v>
      </x:c>
      <x:c r="L327" s="121" t="n">
        <x:v>11.4</x:v>
      </x:c>
      <x:c r="M327" s="121" t="n">
        <x:v>0.24499999999999034</x:v>
      </x:c>
      <x:c r="N327" s="121" t="n">
        <x:v>0.4449999999999932</x:v>
      </x:c>
      <x:c r="O327" s="121" t="n">
        <x:v>0.7399999999999949</x:v>
      </x:c>
      <x:c r="P327" s="121" t="n">
        <x:v>0.5099999999999998</x:v>
      </x:c>
      <x:c r="Q327" s="121" t="n">
        <x:v>0.7399999999999949</x:v>
      </x:c>
    </x:row>
    <x:row r="328">
      <x:c r="A328" t="n">
        <x:v>10000</x:v>
      </x:c>
      <x:c r="B328" t="n">
        <x:v>2000</x:v>
      </x:c>
      <x:c r="C328" t="n">
        <x:v>20260707</x:v>
      </x:c>
      <x:c r="D328" t="str">
        <x:v>R10</x:v>
      </x:c>
      <x:c r="E328" t="str">
        <x:v>61–90</x:v>
      </x:c>
      <x:c r="F328" s="121" t="n">
        <x:v>2.5</x:v>
      </x:c>
      <x:c r="G328" s="121" t="n">
        <x:v>8</x:v>
      </x:c>
      <x:c r="H328" s="121" t="n">
        <x:v>8</x:v>
      </x:c>
      <x:c r="I328" s="121" t="n">
        <x:v>64.60000000000001</x:v>
      </x:c>
      <x:c r="J328" s="121" t="n">
        <x:v>88.85</x:v>
      </x:c>
      <x:c r="K328" s="121" t="n">
        <x:v>64.60000000000001</x:v>
      </x:c>
      <x:c r="L328" s="121" t="n">
        <x:v>11.4</x:v>
      </x:c>
      <x:c r="M328" s="121" t="n">
        <x:v>-0.34499999999998465</x:v>
      </x:c>
      <x:c r="N328" s="121" t="n">
        <x:v>0.4449999999999932</x:v>
      </x:c>
      <x:c r="O328" s="121" t="n">
        <x:v>-0.3299999999999841</x:v>
      </x:c>
      <x:c r="P328" s="121" t="n">
        <x:v>0.5099999999999998</x:v>
      </x:c>
      <x:c r="Q328" s="121" t="n">
        <x:v>0.3299999999999841</x:v>
      </x:c>
    </x:row>
    <x:row r="329">
      <x:c r="A329" t="n">
        <x:v>10000</x:v>
      </x:c>
      <x:c r="B329" t="n">
        <x:v>2000</x:v>
      </x:c>
      <x:c r="C329" t="n">
        <x:v>20260707</x:v>
      </x:c>
      <x:c r="D329" t="str">
        <x:v>R10</x:v>
      </x:c>
      <x:c r="E329" t="str">
        <x:v>61–90</x:v>
      </x:c>
      <x:c r="F329" s="121" t="n">
        <x:v>2.5</x:v>
      </x:c>
      <x:c r="G329" s="121" t="n">
        <x:v>8</x:v>
      </x:c>
      <x:c r="H329" s="121" t="n">
        <x:v>16</x:v>
      </x:c>
      <x:c r="I329" s="121" t="n">
        <x:v>24.55</x:v>
      </x:c>
      <x:c r="J329" s="121" t="n">
        <x:v>88.85</x:v>
      </x:c>
      <x:c r="K329" s="121" t="n">
        <x:v>24.55</x:v>
      </x:c>
      <x:c r="L329" s="121" t="n">
        <x:v>11.4</x:v>
      </x:c>
      <x:c r="M329" s="121" t="n">
        <x:v>0.8000000000000007</x:v>
      </x:c>
      <x:c r="N329" s="121" t="n">
        <x:v>0.4449999999999932</x:v>
      </x:c>
      <x:c r="O329" s="121" t="n">
        <x:v>0.8000000000000007</x:v>
      </x:c>
      <x:c r="P329" s="121" t="n">
        <x:v>0.5099999999999998</x:v>
      </x:c>
      <x:c r="Q329" s="121" t="n">
        <x:v>0.8000000000000007</x:v>
      </x:c>
    </x:row>
    <x:row r="330">
      <x:c r="A330" t="n">
        <x:v>10000</x:v>
      </x:c>
      <x:c r="B330" t="n">
        <x:v>2000</x:v>
      </x:c>
      <x:c r="C330" t="n">
        <x:v>20260707</x:v>
      </x:c>
      <x:c r="D330" t="str">
        <x:v>R10</x:v>
      </x:c>
      <x:c r="E330" t="str">
        <x:v>61–90</x:v>
      </x:c>
      <x:c r="F330" s="121" t="n">
        <x:v>2.5</x:v>
      </x:c>
      <x:c r="G330" s="121" t="n">
        <x:v>8</x:v>
      </x:c>
      <x:c r="H330" s="121" t="n">
        <x:v>32</x:v>
      </x:c>
      <x:c r="I330" s="121" t="n">
        <x:v>3.55</x:v>
      </x:c>
      <x:c r="J330" s="121" t="n">
        <x:v>88.85</x:v>
      </x:c>
      <x:c r="K330" s="121" t="n">
        <x:v>3.55</x:v>
      </x:c>
      <x:c r="L330" s="121" t="n">
        <x:v>11.4</x:v>
      </x:c>
      <x:c r="M330" s="121" t="n">
        <x:v>0.06499999999999995</x:v>
      </x:c>
      <x:c r="N330" s="121" t="n">
        <x:v>0.4449999999999932</x:v>
      </x:c>
      <x:c r="O330" s="121" t="n">
        <x:v>0.06499999999999995</x:v>
      </x:c>
      <x:c r="P330" s="121" t="n">
        <x:v>0.5099999999999998</x:v>
      </x:c>
      <x:c r="Q330" s="121" t="n">
        <x:v>0.06499999999999995</x:v>
      </x:c>
    </x:row>
    <x:row r="331">
      <x:c r="A331" t="n">
        <x:v>10000</x:v>
      </x:c>
      <x:c r="B331" t="n">
        <x:v>2000</x:v>
      </x:c>
      <x:c r="C331" t="n">
        <x:v>20260707</x:v>
      </x:c>
      <x:c r="D331" t="str">
        <x:v>R10</x:v>
      </x:c>
      <x:c r="E331" t="str">
        <x:v>61–90</x:v>
      </x:c>
      <x:c r="F331" s="121" t="n">
        <x:v>2.5</x:v>
      </x:c>
      <x:c r="G331" s="121" t="n">
        <x:v>8</x:v>
      </x:c>
      <x:c r="H331" s="121" t="n">
        <x:v>64</x:v>
      </x:c>
      <x:c r="I331" s="121" t="n">
        <x:v>0.1</x:v>
      </x:c>
      <x:c r="J331" s="121" t="n">
        <x:v>88.85</x:v>
      </x:c>
      <x:c r="K331" s="121" t="n">
        <x:v>0.1</x:v>
      </x:c>
      <x:c r="L331" s="121" t="n">
        <x:v>11.4</x:v>
      </x:c>
      <x:c r="M331" s="121" t="n">
        <x:v>-0.014999999999999986</x:v>
      </x:c>
      <x:c r="N331" s="121" t="n">
        <x:v>0.4449999999999932</x:v>
      </x:c>
      <x:c r="O331" s="121" t="n">
        <x:v>-0.014999999999999986</x:v>
      </x:c>
      <x:c r="P331" s="121" t="n">
        <x:v>0.5099999999999998</x:v>
      </x:c>
      <x:c r="Q331" s="121" t="n">
        <x:v>0.014999999999999986</x:v>
      </x:c>
    </x:row>
    <x:row r="332">
      <x:c r="A332" t="n">
        <x:v>10000</x:v>
      </x:c>
      <x:c r="B332" t="n">
        <x:v>2000</x:v>
      </x:c>
      <x:c r="C332" t="n">
        <x:v>20260707</x:v>
      </x:c>
      <x:c r="D332" t="str">
        <x:v>R11</x:v>
      </x:c>
      <x:c r="E332" t="str">
        <x:v>91–120</x:v>
      </x:c>
      <x:c r="F332" s="121" t="n">
        <x:v>2.5</x:v>
      </x:c>
      <x:c r="G332" s="121" t="n">
        <x:v>8</x:v>
      </x:c>
      <x:c r="H332" s="121" t="n">
        <x:v>0.0625</x:v>
      </x:c>
      <x:c r="I332" s="121" t="n">
        <x:v>100</x:v>
      </x:c>
      <x:c r="J332" s="121" t="n">
        <x:v>77.25</x:v>
      </x:c>
      <x:c r="K332" s="121" t="n">
        <x:v>77.25</x:v>
      </x:c>
      <x:c r="L332" s="121" t="n">
        <x:v>5.6000000000000005</x:v>
      </x:c>
      <x:c r="M332" s="121" t="n">
        <x:v>0</x:v>
      </x:c>
      <x:c r="N332" s="121" t="n">
        <x:v>-0.9300000000000068</x:v>
      </x:c>
      <x:c r="O332" s="121" t="n">
        <x:v>-0.9300000000000068</x:v>
      </x:c>
      <x:c r="P332" s="121" t="n">
        <x:v>0.45000000000000107</x:v>
      </x:c>
      <x:c r="Q332" s="121" t="n">
        <x:v>0.9300000000000068</x:v>
      </x:c>
    </x:row>
    <x:row r="333">
      <x:c r="A333" t="n">
        <x:v>10000</x:v>
      </x:c>
      <x:c r="B333" t="n">
        <x:v>2000</x:v>
      </x:c>
      <x:c r="C333" t="n">
        <x:v>20260707</x:v>
      </x:c>
      <x:c r="D333" t="str">
        <x:v>R11</x:v>
      </x:c>
      <x:c r="E333" t="str">
        <x:v>91–120</x:v>
      </x:c>
      <x:c r="F333" s="121" t="n">
        <x:v>2.5</x:v>
      </x:c>
      <x:c r="G333" s="121" t="n">
        <x:v>8</x:v>
      </x:c>
      <x:c r="H333" s="121" t="n">
        <x:v>0.125</x:v>
      </x:c>
      <x:c r="I333" s="121" t="n">
        <x:v>100</x:v>
      </x:c>
      <x:c r="J333" s="121" t="n">
        <x:v>77.25</x:v>
      </x:c>
      <x:c r="K333" s="121" t="n">
        <x:v>77.25</x:v>
      </x:c>
      <x:c r="L333" s="121" t="n">
        <x:v>5.6000000000000005</x:v>
      </x:c>
      <x:c r="M333" s="121" t="n">
        <x:v>0</x:v>
      </x:c>
      <x:c r="N333" s="121" t="n">
        <x:v>-0.9300000000000068</x:v>
      </x:c>
      <x:c r="O333" s="121" t="n">
        <x:v>-0.9300000000000068</x:v>
      </x:c>
      <x:c r="P333" s="121" t="n">
        <x:v>0.45000000000000107</x:v>
      </x:c>
      <x:c r="Q333" s="121" t="n">
        <x:v>0.9300000000000068</x:v>
      </x:c>
    </x:row>
    <x:row r="334">
      <x:c r="A334" t="n">
        <x:v>10000</x:v>
      </x:c>
      <x:c r="B334" t="n">
        <x:v>2000</x:v>
      </x:c>
      <x:c r="C334" t="n">
        <x:v>20260707</x:v>
      </x:c>
      <x:c r="D334" t="str">
        <x:v>R11</x:v>
      </x:c>
      <x:c r="E334" t="str">
        <x:v>91–120</x:v>
      </x:c>
      <x:c r="F334" s="121" t="n">
        <x:v>2.5</x:v>
      </x:c>
      <x:c r="G334" s="121" t="n">
        <x:v>8</x:v>
      </x:c>
      <x:c r="H334" s="121" t="n">
        <x:v>0.25</x:v>
      </x:c>
      <x:c r="I334" s="121" t="n">
        <x:v>100</x:v>
      </x:c>
      <x:c r="J334" s="121" t="n">
        <x:v>77.25</x:v>
      </x:c>
      <x:c r="K334" s="121" t="n">
        <x:v>77.25</x:v>
      </x:c>
      <x:c r="L334" s="121" t="n">
        <x:v>5.6000000000000005</x:v>
      </x:c>
      <x:c r="M334" s="121" t="n">
        <x:v>0</x:v>
      </x:c>
      <x:c r="N334" s="121" t="n">
        <x:v>-0.9300000000000068</x:v>
      </x:c>
      <x:c r="O334" s="121" t="n">
        <x:v>-0.9300000000000068</x:v>
      </x:c>
      <x:c r="P334" s="121" t="n">
        <x:v>0.45000000000000107</x:v>
      </x:c>
      <x:c r="Q334" s="121" t="n">
        <x:v>0.9300000000000068</x:v>
      </x:c>
    </x:row>
    <x:row r="335">
      <x:c r="A335" t="n">
        <x:v>10000</x:v>
      </x:c>
      <x:c r="B335" t="n">
        <x:v>2000</x:v>
      </x:c>
      <x:c r="C335" t="n">
        <x:v>20260707</x:v>
      </x:c>
      <x:c r="D335" t="str">
        <x:v>R11</x:v>
      </x:c>
      <x:c r="E335" t="str">
        <x:v>91–120</x:v>
      </x:c>
      <x:c r="F335" s="121" t="n">
        <x:v>2.5</x:v>
      </x:c>
      <x:c r="G335" s="121" t="n">
        <x:v>8</x:v>
      </x:c>
      <x:c r="H335" s="121" t="n">
        <x:v>0.5</x:v>
      </x:c>
      <x:c r="I335" s="121" t="n">
        <x:v>100</x:v>
      </x:c>
      <x:c r="J335" s="121" t="n">
        <x:v>77.25</x:v>
      </x:c>
      <x:c r="K335" s="121" t="n">
        <x:v>77.25</x:v>
      </x:c>
      <x:c r="L335" s="121" t="n">
        <x:v>5.6000000000000005</x:v>
      </x:c>
      <x:c r="M335" s="121" t="n">
        <x:v>0.0049999999999954525</x:v>
      </x:c>
      <x:c r="N335" s="121" t="n">
        <x:v>-0.9300000000000068</x:v>
      </x:c>
      <x:c r="O335" s="121" t="n">
        <x:v>-0.9300000000000068</x:v>
      </x:c>
      <x:c r="P335" s="121" t="n">
        <x:v>0.45000000000000107</x:v>
      </x:c>
      <x:c r="Q335" s="121" t="n">
        <x:v>0.9300000000000068</x:v>
      </x:c>
    </x:row>
    <x:row r="336">
      <x:c r="A336" t="n">
        <x:v>10000</x:v>
      </x:c>
      <x:c r="B336" t="n">
        <x:v>2000</x:v>
      </x:c>
      <x:c r="C336" t="n">
        <x:v>20260707</x:v>
      </x:c>
      <x:c r="D336" t="str">
        <x:v>R11</x:v>
      </x:c>
      <x:c r="E336" t="str">
        <x:v>91–120</x:v>
      </x:c>
      <x:c r="F336" s="121" t="n">
        <x:v>2.5</x:v>
      </x:c>
      <x:c r="G336" s="121" t="n">
        <x:v>8</x:v>
      </x:c>
      <x:c r="H336" s="121" t="n">
        <x:v>1</x:v>
      </x:c>
      <x:c r="I336" s="121" t="n">
        <x:v>100</x:v>
      </x:c>
      <x:c r="J336" s="121" t="n">
        <x:v>77.25</x:v>
      </x:c>
      <x:c r="K336" s="121" t="n">
        <x:v>77.25</x:v>
      </x:c>
      <x:c r="L336" s="121" t="n">
        <x:v>5.6000000000000005</x:v>
      </x:c>
      <x:c r="M336" s="121" t="n">
        <x:v>0.04999999999999716</x:v>
      </x:c>
      <x:c r="N336" s="121" t="n">
        <x:v>-0.9300000000000068</x:v>
      </x:c>
      <x:c r="O336" s="121" t="n">
        <x:v>-0.9300000000000068</x:v>
      </x:c>
      <x:c r="P336" s="121" t="n">
        <x:v>0.45000000000000107</x:v>
      </x:c>
      <x:c r="Q336" s="121" t="n">
        <x:v>0.9300000000000068</x:v>
      </x:c>
    </x:row>
    <x:row r="337">
      <x:c r="A337" t="n">
        <x:v>10000</x:v>
      </x:c>
      <x:c r="B337" t="n">
        <x:v>2000</x:v>
      </x:c>
      <x:c r="C337" t="n">
        <x:v>20260707</x:v>
      </x:c>
      <x:c r="D337" t="str">
        <x:v>R11</x:v>
      </x:c>
      <x:c r="E337" t="str">
        <x:v>91–120</x:v>
      </x:c>
      <x:c r="F337" s="121" t="n">
        <x:v>2.5</x:v>
      </x:c>
      <x:c r="G337" s="121" t="n">
        <x:v>8</x:v>
      </x:c>
      <x:c r="H337" s="121" t="n">
        <x:v>2</x:v>
      </x:c>
      <x:c r="I337" s="121" t="n">
        <x:v>98.8</x:v>
      </x:c>
      <x:c r="J337" s="121" t="n">
        <x:v>77.25</x:v>
      </x:c>
      <x:c r="K337" s="121" t="n">
        <x:v>77.25</x:v>
      </x:c>
      <x:c r="L337" s="121" t="n">
        <x:v>5.6000000000000005</x:v>
      </x:c>
      <x:c r="M337" s="121" t="n">
        <x:v>0.030000000000001137</x:v>
      </x:c>
      <x:c r="N337" s="121" t="n">
        <x:v>-0.9300000000000068</x:v>
      </x:c>
      <x:c r="O337" s="121" t="n">
        <x:v>-0.9300000000000068</x:v>
      </x:c>
      <x:c r="P337" s="121" t="n">
        <x:v>0.45000000000000107</x:v>
      </x:c>
      <x:c r="Q337" s="121" t="n">
        <x:v>0.9300000000000068</x:v>
      </x:c>
    </x:row>
    <x:row r="338">
      <x:c r="A338" t="n">
        <x:v>10000</x:v>
      </x:c>
      <x:c r="B338" t="n">
        <x:v>2000</x:v>
      </x:c>
      <x:c r="C338" t="n">
        <x:v>20260707</x:v>
      </x:c>
      <x:c r="D338" t="str">
        <x:v>R11</x:v>
      </x:c>
      <x:c r="E338" t="str">
        <x:v>91–120</x:v>
      </x:c>
      <x:c r="F338" s="121" t="n">
        <x:v>2.5</x:v>
      </x:c>
      <x:c r="G338" s="121" t="n">
        <x:v>8</x:v>
      </x:c>
      <x:c r="H338" s="121" t="n">
        <x:v>4</x:v>
      </x:c>
      <x:c r="I338" s="121" t="n">
        <x:v>86.85000000000001</x:v>
      </x:c>
      <x:c r="J338" s="121" t="n">
        <x:v>77.25</x:v>
      </x:c>
      <x:c r="K338" s="121" t="n">
        <x:v>76.55</x:v>
      </x:c>
      <x:c r="L338" s="121" t="n">
        <x:v>5.6000000000000005</x:v>
      </x:c>
      <x:c r="M338" s="121" t="n">
        <x:v>-0.05499999999999261</x:v>
      </x:c>
      <x:c r="N338" s="121" t="n">
        <x:v>-0.9300000000000068</x:v>
      </x:c>
      <x:c r="O338" s="121" t="n">
        <x:v>-0.9099999999999966</x:v>
      </x:c>
      <x:c r="P338" s="121" t="n">
        <x:v>0.45000000000000107</x:v>
      </x:c>
      <x:c r="Q338" s="121" t="n">
        <x:v>0.9099999999999966</x:v>
      </x:c>
    </x:row>
    <x:row r="339">
      <x:c r="A339" t="n">
        <x:v>10000</x:v>
      </x:c>
      <x:c r="B339" t="n">
        <x:v>2000</x:v>
      </x:c>
      <x:c r="C339" t="n">
        <x:v>20260707</x:v>
      </x:c>
      <x:c r="D339" t="str">
        <x:v>R11</x:v>
      </x:c>
      <x:c r="E339" t="str">
        <x:v>91–120</x:v>
      </x:c>
      <x:c r="F339" s="121" t="n">
        <x:v>2.5</x:v>
      </x:c>
      <x:c r="G339" s="121" t="n">
        <x:v>8</x:v>
      </x:c>
      <x:c r="H339" s="121" t="n">
        <x:v>8</x:v>
      </x:c>
      <x:c r="I339" s="121" t="n">
        <x:v>48.949999999999996</x:v>
      </x:c>
      <x:c r="J339" s="121" t="n">
        <x:v>77.25</x:v>
      </x:c>
      <x:c r="K339" s="121" t="n">
        <x:v>48.9</x:v>
      </x:c>
      <x:c r="L339" s="121" t="n">
        <x:v>5.6000000000000005</x:v>
      </x:c>
      <x:c r="M339" s="121" t="n">
        <x:v>-1.740000000000009</x:v>
      </x:c>
      <x:c r="N339" s="121" t="n">
        <x:v>-0.9300000000000068</x:v>
      </x:c>
      <x:c r="O339" s="121" t="n">
        <x:v>-1.7650000000000077</x:v>
      </x:c>
      <x:c r="P339" s="121" t="n">
        <x:v>0.45000000000000107</x:v>
      </x:c>
      <x:c r="Q339" s="121" t="n">
        <x:v>1.7650000000000077</x:v>
      </x:c>
    </x:row>
    <x:row r="340">
      <x:c r="A340" t="n">
        <x:v>10000</x:v>
      </x:c>
      <x:c r="B340" t="n">
        <x:v>2000</x:v>
      </x:c>
      <x:c r="C340" t="n">
        <x:v>20260707</x:v>
      </x:c>
      <x:c r="D340" t="str">
        <x:v>R11</x:v>
      </x:c>
      <x:c r="E340" t="str">
        <x:v>91–120</x:v>
      </x:c>
      <x:c r="F340" s="121" t="n">
        <x:v>2.5</x:v>
      </x:c>
      <x:c r="G340" s="121" t="n">
        <x:v>8</x:v>
      </x:c>
      <x:c r="H340" s="121" t="n">
        <x:v>16</x:v>
      </x:c>
      <x:c r="I340" s="121" t="n">
        <x:v>13.100000000000001</x:v>
      </x:c>
      <x:c r="J340" s="121" t="n">
        <x:v>77.25</x:v>
      </x:c>
      <x:c r="K340" s="121" t="n">
        <x:v>13.100000000000001</x:v>
      </x:c>
      <x:c r="L340" s="121" t="n">
        <x:v>5.6000000000000005</x:v>
      </x:c>
      <x:c r="M340" s="121" t="n">
        <x:v>-0.36999999999999744</x:v>
      </x:c>
      <x:c r="N340" s="121" t="n">
        <x:v>-0.9300000000000068</x:v>
      </x:c>
      <x:c r="O340" s="121" t="n">
        <x:v>-0.36999999999999744</x:v>
      </x:c>
      <x:c r="P340" s="121" t="n">
        <x:v>0.45000000000000107</x:v>
      </x:c>
      <x:c r="Q340" s="121" t="n">
        <x:v>0.36999999999999744</x:v>
      </x:c>
    </x:row>
    <x:row r="341">
      <x:c r="A341" t="n">
        <x:v>10000</x:v>
      </x:c>
      <x:c r="B341" t="n">
        <x:v>2000</x:v>
      </x:c>
      <x:c r="C341" t="n">
        <x:v>20260707</x:v>
      </x:c>
      <x:c r="D341" t="str">
        <x:v>R11</x:v>
      </x:c>
      <x:c r="E341" t="str">
        <x:v>91–120</x:v>
      </x:c>
      <x:c r="F341" s="121" t="n">
        <x:v>2.5</x:v>
      </x:c>
      <x:c r="G341" s="121" t="n">
        <x:v>8</x:v>
      </x:c>
      <x:c r="H341" s="121" t="n">
        <x:v>32</x:v>
      </x:c>
      <x:c r="I341" s="121" t="n">
        <x:v>1.4500000000000002</x:v>
      </x:c>
      <x:c r="J341" s="121" t="n">
        <x:v>77.25</x:v>
      </x:c>
      <x:c r="K341" s="121" t="n">
        <x:v>1.4500000000000002</x:v>
      </x:c>
      <x:c r="L341" s="121" t="n">
        <x:v>5.6000000000000005</x:v>
      </x:c>
      <x:c r="M341" s="121" t="n">
        <x:v>0.16000000000000014</x:v>
      </x:c>
      <x:c r="N341" s="121" t="n">
        <x:v>-0.9300000000000068</x:v>
      </x:c>
      <x:c r="O341" s="121" t="n">
        <x:v>0.16000000000000014</x:v>
      </x:c>
      <x:c r="P341" s="121" t="n">
        <x:v>0.45000000000000107</x:v>
      </x:c>
      <x:c r="Q341" s="121" t="n">
        <x:v>0.16000000000000014</x:v>
      </x:c>
    </x:row>
    <x:row r="342">
      <x:c r="A342" t="n">
        <x:v>10000</x:v>
      </x:c>
      <x:c r="B342" t="n">
        <x:v>2000</x:v>
      </x:c>
      <x:c r="C342" t="n">
        <x:v>20260707</x:v>
      </x:c>
      <x:c r="D342" t="str">
        <x:v>R11</x:v>
      </x:c>
      <x:c r="E342" t="str">
        <x:v>91–120</x:v>
      </x:c>
      <x:c r="F342" s="121" t="n">
        <x:v>2.5</x:v>
      </x:c>
      <x:c r="G342" s="121" t="n">
        <x:v>8</x:v>
      </x:c>
      <x:c r="H342" s="121" t="n">
        <x:v>64</x:v>
      </x:c>
      <x:c r="I342" s="121" t="n">
        <x:v>0.05</x:v>
      </x:c>
      <x:c r="J342" s="121" t="n">
        <x:v>77.25</x:v>
      </x:c>
      <x:c r="K342" s="121" t="n">
        <x:v>0.05</x:v>
      </x:c>
      <x:c r="L342" s="121" t="n">
        <x:v>5.6000000000000005</x:v>
      </x:c>
      <x:c r="M342" s="121" t="n">
        <x:v>0.035</x:v>
      </x:c>
      <x:c r="N342" s="121" t="n">
        <x:v>-0.9300000000000068</x:v>
      </x:c>
      <x:c r="O342" s="121" t="n">
        <x:v>0.035</x:v>
      </x:c>
      <x:c r="P342" s="121" t="n">
        <x:v>0.45000000000000107</x:v>
      </x:c>
      <x:c r="Q342" s="121" t="n">
        <x:v>0.035</x:v>
      </x:c>
    </x:row>
    <x:row r="343">
      <x:c r="A343" t="n">
        <x:v>10000</x:v>
      </x:c>
      <x:c r="B343" t="n">
        <x:v>2000</x:v>
      </x:c>
      <x:c r="C343" t="n">
        <x:v>20260707</x:v>
      </x:c>
      <x:c r="D343" t="str">
        <x:v>R12</x:v>
      </x:c>
      <x:c r="E343" t="str">
        <x:v>91–120</x:v>
      </x:c>
      <x:c r="F343" s="121" t="n">
        <x:v>2.5</x:v>
      </x:c>
      <x:c r="G343" s="121" t="n">
        <x:v>6</x:v>
      </x:c>
      <x:c r="H343" s="121" t="n">
        <x:v>0.0625</x:v>
      </x:c>
      <x:c r="I343" s="121" t="n">
        <x:v>100</x:v>
      </x:c>
      <x:c r="J343" s="121" t="n">
        <x:v>88.4</x:v>
      </x:c>
      <x:c r="K343" s="121" t="n">
        <x:v>88.4</x:v>
      </x:c>
      <x:c r="L343" s="121" t="n">
        <x:v>11.85</x:v>
      </x:c>
      <x:c r="M343" s="121" t="n">
        <x:v>0</x:v>
      </x:c>
      <x:c r="N343" s="121" t="n">
        <x:v>-0.060000000000002274</x:v>
      </x:c>
      <x:c r="O343" s="121" t="n">
        <x:v>-0.060000000000002274</x:v>
      </x:c>
      <x:c r="P343" s="121" t="n">
        <x:v>-0.47000000000000064</x:v>
      </x:c>
      <x:c r="Q343" s="121" t="n">
        <x:v>0.060000000000002274</x:v>
      </x:c>
    </x:row>
    <x:row r="344">
      <x:c r="A344" t="n">
        <x:v>10000</x:v>
      </x:c>
      <x:c r="B344" t="n">
        <x:v>2000</x:v>
      </x:c>
      <x:c r="C344" t="n">
        <x:v>20260707</x:v>
      </x:c>
      <x:c r="D344" t="str">
        <x:v>R12</x:v>
      </x:c>
      <x:c r="E344" t="str">
        <x:v>91–120</x:v>
      </x:c>
      <x:c r="F344" s="121" t="n">
        <x:v>2.5</x:v>
      </x:c>
      <x:c r="G344" s="121" t="n">
        <x:v>6</x:v>
      </x:c>
      <x:c r="H344" s="121" t="n">
        <x:v>0.125</x:v>
      </x:c>
      <x:c r="I344" s="121" t="n">
        <x:v>100</x:v>
      </x:c>
      <x:c r="J344" s="121" t="n">
        <x:v>88.4</x:v>
      </x:c>
      <x:c r="K344" s="121" t="n">
        <x:v>88.4</x:v>
      </x:c>
      <x:c r="L344" s="121" t="n">
        <x:v>11.85</x:v>
      </x:c>
      <x:c r="M344" s="121" t="n">
        <x:v>0</x:v>
      </x:c>
      <x:c r="N344" s="121" t="n">
        <x:v>-0.060000000000002274</x:v>
      </x:c>
      <x:c r="O344" s="121" t="n">
        <x:v>-0.060000000000002274</x:v>
      </x:c>
      <x:c r="P344" s="121" t="n">
        <x:v>-0.47000000000000064</x:v>
      </x:c>
      <x:c r="Q344" s="121" t="n">
        <x:v>0.060000000000002274</x:v>
      </x:c>
    </x:row>
    <x:row r="345">
      <x:c r="A345" t="n">
        <x:v>10000</x:v>
      </x:c>
      <x:c r="B345" t="n">
        <x:v>2000</x:v>
      </x:c>
      <x:c r="C345" t="n">
        <x:v>20260707</x:v>
      </x:c>
      <x:c r="D345" t="str">
        <x:v>R12</x:v>
      </x:c>
      <x:c r="E345" t="str">
        <x:v>91–120</x:v>
      </x:c>
      <x:c r="F345" s="121" t="n">
        <x:v>2.5</x:v>
      </x:c>
      <x:c r="G345" s="121" t="n">
        <x:v>6</x:v>
      </x:c>
      <x:c r="H345" s="121" t="n">
        <x:v>0.25</x:v>
      </x:c>
      <x:c r="I345" s="121" t="n">
        <x:v>100</x:v>
      </x:c>
      <x:c r="J345" s="121" t="n">
        <x:v>88.4</x:v>
      </x:c>
      <x:c r="K345" s="121" t="n">
        <x:v>88.4</x:v>
      </x:c>
      <x:c r="L345" s="121" t="n">
        <x:v>11.85</x:v>
      </x:c>
      <x:c r="M345" s="121" t="n">
        <x:v>0</x:v>
      </x:c>
      <x:c r="N345" s="121" t="n">
        <x:v>-0.060000000000002274</x:v>
      </x:c>
      <x:c r="O345" s="121" t="n">
        <x:v>-0.060000000000002274</x:v>
      </x:c>
      <x:c r="P345" s="121" t="n">
        <x:v>-0.47000000000000064</x:v>
      </x:c>
      <x:c r="Q345" s="121" t="n">
        <x:v>0.060000000000002274</x:v>
      </x:c>
    </x:row>
    <x:row r="346">
      <x:c r="A346" t="n">
        <x:v>10000</x:v>
      </x:c>
      <x:c r="B346" t="n">
        <x:v>2000</x:v>
      </x:c>
      <x:c r="C346" t="n">
        <x:v>20260707</x:v>
      </x:c>
      <x:c r="D346" t="str">
        <x:v>R12</x:v>
      </x:c>
      <x:c r="E346" t="str">
        <x:v>91–120</x:v>
      </x:c>
      <x:c r="F346" s="121" t="n">
        <x:v>2.5</x:v>
      </x:c>
      <x:c r="G346" s="121" t="n">
        <x:v>6</x:v>
      </x:c>
      <x:c r="H346" s="121" t="n">
        <x:v>0.5</x:v>
      </x:c>
      <x:c r="I346" s="121" t="n">
        <x:v>100</x:v>
      </x:c>
      <x:c r="J346" s="121" t="n">
        <x:v>88.4</x:v>
      </x:c>
      <x:c r="K346" s="121" t="n">
        <x:v>88.4</x:v>
      </x:c>
      <x:c r="L346" s="121" t="n">
        <x:v>11.85</x:v>
      </x:c>
      <x:c r="M346" s="121" t="n">
        <x:v>0</x:v>
      </x:c>
      <x:c r="N346" s="121" t="n">
        <x:v>-0.060000000000002274</x:v>
      </x:c>
      <x:c r="O346" s="121" t="n">
        <x:v>-0.060000000000002274</x:v>
      </x:c>
      <x:c r="P346" s="121" t="n">
        <x:v>-0.47000000000000064</x:v>
      </x:c>
      <x:c r="Q346" s="121" t="n">
        <x:v>0.060000000000002274</x:v>
      </x:c>
    </x:row>
    <x:row r="347">
      <x:c r="A347" t="n">
        <x:v>10000</x:v>
      </x:c>
      <x:c r="B347" t="n">
        <x:v>2000</x:v>
      </x:c>
      <x:c r="C347" t="n">
        <x:v>20260707</x:v>
      </x:c>
      <x:c r="D347" t="str">
        <x:v>R12</x:v>
      </x:c>
      <x:c r="E347" t="str">
        <x:v>91–120</x:v>
      </x:c>
      <x:c r="F347" s="121" t="n">
        <x:v>2.5</x:v>
      </x:c>
      <x:c r="G347" s="121" t="n">
        <x:v>6</x:v>
      </x:c>
      <x:c r="H347" s="121" t="n">
        <x:v>1</x:v>
      </x:c>
      <x:c r="I347" s="121" t="n">
        <x:v>100</x:v>
      </x:c>
      <x:c r="J347" s="121" t="n">
        <x:v>88.4</x:v>
      </x:c>
      <x:c r="K347" s="121" t="n">
        <x:v>88.4</x:v>
      </x:c>
      <x:c r="L347" s="121" t="n">
        <x:v>11.85</x:v>
      </x:c>
      <x:c r="M347" s="121" t="n">
        <x:v>0.010000000000005116</x:v>
      </x:c>
      <x:c r="N347" s="121" t="n">
        <x:v>-0.060000000000002274</x:v>
      </x:c>
      <x:c r="O347" s="121" t="n">
        <x:v>-0.060000000000002274</x:v>
      </x:c>
      <x:c r="P347" s="121" t="n">
        <x:v>-0.47000000000000064</x:v>
      </x:c>
      <x:c r="Q347" s="121" t="n">
        <x:v>0.060000000000002274</x:v>
      </x:c>
    </x:row>
    <x:row r="348">
      <x:c r="A348" t="n">
        <x:v>10000</x:v>
      </x:c>
      <x:c r="B348" t="n">
        <x:v>2000</x:v>
      </x:c>
      <x:c r="C348" t="n">
        <x:v>20260707</x:v>
      </x:c>
      <x:c r="D348" t="str">
        <x:v>R12</x:v>
      </x:c>
      <x:c r="E348" t="str">
        <x:v>91–120</x:v>
      </x:c>
      <x:c r="F348" s="121" t="n">
        <x:v>2.5</x:v>
      </x:c>
      <x:c r="G348" s="121" t="n">
        <x:v>6</x:v>
      </x:c>
      <x:c r="H348" s="121" t="n">
        <x:v>2</x:v>
      </x:c>
      <x:c r="I348" s="121" t="n">
        <x:v>99.85000000000001</x:v>
      </x:c>
      <x:c r="J348" s="121" t="n">
        <x:v>88.4</x:v>
      </x:c>
      <x:c r="K348" s="121" t="n">
        <x:v>88.4</x:v>
      </x:c>
      <x:c r="L348" s="121" t="n">
        <x:v>11.85</x:v>
      </x:c>
      <x:c r="M348" s="121" t="n">
        <x:v>0.1700000000000017</x:v>
      </x:c>
      <x:c r="N348" s="121" t="n">
        <x:v>-0.060000000000002274</x:v>
      </x:c>
      <x:c r="O348" s="121" t="n">
        <x:v>-0.060000000000002274</x:v>
      </x:c>
      <x:c r="P348" s="121" t="n">
        <x:v>-0.47000000000000064</x:v>
      </x:c>
      <x:c r="Q348" s="121" t="n">
        <x:v>0.060000000000002274</x:v>
      </x:c>
    </x:row>
    <x:row r="349">
      <x:c r="A349" t="n">
        <x:v>10000</x:v>
      </x:c>
      <x:c r="B349" t="n">
        <x:v>2000</x:v>
      </x:c>
      <x:c r="C349" t="n">
        <x:v>20260707</x:v>
      </x:c>
      <x:c r="D349" t="str">
        <x:v>R12</x:v>
      </x:c>
      <x:c r="E349" t="str">
        <x:v>91–120</x:v>
      </x:c>
      <x:c r="F349" s="121" t="n">
        <x:v>2.5</x:v>
      </x:c>
      <x:c r="G349" s="121" t="n">
        <x:v>6</x:v>
      </x:c>
      <x:c r="H349" s="121" t="n">
        <x:v>4</x:v>
      </x:c>
      <x:c r="I349" s="121" t="n">
        <x:v>94.3</x:v>
      </x:c>
      <x:c r="J349" s="121" t="n">
        <x:v>88.4</x:v>
      </x:c>
      <x:c r="K349" s="121" t="n">
        <x:v>87.94999999999999</x:v>
      </x:c>
      <x:c r="L349" s="121" t="n">
        <x:v>11.85</x:v>
      </x:c>
      <x:c r="M349" s="121" t="n">
        <x:v>-0.10500000000000398</x:v>
      </x:c>
      <x:c r="N349" s="121" t="n">
        <x:v>-0.060000000000002274</x:v>
      </x:c>
      <x:c r="O349" s="121" t="n">
        <x:v>-0.12000000000001876</x:v>
      </x:c>
      <x:c r="P349" s="121" t="n">
        <x:v>-0.47000000000000064</x:v>
      </x:c>
      <x:c r="Q349" s="121" t="n">
        <x:v>0.12000000000001876</x:v>
      </x:c>
    </x:row>
    <x:row r="350">
      <x:c r="A350" t="n">
        <x:v>10000</x:v>
      </x:c>
      <x:c r="B350" t="n">
        <x:v>2000</x:v>
      </x:c>
      <x:c r="C350" t="n">
        <x:v>20260707</x:v>
      </x:c>
      <x:c r="D350" t="str">
        <x:v>R12</x:v>
      </x:c>
      <x:c r="E350" t="str">
        <x:v>91–120</x:v>
      </x:c>
      <x:c r="F350" s="121" t="n">
        <x:v>2.5</x:v>
      </x:c>
      <x:c r="G350" s="121" t="n">
        <x:v>6</x:v>
      </x:c>
      <x:c r="H350" s="121" t="n">
        <x:v>8</x:v>
      </x:c>
      <x:c r="I350" s="121" t="n">
        <x:v>65.95</x:v>
      </x:c>
      <x:c r="J350" s="121" t="n">
        <x:v>88.4</x:v>
      </x:c>
      <x:c r="K350" s="121" t="n">
        <x:v>65.9</x:v>
      </x:c>
      <x:c r="L350" s="121" t="n">
        <x:v>11.85</x:v>
      </x:c>
      <x:c r="M350" s="121" t="n">
        <x:v>-2.1650000000000063</x:v>
      </x:c>
      <x:c r="N350" s="121" t="n">
        <x:v>-0.060000000000002274</x:v>
      </x:c>
      <x:c r="O350" s="121" t="n">
        <x:v>-2.144999999999996</x:v>
      </x:c>
      <x:c r="P350" s="121" t="n">
        <x:v>-0.47000000000000064</x:v>
      </x:c>
      <x:c r="Q350" s="121" t="n">
        <x:v>2.144999999999996</x:v>
      </x:c>
    </x:row>
    <x:row r="351">
      <x:c r="A351" t="n">
        <x:v>10000</x:v>
      </x:c>
      <x:c r="B351" t="n">
        <x:v>2000</x:v>
      </x:c>
      <x:c r="C351" t="n">
        <x:v>20260707</x:v>
      </x:c>
      <x:c r="D351" t="str">
        <x:v>R12</x:v>
      </x:c>
      <x:c r="E351" t="str">
        <x:v>91–120</x:v>
      </x:c>
      <x:c r="F351" s="121" t="n">
        <x:v>2.5</x:v>
      </x:c>
      <x:c r="G351" s="121" t="n">
        <x:v>6</x:v>
      </x:c>
      <x:c r="H351" s="121" t="n">
        <x:v>16</x:v>
      </x:c>
      <x:c r="I351" s="121" t="n">
        <x:v>26.1</x:v>
      </x:c>
      <x:c r="J351" s="121" t="n">
        <x:v>88.4</x:v>
      </x:c>
      <x:c r="K351" s="121" t="n">
        <x:v>26.1</x:v>
      </x:c>
      <x:c r="L351" s="121" t="n">
        <x:v>11.85</x:v>
      </x:c>
      <x:c r="M351" s="121" t="n">
        <x:v>-0.07499999999999574</x:v>
      </x:c>
      <x:c r="N351" s="121" t="n">
        <x:v>-0.060000000000002274</x:v>
      </x:c>
      <x:c r="O351" s="121" t="n">
        <x:v>-0.07499999999999574</x:v>
      </x:c>
      <x:c r="P351" s="121" t="n">
        <x:v>-0.47000000000000064</x:v>
      </x:c>
      <x:c r="Q351" s="121" t="n">
        <x:v>0.07499999999999574</x:v>
      </x:c>
    </x:row>
    <x:row r="352">
      <x:c r="A352" t="n">
        <x:v>10000</x:v>
      </x:c>
      <x:c r="B352" t="n">
        <x:v>2000</x:v>
      </x:c>
      <x:c r="C352" t="n">
        <x:v>20260707</x:v>
      </x:c>
      <x:c r="D352" t="str">
        <x:v>R12</x:v>
      </x:c>
      <x:c r="E352" t="str">
        <x:v>91–120</x:v>
      </x:c>
      <x:c r="F352" s="121" t="n">
        <x:v>2.5</x:v>
      </x:c>
      <x:c r="G352" s="121" t="n">
        <x:v>6</x:v>
      </x:c>
      <x:c r="H352" s="121" t="n">
        <x:v>32</x:v>
      </x:c>
      <x:c r="I352" s="121" t="n">
        <x:v>4.05</x:v>
      </x:c>
      <x:c r="J352" s="121" t="n">
        <x:v>88.4</x:v>
      </x:c>
      <x:c r="K352" s="121" t="n">
        <x:v>4.05</x:v>
      </x:c>
      <x:c r="L352" s="121" t="n">
        <x:v>11.85</x:v>
      </x:c>
      <x:c r="M352" s="121" t="n">
        <x:v>0.2699999999999996</x:v>
      </x:c>
      <x:c r="N352" s="121" t="n">
        <x:v>-0.060000000000002274</x:v>
      </x:c>
      <x:c r="O352" s="121" t="n">
        <x:v>0.2699999999999996</x:v>
      </x:c>
      <x:c r="P352" s="121" t="n">
        <x:v>-0.47000000000000064</x:v>
      </x:c>
      <x:c r="Q352" s="121" t="n">
        <x:v>0.2699999999999996</x:v>
      </x:c>
    </x:row>
    <x:row r="353">
      <x:c r="A353" t="n">
        <x:v>10000</x:v>
      </x:c>
      <x:c r="B353" t="n">
        <x:v>2000</x:v>
      </x:c>
      <x:c r="C353" t="n">
        <x:v>20260707</x:v>
      </x:c>
      <x:c r="D353" t="str">
        <x:v>R12</x:v>
      </x:c>
      <x:c r="E353" t="str">
        <x:v>91–120</x:v>
      </x:c>
      <x:c r="F353" s="121" t="n">
        <x:v>2.5</x:v>
      </x:c>
      <x:c r="G353" s="121" t="n">
        <x:v>6</x:v>
      </x:c>
      <x:c r="H353" s="121" t="n">
        <x:v>64</x:v>
      </x:c>
      <x:c r="I353" s="121" t="n">
        <x:v>0.2</x:v>
      </x:c>
      <x:c r="J353" s="121" t="n">
        <x:v>88.4</x:v>
      </x:c>
      <x:c r="K353" s="121" t="n">
        <x:v>0.2</x:v>
      </x:c>
      <x:c r="L353" s="121" t="n">
        <x:v>11.85</x:v>
      </x:c>
      <x:c r="M353" s="121" t="n">
        <x:v>0</x:v>
      </x:c>
      <x:c r="N353" s="121" t="n">
        <x:v>-0.060000000000002274</x:v>
      </x:c>
      <x:c r="O353" s="121" t="n">
        <x:v>0</x:v>
      </x:c>
      <x:c r="P353" s="121" t="n">
        <x:v>-0.47000000000000064</x:v>
      </x:c>
      <x:c r="Q353" s="121" t="n">
        <x:v>0</x:v>
      </x:c>
    </x:row>
    <x:row r="354">
      <x:c r="A354" t="n">
        <x:v>10000</x:v>
      </x:c>
      <x:c r="B354" t="n">
        <x:v>2000</x:v>
      </x:c>
      <x:c r="C354" t="n">
        <x:v>20260707</x:v>
      </x:c>
      <x:c r="D354" t="str">
        <x:v>R13</x:v>
      </x:c>
      <x:c r="E354" t="str">
        <x:v>121–150</x:v>
      </x:c>
      <x:c r="F354" s="121" t="n">
        <x:v>2.5</x:v>
      </x:c>
      <x:c r="G354" s="121" t="n">
        <x:v>6</x:v>
      </x:c>
      <x:c r="H354" s="121" t="n">
        <x:v>0.0625</x:v>
      </x:c>
      <x:c r="I354" s="121" t="n">
        <x:v>100</x:v>
      </x:c>
      <x:c r="J354" s="121" t="n">
        <x:v>80.5</x:v>
      </x:c>
      <x:c r="K354" s="121" t="n">
        <x:v>80.5</x:v>
      </x:c>
      <x:c r="L354" s="121" t="n">
        <x:v>6.950000000000001</x:v>
      </x:c>
      <x:c r="M354" s="121" t="n">
        <x:v>0</x:v>
      </x:c>
      <x:c r="N354" s="121" t="n">
        <x:v>-0.7450000000000045</x:v>
      </x:c>
      <x:c r="O354" s="121" t="n">
        <x:v>-0.7450000000000045</x:v>
      </x:c>
      <x:c r="P354" s="121" t="n">
        <x:v>-0.379999999999999</x:v>
      </x:c>
      <x:c r="Q354" s="121" t="n">
        <x:v>0.7450000000000045</x:v>
      </x:c>
    </x:row>
    <x:row r="355">
      <x:c r="A355" t="n">
        <x:v>10000</x:v>
      </x:c>
      <x:c r="B355" t="n">
        <x:v>2000</x:v>
      </x:c>
      <x:c r="C355" t="n">
        <x:v>20260707</x:v>
      </x:c>
      <x:c r="D355" t="str">
        <x:v>R13</x:v>
      </x:c>
      <x:c r="E355" t="str">
        <x:v>121–150</x:v>
      </x:c>
      <x:c r="F355" s="121" t="n">
        <x:v>2.5</x:v>
      </x:c>
      <x:c r="G355" s="121" t="n">
        <x:v>6</x:v>
      </x:c>
      <x:c r="H355" s="121" t="n">
        <x:v>0.125</x:v>
      </x:c>
      <x:c r="I355" s="121" t="n">
        <x:v>100</x:v>
      </x:c>
      <x:c r="J355" s="121" t="n">
        <x:v>80.5</x:v>
      </x:c>
      <x:c r="K355" s="121" t="n">
        <x:v>80.5</x:v>
      </x:c>
      <x:c r="L355" s="121" t="n">
        <x:v>6.950000000000001</x:v>
      </x:c>
      <x:c r="M355" s="121" t="n">
        <x:v>0</x:v>
      </x:c>
      <x:c r="N355" s="121" t="n">
        <x:v>-0.7450000000000045</x:v>
      </x:c>
      <x:c r="O355" s="121" t="n">
        <x:v>-0.7450000000000045</x:v>
      </x:c>
      <x:c r="P355" s="121" t="n">
        <x:v>-0.379999999999999</x:v>
      </x:c>
      <x:c r="Q355" s="121" t="n">
        <x:v>0.7450000000000045</x:v>
      </x:c>
    </x:row>
    <x:row r="356">
      <x:c r="A356" t="n">
        <x:v>10000</x:v>
      </x:c>
      <x:c r="B356" t="n">
        <x:v>2000</x:v>
      </x:c>
      <x:c r="C356" t="n">
        <x:v>20260707</x:v>
      </x:c>
      <x:c r="D356" t="str">
        <x:v>R13</x:v>
      </x:c>
      <x:c r="E356" t="str">
        <x:v>121–150</x:v>
      </x:c>
      <x:c r="F356" s="121" t="n">
        <x:v>2.5</x:v>
      </x:c>
      <x:c r="G356" s="121" t="n">
        <x:v>6</x:v>
      </x:c>
      <x:c r="H356" s="121" t="n">
        <x:v>0.25</x:v>
      </x:c>
      <x:c r="I356" s="121" t="n">
        <x:v>100</x:v>
      </x:c>
      <x:c r="J356" s="121" t="n">
        <x:v>80.5</x:v>
      </x:c>
      <x:c r="K356" s="121" t="n">
        <x:v>80.5</x:v>
      </x:c>
      <x:c r="L356" s="121" t="n">
        <x:v>6.950000000000001</x:v>
      </x:c>
      <x:c r="M356" s="121" t="n">
        <x:v>0</x:v>
      </x:c>
      <x:c r="N356" s="121" t="n">
        <x:v>-0.7450000000000045</x:v>
      </x:c>
      <x:c r="O356" s="121" t="n">
        <x:v>-0.7450000000000045</x:v>
      </x:c>
      <x:c r="P356" s="121" t="n">
        <x:v>-0.379999999999999</x:v>
      </x:c>
      <x:c r="Q356" s="121" t="n">
        <x:v>0.7450000000000045</x:v>
      </x:c>
    </x:row>
    <x:row r="357">
      <x:c r="A357" t="n">
        <x:v>10000</x:v>
      </x:c>
      <x:c r="B357" t="n">
        <x:v>2000</x:v>
      </x:c>
      <x:c r="C357" t="n">
        <x:v>20260707</x:v>
      </x:c>
      <x:c r="D357" t="str">
        <x:v>R13</x:v>
      </x:c>
      <x:c r="E357" t="str">
        <x:v>121–150</x:v>
      </x:c>
      <x:c r="F357" s="121" t="n">
        <x:v>2.5</x:v>
      </x:c>
      <x:c r="G357" s="121" t="n">
        <x:v>6</x:v>
      </x:c>
      <x:c r="H357" s="121" t="n">
        <x:v>0.5</x:v>
      </x:c>
      <x:c r="I357" s="121" t="n">
        <x:v>100</x:v>
      </x:c>
      <x:c r="J357" s="121" t="n">
        <x:v>80.5</x:v>
      </x:c>
      <x:c r="K357" s="121" t="n">
        <x:v>80.5</x:v>
      </x:c>
      <x:c r="L357" s="121" t="n">
        <x:v>6.950000000000001</x:v>
      </x:c>
      <x:c r="M357" s="121" t="n">
        <x:v>0</x:v>
      </x:c>
      <x:c r="N357" s="121" t="n">
        <x:v>-0.7450000000000045</x:v>
      </x:c>
      <x:c r="O357" s="121" t="n">
        <x:v>-0.7450000000000045</x:v>
      </x:c>
      <x:c r="P357" s="121" t="n">
        <x:v>-0.379999999999999</x:v>
      </x:c>
      <x:c r="Q357" s="121" t="n">
        <x:v>0.7450000000000045</x:v>
      </x:c>
    </x:row>
    <x:row r="358">
      <x:c r="A358" t="n">
        <x:v>10000</x:v>
      </x:c>
      <x:c r="B358" t="n">
        <x:v>2000</x:v>
      </x:c>
      <x:c r="C358" t="n">
        <x:v>20260707</x:v>
      </x:c>
      <x:c r="D358" t="str">
        <x:v>R13</x:v>
      </x:c>
      <x:c r="E358" t="str">
        <x:v>121–150</x:v>
      </x:c>
      <x:c r="F358" s="121" t="n">
        <x:v>2.5</x:v>
      </x:c>
      <x:c r="G358" s="121" t="n">
        <x:v>6</x:v>
      </x:c>
      <x:c r="H358" s="121" t="n">
        <x:v>1</x:v>
      </x:c>
      <x:c r="I358" s="121" t="n">
        <x:v>100</x:v>
      </x:c>
      <x:c r="J358" s="121" t="n">
        <x:v>80.5</x:v>
      </x:c>
      <x:c r="K358" s="121" t="n">
        <x:v>80.5</x:v>
      </x:c>
      <x:c r="L358" s="121" t="n">
        <x:v>6.950000000000001</x:v>
      </x:c>
      <x:c r="M358" s="121" t="n">
        <x:v>0.015000000000000568</x:v>
      </x:c>
      <x:c r="N358" s="121" t="n">
        <x:v>-0.7450000000000045</x:v>
      </x:c>
      <x:c r="O358" s="121" t="n">
        <x:v>-0.7450000000000045</x:v>
      </x:c>
      <x:c r="P358" s="121" t="n">
        <x:v>-0.379999999999999</x:v>
      </x:c>
      <x:c r="Q358" s="121" t="n">
        <x:v>0.7450000000000045</x:v>
      </x:c>
    </x:row>
    <x:row r="359">
      <x:c r="A359" t="n">
        <x:v>10000</x:v>
      </x:c>
      <x:c r="B359" t="n">
        <x:v>2000</x:v>
      </x:c>
      <x:c r="C359" t="n">
        <x:v>20260707</x:v>
      </x:c>
      <x:c r="D359" t="str">
        <x:v>R13</x:v>
      </x:c>
      <x:c r="E359" t="str">
        <x:v>121–150</x:v>
      </x:c>
      <x:c r="F359" s="121" t="n">
        <x:v>2.5</x:v>
      </x:c>
      <x:c r="G359" s="121" t="n">
        <x:v>6</x:v>
      </x:c>
      <x:c r="H359" s="121" t="n">
        <x:v>2</x:v>
      </x:c>
      <x:c r="I359" s="121" t="n">
        <x:v>99.1</x:v>
      </x:c>
      <x:c r="J359" s="121" t="n">
        <x:v>80.5</x:v>
      </x:c>
      <x:c r="K359" s="121" t="n">
        <x:v>80.5</x:v>
      </x:c>
      <x:c r="L359" s="121" t="n">
        <x:v>6.950000000000001</x:v>
      </x:c>
      <x:c r="M359" s="121" t="n">
        <x:v>-0.0800000000000125</x:v>
      </x:c>
      <x:c r="N359" s="121" t="n">
        <x:v>-0.7450000000000045</x:v>
      </x:c>
      <x:c r="O359" s="121" t="n">
        <x:v>-0.7450000000000045</x:v>
      </x:c>
      <x:c r="P359" s="121" t="n">
        <x:v>-0.379999999999999</x:v>
      </x:c>
      <x:c r="Q359" s="121" t="n">
        <x:v>0.7450000000000045</x:v>
      </x:c>
    </x:row>
    <x:row r="360">
      <x:c r="A360" t="n">
        <x:v>10000</x:v>
      </x:c>
      <x:c r="B360" t="n">
        <x:v>2000</x:v>
      </x:c>
      <x:c r="C360" t="n">
        <x:v>20260707</x:v>
      </x:c>
      <x:c r="D360" t="str">
        <x:v>R13</x:v>
      </x:c>
      <x:c r="E360" t="str">
        <x:v>121–150</x:v>
      </x:c>
      <x:c r="F360" s="121" t="n">
        <x:v>2.5</x:v>
      </x:c>
      <x:c r="G360" s="121" t="n">
        <x:v>6</x:v>
      </x:c>
      <x:c r="H360" s="121" t="n">
        <x:v>4</x:v>
      </x:c>
      <x:c r="I360" s="121" t="n">
        <x:v>90.05</x:v>
      </x:c>
      <x:c r="J360" s="121" t="n">
        <x:v>80.5</x:v>
      </x:c>
      <x:c r="K360" s="121" t="n">
        <x:v>80</x:v>
      </x:c>
      <x:c r="L360" s="121" t="n">
        <x:v>6.950000000000001</x:v>
      </x:c>
      <x:c r="M360" s="121" t="n">
        <x:v>-0.375</x:v>
      </x:c>
      <x:c r="N360" s="121" t="n">
        <x:v>-0.7450000000000045</x:v>
      </x:c>
      <x:c r="O360" s="121" t="n">
        <x:v>-0.8050000000000068</x:v>
      </x:c>
      <x:c r="P360" s="121" t="n">
        <x:v>-0.379999999999999</x:v>
      </x:c>
      <x:c r="Q360" s="121" t="n">
        <x:v>0.8050000000000068</x:v>
      </x:c>
    </x:row>
    <x:row r="361">
      <x:c r="A361" t="n">
        <x:v>10000</x:v>
      </x:c>
      <x:c r="B361" t="n">
        <x:v>2000</x:v>
      </x:c>
      <x:c r="C361" t="n">
        <x:v>20260707</x:v>
      </x:c>
      <x:c r="D361" t="str">
        <x:v>R13</x:v>
      </x:c>
      <x:c r="E361" t="str">
        <x:v>121–150</x:v>
      </x:c>
      <x:c r="F361" s="121" t="n">
        <x:v>2.5</x:v>
      </x:c>
      <x:c r="G361" s="121" t="n">
        <x:v>6</x:v>
      </x:c>
      <x:c r="H361" s="121" t="n">
        <x:v>8</x:v>
      </x:c>
      <x:c r="I361" s="121" t="n">
        <x:v>57.15</x:v>
      </x:c>
      <x:c r="J361" s="121" t="n">
        <x:v>80.5</x:v>
      </x:c>
      <x:c r="K361" s="121" t="n">
        <x:v>57.05</x:v>
      </x:c>
      <x:c r="L361" s="121" t="n">
        <x:v>6.950000000000001</x:v>
      </x:c>
      <x:c r="M361" s="121" t="n">
        <x:v>-0.15499999999999403</x:v>
      </x:c>
      <x:c r="N361" s="121" t="n">
        <x:v>-0.7450000000000045</x:v>
      </x:c>
      <x:c r="O361" s="121" t="n">
        <x:v>-0.15500000000000114</x:v>
      </x:c>
      <x:c r="P361" s="121" t="n">
        <x:v>-0.379999999999999</x:v>
      </x:c>
      <x:c r="Q361" s="121" t="n">
        <x:v>0.15500000000000114</x:v>
      </x:c>
    </x:row>
    <x:row r="362">
      <x:c r="A362" t="n">
        <x:v>10000</x:v>
      </x:c>
      <x:c r="B362" t="n">
        <x:v>2000</x:v>
      </x:c>
      <x:c r="C362" t="n">
        <x:v>20260707</x:v>
      </x:c>
      <x:c r="D362" t="str">
        <x:v>R13</x:v>
      </x:c>
      <x:c r="E362" t="str">
        <x:v>121–150</x:v>
      </x:c>
      <x:c r="F362" s="121" t="n">
        <x:v>2.5</x:v>
      </x:c>
      <x:c r="G362" s="121" t="n">
        <x:v>6</x:v>
      </x:c>
      <x:c r="H362" s="121" t="n">
        <x:v>16</x:v>
      </x:c>
      <x:c r="I362" s="121" t="n">
        <x:v>18.099999999999998</x:v>
      </x:c>
      <x:c r="J362" s="121" t="n">
        <x:v>80.5</x:v>
      </x:c>
      <x:c r="K362" s="121" t="n">
        <x:v>18.099999999999998</x:v>
      </x:c>
      <x:c r="L362" s="121" t="n">
        <x:v>6.950000000000001</x:v>
      </x:c>
      <x:c r="M362" s="121" t="n">
        <x:v>0.3999999999999986</x:v>
      </x:c>
      <x:c r="N362" s="121" t="n">
        <x:v>-0.7450000000000045</x:v>
      </x:c>
      <x:c r="O362" s="121" t="n">
        <x:v>0.3999999999999986</x:v>
      </x:c>
      <x:c r="P362" s="121" t="n">
        <x:v>-0.379999999999999</x:v>
      </x:c>
      <x:c r="Q362" s="121" t="n">
        <x:v>0.3999999999999986</x:v>
      </x:c>
    </x:row>
    <x:row r="363">
      <x:c r="A363" t="n">
        <x:v>10000</x:v>
      </x:c>
      <x:c r="B363" t="n">
        <x:v>2000</x:v>
      </x:c>
      <x:c r="C363" t="n">
        <x:v>20260707</x:v>
      </x:c>
      <x:c r="D363" t="str">
        <x:v>R13</x:v>
      </x:c>
      <x:c r="E363" t="str">
        <x:v>121–150</x:v>
      </x:c>
      <x:c r="F363" s="121" t="n">
        <x:v>2.5</x:v>
      </x:c>
      <x:c r="G363" s="121" t="n">
        <x:v>6</x:v>
      </x:c>
      <x:c r="H363" s="121" t="n">
        <x:v>32</x:v>
      </x:c>
      <x:c r="I363" s="121" t="n">
        <x:v>1.7000000000000002</x:v>
      </x:c>
      <x:c r="J363" s="121" t="n">
        <x:v>80.5</x:v>
      </x:c>
      <x:c r="K363" s="121" t="n">
        <x:v>1.7000000000000002</x:v>
      </x:c>
      <x:c r="L363" s="121" t="n">
        <x:v>6.950000000000001</x:v>
      </x:c>
      <x:c r="M363" s="121" t="n">
        <x:v>-0.4049999999999998</x:v>
      </x:c>
      <x:c r="N363" s="121" t="n">
        <x:v>-0.7450000000000045</x:v>
      </x:c>
      <x:c r="O363" s="121" t="n">
        <x:v>-0.4049999999999998</x:v>
      </x:c>
      <x:c r="P363" s="121" t="n">
        <x:v>-0.379999999999999</x:v>
      </x:c>
      <x:c r="Q363" s="121" t="n">
        <x:v>0.4049999999999998</x:v>
      </x:c>
    </x:row>
    <x:row r="364">
      <x:c r="A364" t="n">
        <x:v>10000</x:v>
      </x:c>
      <x:c r="B364" t="n">
        <x:v>2000</x:v>
      </x:c>
      <x:c r="C364" t="n">
        <x:v>20260707</x:v>
      </x:c>
      <x:c r="D364" t="str">
        <x:v>R13</x:v>
      </x:c>
      <x:c r="E364" t="str">
        <x:v>121–150</x:v>
      </x:c>
      <x:c r="F364" s="121" t="n">
        <x:v>2.5</x:v>
      </x:c>
      <x:c r="G364" s="121" t="n">
        <x:v>6</x:v>
      </x:c>
      <x:c r="H364" s="121" t="n">
        <x:v>64</x:v>
      </x:c>
      <x:c r="I364" s="121" t="n">
        <x:v>0.05</x:v>
      </x:c>
      <x:c r="J364" s="121" t="n">
        <x:v>80.5</x:v>
      </x:c>
      <x:c r="K364" s="121" t="n">
        <x:v>0.05</x:v>
      </x:c>
      <x:c r="L364" s="121" t="n">
        <x:v>6.950000000000001</x:v>
      </x:c>
      <x:c r="M364" s="121" t="n">
        <x:v>-0.009999999999999995</x:v>
      </x:c>
      <x:c r="N364" s="121" t="n">
        <x:v>-0.7450000000000045</x:v>
      </x:c>
      <x:c r="O364" s="121" t="n">
        <x:v>-0.009999999999999995</x:v>
      </x:c>
      <x:c r="P364" s="121" t="n">
        <x:v>-0.379999999999999</x:v>
      </x:c>
      <x:c r="Q364" s="121" t="n">
        <x:v>0.009999999999999995</x:v>
      </x:c>
    </x:row>
    <x:row r="365">
      <x:c r="A365" t="n">
        <x:v>50000</x:v>
      </x:c>
      <x:c r="B365" t="n">
        <x:v>10000</x:v>
      </x:c>
      <x:c r="C365" t="n">
        <x:v>20260707</x:v>
      </x:c>
      <x:c r="D365" t="str">
        <x:v>R1</x:v>
      </x:c>
      <x:c r="E365" t="str">
        <x:v>0–30</x:v>
      </x:c>
      <x:c r="F365" s="121" t="n">
        <x:v>0.625</x:v>
      </x:c>
      <x:c r="G365" s="121" t="n">
        <x:v>12</x:v>
      </x:c>
      <x:c r="H365" s="121" t="n">
        <x:v>0.0625</x:v>
      </x:c>
      <x:c r="I365" s="121" t="n">
        <x:v>100</x:v>
      </x:c>
      <x:c r="J365" s="121" t="n">
        <x:v>75.05</x:v>
      </x:c>
      <x:c r="K365" s="121" t="n">
        <x:v>75.05</x:v>
      </x:c>
      <x:c r="L365" s="121" t="n">
        <x:v>9.46</x:v>
      </x:c>
      <x:c r="M365" s="121" t="n">
        <x:v>0</x:v>
      </x:c>
      <x:c r="N365" s="121" t="n">
        <x:v>0.10999999999999943</x:v>
      </x:c>
      <x:c r="O365" s="121" t="n">
        <x:v>0.10999999999999943</x:v>
      </x:c>
      <x:c r="P365" s="121" t="n">
        <x:v>0.15000000000000036</x:v>
      </x:c>
      <x:c r="Q365" s="121" t="n">
        <x:v>0.10999999999999943</x:v>
      </x:c>
    </x:row>
    <x:row r="366">
      <x:c r="A366" t="n">
        <x:v>50000</x:v>
      </x:c>
      <x:c r="B366" t="n">
        <x:v>10000</x:v>
      </x:c>
      <x:c r="C366" t="n">
        <x:v>20260707</x:v>
      </x:c>
      <x:c r="D366" t="str">
        <x:v>R1</x:v>
      </x:c>
      <x:c r="E366" t="str">
        <x:v>0–30</x:v>
      </x:c>
      <x:c r="F366" s="121" t="n">
        <x:v>0.625</x:v>
      </x:c>
      <x:c r="G366" s="121" t="n">
        <x:v>12</x:v>
      </x:c>
      <x:c r="H366" s="121" t="n">
        <x:v>0.125</x:v>
      </x:c>
      <x:c r="I366" s="121" t="n">
        <x:v>100</x:v>
      </x:c>
      <x:c r="J366" s="121" t="n">
        <x:v>75.05</x:v>
      </x:c>
      <x:c r="K366" s="121" t="n">
        <x:v>75.05</x:v>
      </x:c>
      <x:c r="L366" s="121" t="n">
        <x:v>9.46</x:v>
      </x:c>
      <x:c r="M366" s="121" t="n">
        <x:v>0</x:v>
      </x:c>
      <x:c r="N366" s="121" t="n">
        <x:v>0.10999999999999943</x:v>
      </x:c>
      <x:c r="O366" s="121" t="n">
        <x:v>0.10999999999999943</x:v>
      </x:c>
      <x:c r="P366" s="121" t="n">
        <x:v>0.15000000000000036</x:v>
      </x:c>
      <x:c r="Q366" s="121" t="n">
        <x:v>0.10999999999999943</x:v>
      </x:c>
    </x:row>
    <x:row r="367">
      <x:c r="A367" t="n">
        <x:v>50000</x:v>
      </x:c>
      <x:c r="B367" t="n">
        <x:v>10000</x:v>
      </x:c>
      <x:c r="C367" t="n">
        <x:v>20260707</x:v>
      </x:c>
      <x:c r="D367" t="str">
        <x:v>R1</x:v>
      </x:c>
      <x:c r="E367" t="str">
        <x:v>0–30</x:v>
      </x:c>
      <x:c r="F367" s="121" t="n">
        <x:v>0.625</x:v>
      </x:c>
      <x:c r="G367" s="121" t="n">
        <x:v>12</x:v>
      </x:c>
      <x:c r="H367" s="121" t="n">
        <x:v>0.25</x:v>
      </x:c>
      <x:c r="I367" s="121" t="n">
        <x:v>100</x:v>
      </x:c>
      <x:c r="J367" s="121" t="n">
        <x:v>75.05</x:v>
      </x:c>
      <x:c r="K367" s="121" t="n">
        <x:v>75.05</x:v>
      </x:c>
      <x:c r="L367" s="121" t="n">
        <x:v>9.46</x:v>
      </x:c>
      <x:c r="M367" s="121" t="n">
        <x:v>0</x:v>
      </x:c>
      <x:c r="N367" s="121" t="n">
        <x:v>0.10999999999999943</x:v>
      </x:c>
      <x:c r="O367" s="121" t="n">
        <x:v>0.10999999999999943</x:v>
      </x:c>
      <x:c r="P367" s="121" t="n">
        <x:v>0.15000000000000036</x:v>
      </x:c>
      <x:c r="Q367" s="121" t="n">
        <x:v>0.10999999999999943</x:v>
      </x:c>
    </x:row>
    <x:row r="368">
      <x:c r="A368" t="n">
        <x:v>50000</x:v>
      </x:c>
      <x:c r="B368" t="n">
        <x:v>10000</x:v>
      </x:c>
      <x:c r="C368" t="n">
        <x:v>20260707</x:v>
      </x:c>
      <x:c r="D368" t="str">
        <x:v>R1</x:v>
      </x:c>
      <x:c r="E368" t="str">
        <x:v>0–30</x:v>
      </x:c>
      <x:c r="F368" s="121" t="n">
        <x:v>0.625</x:v>
      </x:c>
      <x:c r="G368" s="121" t="n">
        <x:v>12</x:v>
      </x:c>
      <x:c r="H368" s="121" t="n">
        <x:v>0.5</x:v>
      </x:c>
      <x:c r="I368" s="121" t="n">
        <x:v>99.95</x:v>
      </x:c>
      <x:c r="J368" s="121" t="n">
        <x:v>75.05</x:v>
      </x:c>
      <x:c r="K368" s="121" t="n">
        <x:v>75.05</x:v>
      </x:c>
      <x:c r="L368" s="121" t="n">
        <x:v>9.46</x:v>
      </x:c>
      <x:c r="M368" s="121" t="n">
        <x:v>0.010000000000005116</x:v>
      </x:c>
      <x:c r="N368" s="121" t="n">
        <x:v>0.10999999999999943</x:v>
      </x:c>
      <x:c r="O368" s="121" t="n">
        <x:v>0.10999999999999943</x:v>
      </x:c>
      <x:c r="P368" s="121" t="n">
        <x:v>0.15000000000000036</x:v>
      </x:c>
      <x:c r="Q368" s="121" t="n">
        <x:v>0.10999999999999943</x:v>
      </x:c>
    </x:row>
    <x:row r="369">
      <x:c r="A369" t="n">
        <x:v>50000</x:v>
      </x:c>
      <x:c r="B369" t="n">
        <x:v>10000</x:v>
      </x:c>
      <x:c r="C369" t="n">
        <x:v>20260707</x:v>
      </x:c>
      <x:c r="D369" t="str">
        <x:v>R1</x:v>
      </x:c>
      <x:c r="E369" t="str">
        <x:v>0–30</x:v>
      </x:c>
      <x:c r="F369" s="121" t="n">
        <x:v>0.625</x:v>
      </x:c>
      <x:c r="G369" s="121" t="n">
        <x:v>12</x:v>
      </x:c>
      <x:c r="H369" s="121" t="n">
        <x:v>1</x:v>
      </x:c>
      <x:c r="I369" s="121" t="n">
        <x:v>99.11999999999999</x:v>
      </x:c>
      <x:c r="J369" s="121" t="n">
        <x:v>75.05</x:v>
      </x:c>
      <x:c r="K369" s="121" t="n">
        <x:v>75.05</x:v>
      </x:c>
      <x:c r="L369" s="121" t="n">
        <x:v>9.46</x:v>
      </x:c>
      <x:c r="M369" s="121" t="n">
        <x:v>-0.020000000000010232</x:v>
      </x:c>
      <x:c r="N369" s="121" t="n">
        <x:v>0.10999999999999943</x:v>
      </x:c>
      <x:c r="O369" s="121" t="n">
        <x:v>0.10999999999999943</x:v>
      </x:c>
      <x:c r="P369" s="121" t="n">
        <x:v>0.15000000000000036</x:v>
      </x:c>
      <x:c r="Q369" s="121" t="n">
        <x:v>0.10999999999999943</x:v>
      </x:c>
    </x:row>
    <x:row r="370">
      <x:c r="A370" t="n">
        <x:v>50000</x:v>
      </x:c>
      <x:c r="B370" t="n">
        <x:v>10000</x:v>
      </x:c>
      <x:c r="C370" t="n">
        <x:v>20260707</x:v>
      </x:c>
      <x:c r="D370" t="str">
        <x:v>R1</x:v>
      </x:c>
      <x:c r="E370" t="str">
        <x:v>0–30</x:v>
      </x:c>
      <x:c r="F370" s="121" t="n">
        <x:v>0.625</x:v>
      </x:c>
      <x:c r="G370" s="121" t="n">
        <x:v>12</x:v>
      </x:c>
      <x:c r="H370" s="121" t="n">
        <x:v>2</x:v>
      </x:c>
      <x:c r="I370" s="121" t="n">
        <x:v>92.16</x:v>
      </x:c>
      <x:c r="J370" s="121" t="n">
        <x:v>75.05</x:v>
      </x:c>
      <x:c r="K370" s="121" t="n">
        <x:v>75.05</x:v>
      </x:c>
      <x:c r="L370" s="121" t="n">
        <x:v>9.46</x:v>
      </x:c>
      <x:c r="M370" s="121" t="n">
        <x:v>0.06999999999999318</x:v>
      </x:c>
      <x:c r="N370" s="121" t="n">
        <x:v>0.10999999999999943</x:v>
      </x:c>
      <x:c r="O370" s="121" t="n">
        <x:v>0.125</x:v>
      </x:c>
      <x:c r="P370" s="121" t="n">
        <x:v>0.15000000000000036</x:v>
      </x:c>
      <x:c r="Q370" s="121" t="n">
        <x:v>0.125</x:v>
      </x:c>
    </x:row>
    <x:row r="371">
      <x:c r="A371" t="n">
        <x:v>50000</x:v>
      </x:c>
      <x:c r="B371" t="n">
        <x:v>10000</x:v>
      </x:c>
      <x:c r="C371" t="n">
        <x:v>20260707</x:v>
      </x:c>
      <x:c r="D371" t="str">
        <x:v>R1</x:v>
      </x:c>
      <x:c r="E371" t="str">
        <x:v>0–30</x:v>
      </x:c>
      <x:c r="F371" s="121" t="n">
        <x:v>0.625</x:v>
      </x:c>
      <x:c r="G371" s="121" t="n">
        <x:v>12</x:v>
      </x:c>
      <x:c r="H371" s="121" t="n">
        <x:v>4</x:v>
      </x:c>
      <x:c r="I371" s="121" t="n">
        <x:v>69.1</x:v>
      </x:c>
      <x:c r="J371" s="121" t="n">
        <x:v>75.05</x:v>
      </x:c>
      <x:c r="K371" s="121" t="n">
        <x:v>67.57</x:v>
      </x:c>
      <x:c r="L371" s="121" t="n">
        <x:v>9.46</x:v>
      </x:c>
      <x:c r="M371" s="121" t="n">
        <x:v>0.3999999999999915</x:v>
      </x:c>
      <x:c r="N371" s="121" t="n">
        <x:v>0.10999999999999943</x:v>
      </x:c>
      <x:c r="O371" s="121" t="n">
        <x:v>0.4099999999999966</x:v>
      </x:c>
      <x:c r="P371" s="121" t="n">
        <x:v>0.15000000000000036</x:v>
      </x:c>
      <x:c r="Q371" s="121" t="n">
        <x:v>0.4099999999999966</x:v>
      </x:c>
    </x:row>
    <x:row r="372">
      <x:c r="A372" t="n">
        <x:v>50000</x:v>
      </x:c>
      <x:c r="B372" t="n">
        <x:v>10000</x:v>
      </x:c>
      <x:c r="C372" t="n">
        <x:v>20260707</x:v>
      </x:c>
      <x:c r="D372" t="str">
        <x:v>R1</x:v>
      </x:c>
      <x:c r="E372" t="str">
        <x:v>0–30</x:v>
      </x:c>
      <x:c r="F372" s="121" t="n">
        <x:v>0.625</x:v>
      </x:c>
      <x:c r="G372" s="121" t="n">
        <x:v>12</x:v>
      </x:c>
      <x:c r="H372" s="121" t="n">
        <x:v>8</x:v>
      </x:c>
      <x:c r="I372" s="121" t="n">
        <x:v>35.78</x:v>
      </x:c>
      <x:c r="J372" s="121" t="n">
        <x:v>75.05</x:v>
      </x:c>
      <x:c r="K372" s="121" t="n">
        <x:v>35.78</x:v>
      </x:c>
      <x:c r="L372" s="121" t="n">
        <x:v>9.46</x:v>
      </x:c>
      <x:c r="M372" s="121" t="n">
        <x:v>-0.2049999999999983</x:v>
      </x:c>
      <x:c r="N372" s="121" t="n">
        <x:v>0.10999999999999943</x:v>
      </x:c>
      <x:c r="O372" s="121" t="n">
        <x:v>-0.2049999999999983</x:v>
      </x:c>
      <x:c r="P372" s="121" t="n">
        <x:v>0.15000000000000036</x:v>
      </x:c>
      <x:c r="Q372" s="121" t="n">
        <x:v>0.2049999999999983</x:v>
      </x:c>
    </x:row>
    <x:row r="373">
      <x:c r="A373" t="n">
        <x:v>50000</x:v>
      </x:c>
      <x:c r="B373" t="n">
        <x:v>10000</x:v>
      </x:c>
      <x:c r="C373" t="n">
        <x:v>20260707</x:v>
      </x:c>
      <x:c r="D373" t="str">
        <x:v>R1</x:v>
      </x:c>
      <x:c r="E373" t="str">
        <x:v>0–30</x:v>
      </x:c>
      <x:c r="F373" s="121" t="n">
        <x:v>0.625</x:v>
      </x:c>
      <x:c r="G373" s="121" t="n">
        <x:v>12</x:v>
      </x:c>
      <x:c r="H373" s="121" t="n">
        <x:v>16</x:v>
      </x:c>
      <x:c r="I373" s="121" t="n">
        <x:v>14.729999999999999</x:v>
      </x:c>
      <x:c r="J373" s="121" t="n">
        <x:v>75.05</x:v>
      </x:c>
      <x:c r="K373" s="121" t="n">
        <x:v>14.729999999999999</x:v>
      </x:c>
      <x:c r="L373" s="121" t="n">
        <x:v>9.46</x:v>
      </x:c>
      <x:c r="M373" s="121" t="n">
        <x:v>0.08999999999999808</x:v>
      </x:c>
      <x:c r="N373" s="121" t="n">
        <x:v>0.10999999999999943</x:v>
      </x:c>
      <x:c r="O373" s="121" t="n">
        <x:v>0.08999999999999808</x:v>
      </x:c>
      <x:c r="P373" s="121" t="n">
        <x:v>0.15000000000000036</x:v>
      </x:c>
      <x:c r="Q373" s="121" t="n">
        <x:v>0.08999999999999808</x:v>
      </x:c>
    </x:row>
    <x:row r="374">
      <x:c r="A374" t="n">
        <x:v>50000</x:v>
      </x:c>
      <x:c r="B374" t="n">
        <x:v>10000</x:v>
      </x:c>
      <x:c r="C374" t="n">
        <x:v>20260707</x:v>
      </x:c>
      <x:c r="D374" t="str">
        <x:v>R1</x:v>
      </x:c>
      <x:c r="E374" t="str">
        <x:v>0–30</x:v>
      </x:c>
      <x:c r="F374" s="121" t="n">
        <x:v>0.625</x:v>
      </x:c>
      <x:c r="G374" s="121" t="n">
        <x:v>12</x:v>
      </x:c>
      <x:c r="H374" s="121" t="n">
        <x:v>32</x:v>
      </x:c>
      <x:c r="I374" s="121" t="n">
        <x:v>5.25</x:v>
      </x:c>
      <x:c r="J374" s="121" t="n">
        <x:v>75.05</x:v>
      </x:c>
      <x:c r="K374" s="121" t="n">
        <x:v>5.25</x:v>
      </x:c>
      <x:c r="L374" s="121" t="n">
        <x:v>9.46</x:v>
      </x:c>
      <x:c r="M374" s="121" t="n">
        <x:v>-0.04999999999999982</x:v>
      </x:c>
      <x:c r="N374" s="121" t="n">
        <x:v>0.10999999999999943</x:v>
      </x:c>
      <x:c r="O374" s="121" t="n">
        <x:v>-0.04999999999999982</x:v>
      </x:c>
      <x:c r="P374" s="121" t="n">
        <x:v>0.15000000000000036</x:v>
      </x:c>
      <x:c r="Q374" s="121" t="n">
        <x:v>0.04999999999999982</x:v>
      </x:c>
    </x:row>
    <x:row r="375">
      <x:c r="A375" t="n">
        <x:v>50000</x:v>
      </x:c>
      <x:c r="B375" t="n">
        <x:v>10000</x:v>
      </x:c>
      <x:c r="C375" t="n">
        <x:v>20260707</x:v>
      </x:c>
      <x:c r="D375" t="str">
        <x:v>R1</x:v>
      </x:c>
      <x:c r="E375" t="str">
        <x:v>0–30</x:v>
      </x:c>
      <x:c r="F375" s="121" t="n">
        <x:v>0.625</x:v>
      </x:c>
      <x:c r="G375" s="121" t="n">
        <x:v>12</x:v>
      </x:c>
      <x:c r="H375" s="121" t="n">
        <x:v>64</x:v>
      </x:c>
      <x:c r="I375" s="121" t="n">
        <x:v>1.94</x:v>
      </x:c>
      <x:c r="J375" s="121" t="n">
        <x:v>75.05</x:v>
      </x:c>
      <x:c r="K375" s="121" t="n">
        <x:v>1.94</x:v>
      </x:c>
      <x:c r="L375" s="121" t="n">
        <x:v>9.46</x:v>
      </x:c>
      <x:c r="M375" s="121" t="n">
        <x:v>-0.0950000000000002</x:v>
      </x:c>
      <x:c r="N375" s="121" t="n">
        <x:v>0.10999999999999943</x:v>
      </x:c>
      <x:c r="O375" s="121" t="n">
        <x:v>-0.0950000000000002</x:v>
      </x:c>
      <x:c r="P375" s="121" t="n">
        <x:v>0.15000000000000036</x:v>
      </x:c>
      <x:c r="Q375" s="121" t="n">
        <x:v>0.0950000000000002</x:v>
      </x:c>
    </x:row>
    <x:row r="376">
      <x:c r="A376" t="n">
        <x:v>50000</x:v>
      </x:c>
      <x:c r="B376" t="n">
        <x:v>10000</x:v>
      </x:c>
      <x:c r="C376" t="n">
        <x:v>20260707</x:v>
      </x:c>
      <x:c r="D376" t="str">
        <x:v>R2</x:v>
      </x:c>
      <x:c r="E376" t="str">
        <x:v>0–30</x:v>
      </x:c>
      <x:c r="F376" s="121" t="n">
        <x:v>0.625</x:v>
      </x:c>
      <x:c r="G376" s="121" t="n">
        <x:v>8</x:v>
      </x:c>
      <x:c r="H376" s="121" t="n">
        <x:v>0.0625</x:v>
      </x:c>
      <x:c r="I376" s="121" t="n">
        <x:v>100</x:v>
      </x:c>
      <x:c r="J376" s="121" t="n">
        <x:v>87.44</x:v>
      </x:c>
      <x:c r="K376" s="121" t="n">
        <x:v>87.44</x:v>
      </x:c>
      <x:c r="L376" s="121" t="n">
        <x:v>16.29</x:v>
      </x:c>
      <x:c r="M376" s="121" t="n">
        <x:v>0</x:v>
      </x:c>
      <x:c r="N376" s="121" t="n">
        <x:v>0.010000000000005116</x:v>
      </x:c>
      <x:c r="O376" s="121" t="n">
        <x:v>0.010000000000005116</x:v>
      </x:c>
      <x:c r="P376" s="121" t="n">
        <x:v>0.06999999999999673</x:v>
      </x:c>
      <x:c r="Q376" s="121" t="n">
        <x:v>0.010000000000005116</x:v>
      </x:c>
    </x:row>
    <x:row r="377">
      <x:c r="A377" t="n">
        <x:v>50000</x:v>
      </x:c>
      <x:c r="B377" t="n">
        <x:v>10000</x:v>
      </x:c>
      <x:c r="C377" t="n">
        <x:v>20260707</x:v>
      </x:c>
      <x:c r="D377" t="str">
        <x:v>R2</x:v>
      </x:c>
      <x:c r="E377" t="str">
        <x:v>0–30</x:v>
      </x:c>
      <x:c r="F377" s="121" t="n">
        <x:v>0.625</x:v>
      </x:c>
      <x:c r="G377" s="121" t="n">
        <x:v>8</x:v>
      </x:c>
      <x:c r="H377" s="121" t="n">
        <x:v>0.125</x:v>
      </x:c>
      <x:c r="I377" s="121" t="n">
        <x:v>100</x:v>
      </x:c>
      <x:c r="J377" s="121" t="n">
        <x:v>87.44</x:v>
      </x:c>
      <x:c r="K377" s="121" t="n">
        <x:v>87.44</x:v>
      </x:c>
      <x:c r="L377" s="121" t="n">
        <x:v>16.29</x:v>
      </x:c>
      <x:c r="M377" s="121" t="n">
        <x:v>0</x:v>
      </x:c>
      <x:c r="N377" s="121" t="n">
        <x:v>0.010000000000005116</x:v>
      </x:c>
      <x:c r="O377" s="121" t="n">
        <x:v>0.010000000000005116</x:v>
      </x:c>
      <x:c r="P377" s="121" t="n">
        <x:v>0.06999999999999673</x:v>
      </x:c>
      <x:c r="Q377" s="121" t="n">
        <x:v>0.010000000000005116</x:v>
      </x:c>
    </x:row>
    <x:row r="378">
      <x:c r="A378" t="n">
        <x:v>50000</x:v>
      </x:c>
      <x:c r="B378" t="n">
        <x:v>10000</x:v>
      </x:c>
      <x:c r="C378" t="n">
        <x:v>20260707</x:v>
      </x:c>
      <x:c r="D378" t="str">
        <x:v>R2</x:v>
      </x:c>
      <x:c r="E378" t="str">
        <x:v>0–30</x:v>
      </x:c>
      <x:c r="F378" s="121" t="n">
        <x:v>0.625</x:v>
      </x:c>
      <x:c r="G378" s="121" t="n">
        <x:v>8</x:v>
      </x:c>
      <x:c r="H378" s="121" t="n">
        <x:v>0.25</x:v>
      </x:c>
      <x:c r="I378" s="121" t="n">
        <x:v>100</x:v>
      </x:c>
      <x:c r="J378" s="121" t="n">
        <x:v>87.44</x:v>
      </x:c>
      <x:c r="K378" s="121" t="n">
        <x:v>87.44</x:v>
      </x:c>
      <x:c r="L378" s="121" t="n">
        <x:v>16.29</x:v>
      </x:c>
      <x:c r="M378" s="121" t="n">
        <x:v>0</x:v>
      </x:c>
      <x:c r="N378" s="121" t="n">
        <x:v>0.010000000000005116</x:v>
      </x:c>
      <x:c r="O378" s="121" t="n">
        <x:v>0.010000000000005116</x:v>
      </x:c>
      <x:c r="P378" s="121" t="n">
        <x:v>0.06999999999999673</x:v>
      </x:c>
      <x:c r="Q378" s="121" t="n">
        <x:v>0.010000000000005116</x:v>
      </x:c>
    </x:row>
    <x:row r="379">
      <x:c r="A379" t="n">
        <x:v>50000</x:v>
      </x:c>
      <x:c r="B379" t="n">
        <x:v>10000</x:v>
      </x:c>
      <x:c r="C379" t="n">
        <x:v>20260707</x:v>
      </x:c>
      <x:c r="D379" t="str">
        <x:v>R2</x:v>
      </x:c>
      <x:c r="E379" t="str">
        <x:v>0–30</x:v>
      </x:c>
      <x:c r="F379" s="121" t="n">
        <x:v>0.625</x:v>
      </x:c>
      <x:c r="G379" s="121" t="n">
        <x:v>8</x:v>
      </x:c>
      <x:c r="H379" s="121" t="n">
        <x:v>0.5</x:v>
      </x:c>
      <x:c r="I379" s="121" t="n">
        <x:v>100</x:v>
      </x:c>
      <x:c r="J379" s="121" t="n">
        <x:v>87.44</x:v>
      </x:c>
      <x:c r="K379" s="121" t="n">
        <x:v>87.44</x:v>
      </x:c>
      <x:c r="L379" s="121" t="n">
        <x:v>16.29</x:v>
      </x:c>
      <x:c r="M379" s="121" t="n">
        <x:v>0</x:v>
      </x:c>
      <x:c r="N379" s="121" t="n">
        <x:v>0.010000000000005116</x:v>
      </x:c>
      <x:c r="O379" s="121" t="n">
        <x:v>0.010000000000005116</x:v>
      </x:c>
      <x:c r="P379" s="121" t="n">
        <x:v>0.06999999999999673</x:v>
      </x:c>
      <x:c r="Q379" s="121" t="n">
        <x:v>0.010000000000005116</x:v>
      </x:c>
    </x:row>
    <x:row r="380">
      <x:c r="A380" t="n">
        <x:v>50000</x:v>
      </x:c>
      <x:c r="B380" t="n">
        <x:v>10000</x:v>
      </x:c>
      <x:c r="C380" t="n">
        <x:v>20260707</x:v>
      </x:c>
      <x:c r="D380" t="str">
        <x:v>R2</x:v>
      </x:c>
      <x:c r="E380" t="str">
        <x:v>0–30</x:v>
      </x:c>
      <x:c r="F380" s="121" t="n">
        <x:v>0.625</x:v>
      </x:c>
      <x:c r="G380" s="121" t="n">
        <x:v>8</x:v>
      </x:c>
      <x:c r="H380" s="121" t="n">
        <x:v>1</x:v>
      </x:c>
      <x:c r="I380" s="121" t="n">
        <x:v>99.89</x:v>
      </x:c>
      <x:c r="J380" s="121" t="n">
        <x:v>87.44</x:v>
      </x:c>
      <x:c r="K380" s="121" t="n">
        <x:v>87.44</x:v>
      </x:c>
      <x:c r="L380" s="121" t="n">
        <x:v>16.29</x:v>
      </x:c>
      <x:c r="M380" s="121" t="n">
        <x:v>0.010000000000005116</x:v>
      </x:c>
      <x:c r="N380" s="121" t="n">
        <x:v>0.010000000000005116</x:v>
      </x:c>
      <x:c r="O380" s="121" t="n">
        <x:v>0.010000000000005116</x:v>
      </x:c>
      <x:c r="P380" s="121" t="n">
        <x:v>0.06999999999999673</x:v>
      </x:c>
      <x:c r="Q380" s="121" t="n">
        <x:v>0.010000000000005116</x:v>
      </x:c>
    </x:row>
    <x:row r="381">
      <x:c r="A381" t="n">
        <x:v>50000</x:v>
      </x:c>
      <x:c r="B381" t="n">
        <x:v>10000</x:v>
      </x:c>
      <x:c r="C381" t="n">
        <x:v>20260707</x:v>
      </x:c>
      <x:c r="D381" t="str">
        <x:v>R2</x:v>
      </x:c>
      <x:c r="E381" t="str">
        <x:v>0–30</x:v>
      </x:c>
      <x:c r="F381" s="121" t="n">
        <x:v>0.625</x:v>
      </x:c>
      <x:c r="G381" s="121" t="n">
        <x:v>8</x:v>
      </x:c>
      <x:c r="H381" s="121" t="n">
        <x:v>2</x:v>
      </x:c>
      <x:c r="I381" s="121" t="n">
        <x:v>97.61</x:v>
      </x:c>
      <x:c r="J381" s="121" t="n">
        <x:v>87.44</x:v>
      </x:c>
      <x:c r="K381" s="121" t="n">
        <x:v>87.44</x:v>
      </x:c>
      <x:c r="L381" s="121" t="n">
        <x:v>16.29</x:v>
      </x:c>
      <x:c r="M381" s="121" t="n">
        <x:v>-0.025000000000005684</x:v>
      </x:c>
      <x:c r="N381" s="121" t="n">
        <x:v>0.010000000000005116</x:v>
      </x:c>
      <x:c r="O381" s="121" t="n">
        <x:v>0.010000000000005116</x:v>
      </x:c>
      <x:c r="P381" s="121" t="n">
        <x:v>0.06999999999999673</x:v>
      </x:c>
      <x:c r="Q381" s="121" t="n">
        <x:v>0.010000000000005116</x:v>
      </x:c>
    </x:row>
    <x:row r="382">
      <x:c r="A382" t="n">
        <x:v>50000</x:v>
      </x:c>
      <x:c r="B382" t="n">
        <x:v>10000</x:v>
      </x:c>
      <x:c r="C382" t="n">
        <x:v>20260707</x:v>
      </x:c>
      <x:c r="D382" t="str">
        <x:v>R2</x:v>
      </x:c>
      <x:c r="E382" t="str">
        <x:v>0–30</x:v>
      </x:c>
      <x:c r="F382" s="121" t="n">
        <x:v>0.625</x:v>
      </x:c>
      <x:c r="G382" s="121" t="n">
        <x:v>8</x:v>
      </x:c>
      <x:c r="H382" s="121" t="n">
        <x:v>4</x:v>
      </x:c>
      <x:c r="I382" s="121" t="n">
        <x:v>84.77</x:v>
      </x:c>
      <x:c r="J382" s="121" t="n">
        <x:v>87.44</x:v>
      </x:c>
      <x:c r="K382" s="121" t="n">
        <x:v>83.22</x:v>
      </x:c>
      <x:c r="L382" s="121" t="n">
        <x:v>16.29</x:v>
      </x:c>
      <x:c r="M382" s="121" t="n">
        <x:v>0.18999999999999773</x:v>
      </x:c>
      <x:c r="N382" s="121" t="n">
        <x:v>0.010000000000005116</x:v>
      </x:c>
      <x:c r="O382" s="121" t="n">
        <x:v>0.07500000000000284</x:v>
      </x:c>
      <x:c r="P382" s="121" t="n">
        <x:v>0.06999999999999673</x:v>
      </x:c>
      <x:c r="Q382" s="121" t="n">
        <x:v>0.07500000000000284</x:v>
      </x:c>
    </x:row>
    <x:row r="383">
      <x:c r="A383" t="n">
        <x:v>50000</x:v>
      </x:c>
      <x:c r="B383" t="n">
        <x:v>10000</x:v>
      </x:c>
      <x:c r="C383" t="n">
        <x:v>20260707</x:v>
      </x:c>
      <x:c r="D383" t="str">
        <x:v>R2</x:v>
      </x:c>
      <x:c r="E383" t="str">
        <x:v>0–30</x:v>
      </x:c>
      <x:c r="F383" s="121" t="n">
        <x:v>0.625</x:v>
      </x:c>
      <x:c r="G383" s="121" t="n">
        <x:v>8</x:v>
      </x:c>
      <x:c r="H383" s="121" t="n">
        <x:v>8</x:v>
      </x:c>
      <x:c r="I383" s="121" t="n">
        <x:v>54.75</x:v>
      </x:c>
      <x:c r="J383" s="121" t="n">
        <x:v>87.44</x:v>
      </x:c>
      <x:c r="K383" s="121" t="n">
        <x:v>54.75</x:v>
      </x:c>
      <x:c r="L383" s="121" t="n">
        <x:v>16.29</x:v>
      </x:c>
      <x:c r="M383" s="121" t="n">
        <x:v>0.0449999999999946</x:v>
      </x:c>
      <x:c r="N383" s="121" t="n">
        <x:v>0.010000000000005116</x:v>
      </x:c>
      <x:c r="O383" s="121" t="n">
        <x:v>0.0449999999999946</x:v>
      </x:c>
      <x:c r="P383" s="121" t="n">
        <x:v>0.06999999999999673</x:v>
      </x:c>
      <x:c r="Q383" s="121" t="n">
        <x:v>0.0449999999999946</x:v>
      </x:c>
    </x:row>
    <x:row r="384">
      <x:c r="A384" t="n">
        <x:v>50000</x:v>
      </x:c>
      <x:c r="B384" t="n">
        <x:v>10000</x:v>
      </x:c>
      <x:c r="C384" t="n">
        <x:v>20260707</x:v>
      </x:c>
      <x:c r="D384" t="str">
        <x:v>R2</x:v>
      </x:c>
      <x:c r="E384" t="str">
        <x:v>0–30</x:v>
      </x:c>
      <x:c r="F384" s="121" t="n">
        <x:v>0.625</x:v>
      </x:c>
      <x:c r="G384" s="121" t="n">
        <x:v>8</x:v>
      </x:c>
      <x:c r="H384" s="121" t="n">
        <x:v>16</x:v>
      </x:c>
      <x:c r="I384" s="121" t="n">
        <x:v>25.16</x:v>
      </x:c>
      <x:c r="J384" s="121" t="n">
        <x:v>87.44</x:v>
      </x:c>
      <x:c r="K384" s="121" t="n">
        <x:v>25.16</x:v>
      </x:c>
      <x:c r="L384" s="121" t="n">
        <x:v>16.29</x:v>
      </x:c>
      <x:c r="M384" s="121" t="n">
        <x:v>0.16999999999999815</x:v>
      </x:c>
      <x:c r="N384" s="121" t="n">
        <x:v>0.010000000000005116</x:v>
      </x:c>
      <x:c r="O384" s="121" t="n">
        <x:v>0.16999999999999815</x:v>
      </x:c>
      <x:c r="P384" s="121" t="n">
        <x:v>0.06999999999999673</x:v>
      </x:c>
      <x:c r="Q384" s="121" t="n">
        <x:v>0.16999999999999815</x:v>
      </x:c>
    </x:row>
    <x:row r="385">
      <x:c r="A385" t="n">
        <x:v>50000</x:v>
      </x:c>
      <x:c r="B385" t="n">
        <x:v>10000</x:v>
      </x:c>
      <x:c r="C385" t="n">
        <x:v>20260707</x:v>
      </x:c>
      <x:c r="D385" t="str">
        <x:v>R2</x:v>
      </x:c>
      <x:c r="E385" t="str">
        <x:v>0–30</x:v>
      </x:c>
      <x:c r="F385" s="121" t="n">
        <x:v>0.625</x:v>
      </x:c>
      <x:c r="G385" s="121" t="n">
        <x:v>8</x:v>
      </x:c>
      <x:c r="H385" s="121" t="n">
        <x:v>32</x:v>
      </x:c>
      <x:c r="I385" s="121" t="n">
        <x:v>9.969999999999999</x:v>
      </x:c>
      <x:c r="J385" s="121" t="n">
        <x:v>87.44</x:v>
      </x:c>
      <x:c r="K385" s="121" t="n">
        <x:v>9.969999999999999</x:v>
      </x:c>
      <x:c r="L385" s="121" t="n">
        <x:v>16.29</x:v>
      </x:c>
      <x:c r="M385" s="121" t="n">
        <x:v>0.1449999999999978</x:v>
      </x:c>
      <x:c r="N385" s="121" t="n">
        <x:v>0.010000000000005116</x:v>
      </x:c>
      <x:c r="O385" s="121" t="n">
        <x:v>0.1449999999999978</x:v>
      </x:c>
      <x:c r="P385" s="121" t="n">
        <x:v>0.06999999999999673</x:v>
      </x:c>
      <x:c r="Q385" s="121" t="n">
        <x:v>0.1449999999999978</x:v>
      </x:c>
    </x:row>
    <x:row r="386">
      <x:c r="A386" t="n">
        <x:v>50000</x:v>
      </x:c>
      <x:c r="B386" t="n">
        <x:v>10000</x:v>
      </x:c>
      <x:c r="C386" t="n">
        <x:v>20260707</x:v>
      </x:c>
      <x:c r="D386" t="str">
        <x:v>R2</x:v>
      </x:c>
      <x:c r="E386" t="str">
        <x:v>0–30</x:v>
      </x:c>
      <x:c r="F386" s="121" t="n">
        <x:v>0.625</x:v>
      </x:c>
      <x:c r="G386" s="121" t="n">
        <x:v>8</x:v>
      </x:c>
      <x:c r="H386" s="121" t="n">
        <x:v>64</x:v>
      </x:c>
      <x:c r="I386" s="121" t="n">
        <x:v>3.58</x:v>
      </x:c>
      <x:c r="J386" s="121" t="n">
        <x:v>87.44</x:v>
      </x:c>
      <x:c r="K386" s="121" t="n">
        <x:v>3.58</x:v>
      </x:c>
      <x:c r="L386" s="121" t="n">
        <x:v>16.29</x:v>
      </x:c>
      <x:c r="M386" s="121" t="n">
        <x:v>-0.04999999999999982</x:v>
      </x:c>
      <x:c r="N386" s="121" t="n">
        <x:v>0.010000000000005116</x:v>
      </x:c>
      <x:c r="O386" s="121" t="n">
        <x:v>-0.04999999999999982</x:v>
      </x:c>
      <x:c r="P386" s="121" t="n">
        <x:v>0.06999999999999673</x:v>
      </x:c>
      <x:c r="Q386" s="121" t="n">
        <x:v>0.04999999999999982</x:v>
      </x:c>
    </x:row>
    <x:row r="387">
      <x:c r="A387" t="n">
        <x:v>50000</x:v>
      </x:c>
      <x:c r="B387" t="n">
        <x:v>10000</x:v>
      </x:c>
      <x:c r="C387" t="n">
        <x:v>20260707</x:v>
      </x:c>
      <x:c r="D387" t="str">
        <x:v>R5</x:v>
      </x:c>
      <x:c r="E387" t="str">
        <x:v>31–60</x:v>
      </x:c>
      <x:c r="F387" s="121" t="n">
        <x:v>0.625</x:v>
      </x:c>
      <x:c r="G387" s="121" t="n">
        <x:v>8</x:v>
      </x:c>
      <x:c r="H387" s="121" t="n">
        <x:v>0.0625</x:v>
      </x:c>
      <x:c r="I387" s="121" t="n">
        <x:v>100</x:v>
      </x:c>
      <x:c r="J387" s="121" t="n">
        <x:v>45.379999999999995</x:v>
      </x:c>
      <x:c r="K387" s="121" t="n">
        <x:v>45.379999999999995</x:v>
      </x:c>
      <x:c r="L387" s="121" t="n">
        <x:v>0.22999999999999998</x:v>
      </x:c>
      <x:c r="M387" s="121" t="n">
        <x:v>0</x:v>
      </x:c>
      <x:c r="N387" s="121" t="n">
        <x:v>0.41499999999999915</x:v>
      </x:c>
      <x:c r="O387" s="121" t="n">
        <x:v>0.41499999999999915</x:v>
      </x:c>
      <x:c r="P387" s="121" t="n">
        <x:v>-0.015000000000000013</x:v>
      </x:c>
      <x:c r="Q387" s="121" t="n">
        <x:v>0.41499999999999915</x:v>
      </x:c>
    </x:row>
    <x:row r="388">
      <x:c r="A388" t="n">
        <x:v>50000</x:v>
      </x:c>
      <x:c r="B388" t="n">
        <x:v>10000</x:v>
      </x:c>
      <x:c r="C388" t="n">
        <x:v>20260707</x:v>
      </x:c>
      <x:c r="D388" t="str">
        <x:v>R5</x:v>
      </x:c>
      <x:c r="E388" t="str">
        <x:v>31–60</x:v>
      </x:c>
      <x:c r="F388" s="121" t="n">
        <x:v>0.625</x:v>
      </x:c>
      <x:c r="G388" s="121" t="n">
        <x:v>8</x:v>
      </x:c>
      <x:c r="H388" s="121" t="n">
        <x:v>0.125</x:v>
      </x:c>
      <x:c r="I388" s="121" t="n">
        <x:v>100</x:v>
      </x:c>
      <x:c r="J388" s="121" t="n">
        <x:v>45.379999999999995</x:v>
      </x:c>
      <x:c r="K388" s="121" t="n">
        <x:v>45.379999999999995</x:v>
      </x:c>
      <x:c r="L388" s="121" t="n">
        <x:v>0.22999999999999998</x:v>
      </x:c>
      <x:c r="M388" s="121" t="n">
        <x:v>0</x:v>
      </x:c>
      <x:c r="N388" s="121" t="n">
        <x:v>0.41499999999999915</x:v>
      </x:c>
      <x:c r="O388" s="121" t="n">
        <x:v>0.41499999999999915</x:v>
      </x:c>
      <x:c r="P388" s="121" t="n">
        <x:v>-0.015000000000000013</x:v>
      </x:c>
      <x:c r="Q388" s="121" t="n">
        <x:v>0.41499999999999915</x:v>
      </x:c>
    </x:row>
    <x:row r="389">
      <x:c r="A389" t="n">
        <x:v>50000</x:v>
      </x:c>
      <x:c r="B389" t="n">
        <x:v>10000</x:v>
      </x:c>
      <x:c r="C389" t="n">
        <x:v>20260707</x:v>
      </x:c>
      <x:c r="D389" t="str">
        <x:v>R5</x:v>
      </x:c>
      <x:c r="E389" t="str">
        <x:v>31–60</x:v>
      </x:c>
      <x:c r="F389" s="121" t="n">
        <x:v>0.625</x:v>
      </x:c>
      <x:c r="G389" s="121" t="n">
        <x:v>8</x:v>
      </x:c>
      <x:c r="H389" s="121" t="n">
        <x:v>0.25</x:v>
      </x:c>
      <x:c r="I389" s="121" t="n">
        <x:v>100</x:v>
      </x:c>
      <x:c r="J389" s="121" t="n">
        <x:v>45.379999999999995</x:v>
      </x:c>
      <x:c r="K389" s="121" t="n">
        <x:v>45.379999999999995</x:v>
      </x:c>
      <x:c r="L389" s="121" t="n">
        <x:v>0.22999999999999998</x:v>
      </x:c>
      <x:c r="M389" s="121" t="n">
        <x:v>0</x:v>
      </x:c>
      <x:c r="N389" s="121" t="n">
        <x:v>0.41499999999999915</x:v>
      </x:c>
      <x:c r="O389" s="121" t="n">
        <x:v>0.41499999999999915</x:v>
      </x:c>
      <x:c r="P389" s="121" t="n">
        <x:v>-0.015000000000000013</x:v>
      </x:c>
      <x:c r="Q389" s="121" t="n">
        <x:v>0.41499999999999915</x:v>
      </x:c>
    </x:row>
    <x:row r="390">
      <x:c r="A390" t="n">
        <x:v>50000</x:v>
      </x:c>
      <x:c r="B390" t="n">
        <x:v>10000</x:v>
      </x:c>
      <x:c r="C390" t="n">
        <x:v>20260707</x:v>
      </x:c>
      <x:c r="D390" t="str">
        <x:v>R5</x:v>
      </x:c>
      <x:c r="E390" t="str">
        <x:v>31–60</x:v>
      </x:c>
      <x:c r="F390" s="121" t="n">
        <x:v>0.625</x:v>
      </x:c>
      <x:c r="G390" s="121" t="n">
        <x:v>8</x:v>
      </x:c>
      <x:c r="H390" s="121" t="n">
        <x:v>0.5</x:v>
      </x:c>
      <x:c r="I390" s="121" t="n">
        <x:v>99.92</x:v>
      </x:c>
      <x:c r="J390" s="121" t="n">
        <x:v>45.379999999999995</x:v>
      </x:c>
      <x:c r="K390" s="121" t="n">
        <x:v>45.379999999999995</x:v>
      </x:c>
      <x:c r="L390" s="121" t="n">
        <x:v>0.22999999999999998</x:v>
      </x:c>
      <x:c r="M390" s="121" t="n">
        <x:v>-0.015000000000000568</x:v>
      </x:c>
      <x:c r="N390" s="121" t="n">
        <x:v>0.41499999999999915</x:v>
      </x:c>
      <x:c r="O390" s="121" t="n">
        <x:v>0.41499999999999915</x:v>
      </x:c>
      <x:c r="P390" s="121" t="n">
        <x:v>-0.015000000000000013</x:v>
      </x:c>
      <x:c r="Q390" s="121" t="n">
        <x:v>0.41499999999999915</x:v>
      </x:c>
    </x:row>
    <x:row r="391">
      <x:c r="A391" t="n">
        <x:v>50000</x:v>
      </x:c>
      <x:c r="B391" t="n">
        <x:v>10000</x:v>
      </x:c>
      <x:c r="C391" t="n">
        <x:v>20260707</x:v>
      </x:c>
      <x:c r="D391" t="str">
        <x:v>R5</x:v>
      </x:c>
      <x:c r="E391" t="str">
        <x:v>31–60</x:v>
      </x:c>
      <x:c r="F391" s="121" t="n">
        <x:v>0.625</x:v>
      </x:c>
      <x:c r="G391" s="121" t="n">
        <x:v>8</x:v>
      </x:c>
      <x:c r="H391" s="121" t="n">
        <x:v>1</x:v>
      </x:c>
      <x:c r="I391" s="121" t="n">
        <x:v>98.03</x:v>
      </x:c>
      <x:c r="J391" s="121" t="n">
        <x:v>45.379999999999995</x:v>
      </x:c>
      <x:c r="K391" s="121" t="n">
        <x:v>45.379999999999995</x:v>
      </x:c>
      <x:c r="L391" s="121" t="n">
        <x:v>0.22999999999999998</x:v>
      </x:c>
      <x:c r="M391" s="121" t="n">
        <x:v>0.15500000000000114</x:v>
      </x:c>
      <x:c r="N391" s="121" t="n">
        <x:v>0.41499999999999915</x:v>
      </x:c>
      <x:c r="O391" s="121" t="n">
        <x:v>0.41499999999999915</x:v>
      </x:c>
      <x:c r="P391" s="121" t="n">
        <x:v>-0.015000000000000013</x:v>
      </x:c>
      <x:c r="Q391" s="121" t="n">
        <x:v>0.41499999999999915</x:v>
      </x:c>
    </x:row>
    <x:row r="392">
      <x:c r="A392" t="n">
        <x:v>50000</x:v>
      </x:c>
      <x:c r="B392" t="n">
        <x:v>10000</x:v>
      </x:c>
      <x:c r="C392" t="n">
        <x:v>20260707</x:v>
      </x:c>
      <x:c r="D392" t="str">
        <x:v>R5</x:v>
      </x:c>
      <x:c r="E392" t="str">
        <x:v>31–60</x:v>
      </x:c>
      <x:c r="F392" s="121" t="n">
        <x:v>0.625</x:v>
      </x:c>
      <x:c r="G392" s="121" t="n">
        <x:v>8</x:v>
      </x:c>
      <x:c r="H392" s="121" t="n">
        <x:v>2</x:v>
      </x:c>
      <x:c r="I392" s="121" t="n">
        <x:v>82.94</x:v>
      </x:c>
      <x:c r="J392" s="121" t="n">
        <x:v>45.379999999999995</x:v>
      </x:c>
      <x:c r="K392" s="121" t="n">
        <x:v>45.379999999999995</x:v>
      </x:c>
      <x:c r="L392" s="121" t="n">
        <x:v>0.22999999999999998</x:v>
      </x:c>
      <x:c r="M392" s="121" t="n">
        <x:v>0.18999999999999773</x:v>
      </x:c>
      <x:c r="N392" s="121" t="n">
        <x:v>0.41499999999999915</x:v>
      </x:c>
      <x:c r="O392" s="121" t="n">
        <x:v>0.41499999999999915</x:v>
      </x:c>
      <x:c r="P392" s="121" t="n">
        <x:v>-0.015000000000000013</x:v>
      </x:c>
      <x:c r="Q392" s="121" t="n">
        <x:v>0.41499999999999915</x:v>
      </x:c>
    </x:row>
    <x:row r="393">
      <x:c r="A393" t="n">
        <x:v>50000</x:v>
      </x:c>
      <x:c r="B393" t="n">
        <x:v>10000</x:v>
      </x:c>
      <x:c r="C393" t="n">
        <x:v>20260707</x:v>
      </x:c>
      <x:c r="D393" t="str">
        <x:v>R5</x:v>
      </x:c>
      <x:c r="E393" t="str">
        <x:v>31–60</x:v>
      </x:c>
      <x:c r="F393" s="121" t="n">
        <x:v>0.625</x:v>
      </x:c>
      <x:c r="G393" s="121" t="n">
        <x:v>8</x:v>
      </x:c>
      <x:c r="H393" s="121" t="n">
        <x:v>4</x:v>
      </x:c>
      <x:c r="I393" s="121" t="n">
        <x:v>44.68</x:v>
      </x:c>
      <x:c r="J393" s="121" t="n">
        <x:v>45.379999999999995</x:v>
      </x:c>
      <x:c r="K393" s="121" t="n">
        <x:v>39.58</x:v>
      </x:c>
      <x:c r="L393" s="121" t="n">
        <x:v>0.22999999999999998</x:v>
      </x:c>
      <x:c r="M393" s="121" t="n">
        <x:v>0.33500000000000085</x:v>
      </x:c>
      <x:c r="N393" s="121" t="n">
        <x:v>0.41499999999999915</x:v>
      </x:c>
      <x:c r="O393" s="121" t="n">
        <x:v>0.29999999999999716</x:v>
      </x:c>
      <x:c r="P393" s="121" t="n">
        <x:v>-0.015000000000000013</x:v>
      </x:c>
      <x:c r="Q393" s="121" t="n">
        <x:v>0.29999999999999716</x:v>
      </x:c>
    </x:row>
    <x:row r="394">
      <x:c r="A394" t="n">
        <x:v>50000</x:v>
      </x:c>
      <x:c r="B394" t="n">
        <x:v>10000</x:v>
      </x:c>
      <x:c r="C394" t="n">
        <x:v>20260707</x:v>
      </x:c>
      <x:c r="D394" t="str">
        <x:v>R5</x:v>
      </x:c>
      <x:c r="E394" t="str">
        <x:v>31–60</x:v>
      </x:c>
      <x:c r="F394" s="121" t="n">
        <x:v>0.625</x:v>
      </x:c>
      <x:c r="G394" s="121" t="n">
        <x:v>8</x:v>
      </x:c>
      <x:c r="H394" s="121" t="n">
        <x:v>8</x:v>
      </x:c>
      <x:c r="I394" s="121" t="n">
        <x:v>10.459999999999999</x:v>
      </x:c>
      <x:c r="J394" s="121" t="n">
        <x:v>45.379999999999995</x:v>
      </x:c>
      <x:c r="K394" s="121" t="n">
        <x:v>10.459999999999999</x:v>
      </x:c>
      <x:c r="L394" s="121" t="n">
        <x:v>0.22999999999999998</x:v>
      </x:c>
      <x:c r="M394" s="121" t="n">
        <x:v>0.1399999999999988</x:v>
      </x:c>
      <x:c r="N394" s="121" t="n">
        <x:v>0.41499999999999915</x:v>
      </x:c>
      <x:c r="O394" s="121" t="n">
        <x:v>0.1399999999999988</x:v>
      </x:c>
      <x:c r="P394" s="121" t="n">
        <x:v>-0.015000000000000013</x:v>
      </x:c>
      <x:c r="Q394" s="121" t="n">
        <x:v>0.1399999999999988</x:v>
      </x:c>
    </x:row>
    <x:row r="395">
      <x:c r="A395" t="n">
        <x:v>50000</x:v>
      </x:c>
      <x:c r="B395" t="n">
        <x:v>10000</x:v>
      </x:c>
      <x:c r="C395" t="n">
        <x:v>20260707</x:v>
      </x:c>
      <x:c r="D395" t="str">
        <x:v>R5</x:v>
      </x:c>
      <x:c r="E395" t="str">
        <x:v>31–60</x:v>
      </x:c>
      <x:c r="F395" s="121" t="n">
        <x:v>0.625</x:v>
      </x:c>
      <x:c r="G395" s="121" t="n">
        <x:v>8</x:v>
      </x:c>
      <x:c r="H395" s="121" t="n">
        <x:v>16</x:v>
      </x:c>
      <x:c r="I395" s="121" t="n">
        <x:v>0.96</x:v>
      </x:c>
      <x:c r="J395" s="121" t="n">
        <x:v>45.379999999999995</x:v>
      </x:c>
      <x:c r="K395" s="121" t="n">
        <x:v>0.96</x:v>
      </x:c>
      <x:c r="L395" s="121" t="n">
        <x:v>0.22999999999999998</x:v>
      </x:c>
      <x:c r="M395" s="121" t="n">
        <x:v>-0.050000000000000044</x:v>
      </x:c>
      <x:c r="N395" s="121" t="n">
        <x:v>0.41499999999999915</x:v>
      </x:c>
      <x:c r="O395" s="121" t="n">
        <x:v>-0.050000000000000044</x:v>
      </x:c>
      <x:c r="P395" s="121" t="n">
        <x:v>-0.015000000000000013</x:v>
      </x:c>
      <x:c r="Q395" s="121" t="n">
        <x:v>0.050000000000000044</x:v>
      </x:c>
    </x:row>
    <x:row r="396">
      <x:c r="A396" t="n">
        <x:v>50000</x:v>
      </x:c>
      <x:c r="B396" t="n">
        <x:v>10000</x:v>
      </x:c>
      <x:c r="C396" t="n">
        <x:v>20260707</x:v>
      </x:c>
      <x:c r="D396" t="str">
        <x:v>R5</x:v>
      </x:c>
      <x:c r="E396" t="str">
        <x:v>31–60</x:v>
      </x:c>
      <x:c r="F396" s="121" t="n">
        <x:v>0.625</x:v>
      </x:c>
      <x:c r="G396" s="121" t="n">
        <x:v>8</x:v>
      </x:c>
      <x:c r="H396" s="121" t="n">
        <x:v>32</x:v>
      </x:c>
      <x:c r="I396" s="121" t="n">
        <x:v>0.02</x:v>
      </x:c>
      <x:c r="J396" s="121" t="n">
        <x:v>45.379999999999995</x:v>
      </x:c>
      <x:c r="K396" s="121" t="n">
        <x:v>0.02</x:v>
      </x:c>
      <x:c r="L396" s="121" t="n">
        <x:v>0.22999999999999998</x:v>
      </x:c>
      <x:c r="M396" s="121" t="n">
        <x:v>-0.009999999999999998</x:v>
      </x:c>
      <x:c r="N396" s="121" t="n">
        <x:v>0.41499999999999915</x:v>
      </x:c>
      <x:c r="O396" s="121" t="n">
        <x:v>-0.009999999999999998</x:v>
      </x:c>
      <x:c r="P396" s="121" t="n">
        <x:v>-0.015000000000000013</x:v>
      </x:c>
      <x:c r="Q396" s="121" t="n">
        <x:v>0.009999999999999998</x:v>
      </x:c>
    </x:row>
    <x:row r="397">
      <x:c r="A397" t="n">
        <x:v>50000</x:v>
      </x:c>
      <x:c r="B397" t="n">
        <x:v>10000</x:v>
      </x:c>
      <x:c r="C397" t="n">
        <x:v>20260707</x:v>
      </x:c>
      <x:c r="D397" t="str">
        <x:v>R5</x:v>
      </x:c>
      <x:c r="E397" t="str">
        <x:v>31–60</x:v>
      </x:c>
      <x:c r="F397" s="121" t="n">
        <x:v>0.625</x:v>
      </x:c>
      <x:c r="G397" s="121" t="n">
        <x:v>8</x:v>
      </x:c>
      <x:c r="H397" s="121" t="n">
        <x:v>64</x:v>
      </x:c>
      <x:c r="I397" s="121" t="n">
        <x:v>0</x:v>
      </x:c>
      <x:c r="J397" s="121" t="n">
        <x:v>45.379999999999995</x:v>
      </x:c>
      <x:c r="K397" s="121" t="n">
        <x:v>0</x:v>
      </x:c>
      <x:c r="L397" s="121" t="n">
        <x:v>0.22999999999999998</x:v>
      </x:c>
      <x:c r="M397" s="121" t="n">
        <x:v>0</x:v>
      </x:c>
      <x:c r="N397" s="121" t="n">
        <x:v>0.41499999999999915</x:v>
      </x:c>
      <x:c r="O397" s="121" t="n">
        <x:v>0</x:v>
      </x:c>
      <x:c r="P397" s="121" t="n">
        <x:v>-0.015000000000000013</x:v>
      </x:c>
      <x:c r="Q397" s="121" t="n">
        <x:v>0</x:v>
      </x:c>
    </x:row>
    <x:row r="398">
      <x:c r="A398" t="n">
        <x:v>50000</x:v>
      </x:c>
      <x:c r="B398" t="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61.660000000000004</x:v>
      </x:c>
      <x:c r="L398" s="121" t="n">
        <x:v>0.86</x:v>
      </x:c>
      <x:c r="M398" s="121" t="n">
        <x:v>0</x:v>
      </x:c>
      <x:c r="N398" s="121" t="n">
        <x:v>0.6250000000000071</x:v>
      </x:c>
      <x:c r="O398" s="121" t="n">
        <x:v>0.6250000000000071</x:v>
      </x:c>
      <x:c r="P398" s="121" t="n">
        <x:v>-0.030000000000000027</x:v>
      </x:c>
      <x:c r="Q398" s="121" t="n">
        <x:v>0.6250000000000071</x:v>
      </x:c>
    </x:row>
    <x:row r="399">
      <x:c r="A399" t="n">
        <x:v>50000</x:v>
      </x:c>
      <x:c r="B399" t="n">
        <x:v>10000</x:v>
      </x:c>
      <x:c r="C399" t="n">
        <x:v>20260707</x:v>
      </x:c>
      <x:c r="D399" t="str">
        <x:v>R6</x:v>
      </x:c>
      <x:c r="E399" t="str">
        <x:v>31–60</x:v>
      </x:c>
      <x:c r="F399" s="121" t="n">
        <x:v>1.25</x:v>
      </x:c>
      <x:c r="G399" s="121" t="n">
        <x:v>12</x:v>
      </x:c>
      <x:c r="H399" s="121" t="n">
        <x:v>0.125</x:v>
      </x:c>
      <x:c r="I399" s="121" t="n">
        <x:v>100</x:v>
      </x:c>
      <x:c r="J399" s="121" t="n">
        <x:v>61.660000000000004</x:v>
      </x:c>
      <x:c r="K399" s="121" t="n">
        <x:v>61.660000000000004</x:v>
      </x:c>
      <x:c r="L399" s="121" t="n">
        <x:v>0.86</x:v>
      </x:c>
      <x:c r="M399" s="121" t="n">
        <x:v>0</x:v>
      </x:c>
      <x:c r="N399" s="121" t="n">
        <x:v>0.6250000000000071</x:v>
      </x:c>
      <x:c r="O399" s="121" t="n">
        <x:v>0.6250000000000071</x:v>
      </x:c>
      <x:c r="P399" s="121" t="n">
        <x:v>-0.030000000000000027</x:v>
      </x:c>
      <x:c r="Q399" s="121" t="n">
        <x:v>0.6250000000000071</x:v>
      </x:c>
    </x:row>
    <x:row r="400">
      <x:c r="A400" t="n">
        <x:v>50000</x:v>
      </x:c>
      <x:c r="B400" t="n">
        <x:v>10000</x:v>
      </x:c>
      <x:c r="C400" t="n">
        <x:v>20260707</x:v>
      </x:c>
      <x:c r="D400" t="str">
        <x:v>R6</x:v>
      </x:c>
      <x:c r="E400" t="str">
        <x:v>31–60</x:v>
      </x:c>
      <x:c r="F400" s="121" t="n">
        <x:v>1.25</x:v>
      </x:c>
      <x:c r="G400" s="121" t="n">
        <x:v>12</x:v>
      </x:c>
      <x:c r="H400" s="121" t="n">
        <x:v>0.25</x:v>
      </x:c>
      <x:c r="I400" s="121" t="n">
        <x:v>100</x:v>
      </x:c>
      <x:c r="J400" s="121" t="n">
        <x:v>61.660000000000004</x:v>
      </x:c>
      <x:c r="K400" s="121" t="n">
        <x:v>61.660000000000004</x:v>
      </x:c>
      <x:c r="L400" s="121" t="n">
        <x:v>0.86</x:v>
      </x:c>
      <x:c r="M400" s="121" t="n">
        <x:v>0</x:v>
      </x:c>
      <x:c r="N400" s="121" t="n">
        <x:v>0.6250000000000071</x:v>
      </x:c>
      <x:c r="O400" s="121" t="n">
        <x:v>0.6250000000000071</x:v>
      </x:c>
      <x:c r="P400" s="121" t="n">
        <x:v>-0.030000000000000027</x:v>
      </x:c>
      <x:c r="Q400" s="121" t="n">
        <x:v>0.6250000000000071</x:v>
      </x:c>
    </x:row>
    <x:row r="401">
      <x:c r="A401" t="n">
        <x:v>50000</x:v>
      </x:c>
      <x:c r="B401" t="n">
        <x:v>10000</x:v>
      </x:c>
      <x:c r="C401" t="n">
        <x:v>20260707</x:v>
      </x:c>
      <x:c r="D401" t="str">
        <x:v>R6</x:v>
      </x:c>
      <x:c r="E401" t="str">
        <x:v>31–60</x:v>
      </x:c>
      <x:c r="F401" s="121" t="n">
        <x:v>1.25</x:v>
      </x:c>
      <x:c r="G401" s="121" t="n">
        <x:v>12</x:v>
      </x:c>
      <x:c r="H401" s="121" t="n">
        <x:v>0.5</x:v>
      </x:c>
      <x:c r="I401" s="121" t="n">
        <x:v>99.99</x:v>
      </x:c>
      <x:c r="J401" s="121" t="n">
        <x:v>61.660000000000004</x:v>
      </x:c>
      <x:c r="K401" s="121" t="n">
        <x:v>61.660000000000004</x:v>
      </x:c>
      <x:c r="L401" s="121" t="n">
        <x:v>0.86</x:v>
      </x:c>
      <x:c r="M401" s="121" t="n">
        <x:v>-0.005000000000009663</x:v>
      </x:c>
      <x:c r="N401" s="121" t="n">
        <x:v>0.6250000000000071</x:v>
      </x:c>
      <x:c r="O401" s="121" t="n">
        <x:v>0.6250000000000071</x:v>
      </x:c>
      <x:c r="P401" s="121" t="n">
        <x:v>-0.030000000000000027</x:v>
      </x:c>
      <x:c r="Q401" s="121" t="n">
        <x:v>0.6250000000000071</x:v>
      </x:c>
    </x:row>
    <x:row r="402">
      <x:c r="A402" t="n">
        <x:v>50000</x:v>
      </x:c>
      <x:c r="B402" t="n">
        <x:v>10000</x:v>
      </x:c>
      <x:c r="C402" t="n">
        <x:v>20260707</x:v>
      </x:c>
      <x:c r="D402" t="str">
        <x:v>R6</x:v>
      </x:c>
      <x:c r="E402" t="str">
        <x:v>31–60</x:v>
      </x:c>
      <x:c r="F402" s="121" t="n">
        <x:v>1.25</x:v>
      </x:c>
      <x:c r="G402" s="121" t="n">
        <x:v>12</x:v>
      </x:c>
      <x:c r="H402" s="121" t="n">
        <x:v>1</x:v>
      </x:c>
      <x:c r="I402" s="121" t="n">
        <x:v>99.5</x:v>
      </x:c>
      <x:c r="J402" s="121" t="n">
        <x:v>61.660000000000004</x:v>
      </x:c>
      <x:c r="K402" s="121" t="n">
        <x:v>61.660000000000004</x:v>
      </x:c>
      <x:c r="L402" s="121" t="n">
        <x:v>0.86</x:v>
      </x:c>
      <x:c r="M402" s="121" t="n">
        <x:v>0.10999999999999943</x:v>
      </x:c>
      <x:c r="N402" s="121" t="n">
        <x:v>0.6250000000000071</x:v>
      </x:c>
      <x:c r="O402" s="121" t="n">
        <x:v>0.6250000000000071</x:v>
      </x:c>
      <x:c r="P402" s="121" t="n">
        <x:v>-0.030000000000000027</x:v>
      </x:c>
      <x:c r="Q402" s="121" t="n">
        <x:v>0.6250000000000071</x:v>
      </x:c>
    </x:row>
    <x:row r="403">
      <x:c r="A403" t="n">
        <x:v>50000</x:v>
      </x:c>
      <x:c r="B403" t="n">
        <x:v>10000</x:v>
      </x:c>
      <x:c r="C403" t="n">
        <x:v>20260707</x:v>
      </x:c>
      <x:c r="D403" t="str">
        <x:v>R6</x:v>
      </x:c>
      <x:c r="E403" t="str">
        <x:v>31–60</x:v>
      </x:c>
      <x:c r="F403" s="121" t="n">
        <x:v>1.25</x:v>
      </x:c>
      <x:c r="G403" s="121" t="n">
        <x:v>12</x:v>
      </x:c>
      <x:c r="H403" s="121" t="n">
        <x:v>2</x:v>
      </x:c>
      <x:c r="I403" s="121" t="n">
        <x:v>92.04</x:v>
      </x:c>
      <x:c r="J403" s="121" t="n">
        <x:v>61.660000000000004</x:v>
      </x:c>
      <x:c r="K403" s="121" t="n">
        <x:v>61.660000000000004</x:v>
      </x:c>
      <x:c r="L403" s="121" t="n">
        <x:v>0.86</x:v>
      </x:c>
      <x:c r="M403" s="121" t="n">
        <x:v>0.21999999999999886</x:v>
      </x:c>
      <x:c r="N403" s="121" t="n">
        <x:v>0.6250000000000071</x:v>
      </x:c>
      <x:c r="O403" s="121" t="n">
        <x:v>0.6250000000000071</x:v>
      </x:c>
      <x:c r="P403" s="121" t="n">
        <x:v>-0.030000000000000027</x:v>
      </x:c>
      <x:c r="Q403" s="121" t="n">
        <x:v>0.6250000000000071</x:v>
      </x:c>
    </x:row>
    <x:row r="404">
      <x:c r="A404" t="n">
        <x:v>50000</x:v>
      </x:c>
      <x:c r="B404" t="n">
        <x:v>10000</x:v>
      </x:c>
      <x:c r="C404" t="n">
        <x:v>20260707</x:v>
      </x:c>
      <x:c r="D404" t="str">
        <x:v>R6</x:v>
      </x:c>
      <x:c r="E404" t="str">
        <x:v>31–60</x:v>
      </x:c>
      <x:c r="F404" s="121" t="n">
        <x:v>1.25</x:v>
      </x:c>
      <x:c r="G404" s="121" t="n">
        <x:v>12</x:v>
      </x:c>
      <x:c r="H404" s="121" t="n">
        <x:v>4</x:v>
      </x:c>
      <x:c r="I404" s="121" t="n">
        <x:v>62.529999999999994</x:v>
      </x:c>
      <x:c r="J404" s="121" t="n">
        <x:v>61.660000000000004</x:v>
      </x:c>
      <x:c r="K404" s="121" t="n">
        <x:v>56.89999999999999</x:v>
      </x:c>
      <x:c r="L404" s="121" t="n">
        <x:v>0.86</x:v>
      </x:c>
      <x:c r="M404" s="121" t="n">
        <x:v>0.4199999999999946</x:v>
      </x:c>
      <x:c r="N404" s="121" t="n">
        <x:v>0.6250000000000071</x:v>
      </x:c>
      <x:c r="O404" s="121" t="n">
        <x:v>0.509999999999998</x:v>
      </x:c>
      <x:c r="P404" s="121" t="n">
        <x:v>-0.030000000000000027</x:v>
      </x:c>
      <x:c r="Q404" s="121" t="n">
        <x:v>0.509999999999998</x:v>
      </x:c>
    </x:row>
    <x:row r="405">
      <x:c r="A405" t="n">
        <x:v>50000</x:v>
      </x:c>
      <x:c r="B405" t="n">
        <x:v>10000</x:v>
      </x:c>
      <x:c r="C405" t="n">
        <x:v>20260707</x:v>
      </x:c>
      <x:c r="D405" t="str">
        <x:v>R6</x:v>
      </x:c>
      <x:c r="E405" t="str">
        <x:v>31–60</x:v>
      </x:c>
      <x:c r="F405" s="121" t="n">
        <x:v>1.25</x:v>
      </x:c>
      <x:c r="G405" s="121" t="n">
        <x:v>12</x:v>
      </x:c>
      <x:c r="H405" s="121" t="n">
        <x:v>8</x:v>
      </x:c>
      <x:c r="I405" s="121" t="n">
        <x:v>22.07</x:v>
      </x:c>
      <x:c r="J405" s="121" t="n">
        <x:v>61.660000000000004</x:v>
      </x:c>
      <x:c r="K405" s="121" t="n">
        <x:v>22.07</x:v>
      </x:c>
      <x:c r="L405" s="121" t="n">
        <x:v>0.86</x:v>
      </x:c>
      <x:c r="M405" s="121" t="n">
        <x:v>0.21999999999999886</x:v>
      </x:c>
      <x:c r="N405" s="121" t="n">
        <x:v>0.6250000000000071</x:v>
      </x:c>
      <x:c r="O405" s="121" t="n">
        <x:v>0.23000000000000043</x:v>
      </x:c>
      <x:c r="P405" s="121" t="n">
        <x:v>-0.030000000000000027</x:v>
      </x:c>
      <x:c r="Q405" s="121" t="n">
        <x:v>0.23000000000000043</x:v>
      </x:c>
    </x:row>
    <x:row r="406">
      <x:c r="A406" t="n">
        <x:v>50000</x:v>
      </x:c>
      <x:c r="B406" t="n">
        <x:v>10000</x:v>
      </x:c>
      <x:c r="C406" t="n">
        <x:v>20260707</x:v>
      </x:c>
      <x:c r="D406" t="str">
        <x:v>R6</x:v>
      </x:c>
      <x:c r="E406" t="str">
        <x:v>31–60</x:v>
      </x:c>
      <x:c r="F406" s="121" t="n">
        <x:v>1.25</x:v>
      </x:c>
      <x:c r="G406" s="121" t="n">
        <x:v>12</x:v>
      </x:c>
      <x:c r="H406" s="121" t="n">
        <x:v>16</x:v>
      </x:c>
      <x:c r="I406" s="121" t="n">
        <x:v>3.05</x:v>
      </x:c>
      <x:c r="J406" s="121" t="n">
        <x:v>61.660000000000004</x:v>
      </x:c>
      <x:c r="K406" s="121" t="n">
        <x:v>3.05</x:v>
      </x:c>
      <x:c r="L406" s="121" t="n">
        <x:v>0.86</x:v>
      </x:c>
      <x:c r="M406" s="121" t="n">
        <x:v>0.11999999999999966</x:v>
      </x:c>
      <x:c r="N406" s="121" t="n">
        <x:v>0.6250000000000071</x:v>
      </x:c>
      <x:c r="O406" s="121" t="n">
        <x:v>0.11999999999999966</x:v>
      </x:c>
      <x:c r="P406" s="121" t="n">
        <x:v>-0.030000000000000027</x:v>
      </x:c>
      <x:c r="Q406" s="121" t="n">
        <x:v>0.11999999999999966</x:v>
      </x:c>
    </x:row>
    <x:row r="407">
      <x:c r="A407" t="n">
        <x:v>50000</x:v>
      </x:c>
      <x:c r="B407" t="n">
        <x:v>10000</x:v>
      </x:c>
      <x:c r="C407" t="n">
        <x:v>20260707</x:v>
      </x:c>
      <x:c r="D407" t="str">
        <x:v>R6</x:v>
      </x:c>
      <x:c r="E407" t="str">
        <x:v>31–60</x:v>
      </x:c>
      <x:c r="F407" s="121" t="n">
        <x:v>1.25</x:v>
      </x:c>
      <x:c r="G407" s="121" t="n">
        <x:v>12</x:v>
      </x:c>
      <x:c r="H407" s="121" t="n">
        <x:v>32</x:v>
      </x:c>
      <x:c r="I407" s="121" t="n">
        <x:v>0.15</x:v>
      </x:c>
      <x:c r="J407" s="121" t="n">
        <x:v>61.660000000000004</x:v>
      </x:c>
      <x:c r="K407" s="121" t="n">
        <x:v>0.15</x:v>
      </x:c>
      <x:c r="L407" s="121" t="n">
        <x:v>0.86</x:v>
      </x:c>
      <x:c r="M407" s="121" t="n">
        <x:v>-0.015000000000000013</x:v>
      </x:c>
      <x:c r="N407" s="121" t="n">
        <x:v>0.6250000000000071</x:v>
      </x:c>
      <x:c r="O407" s="121" t="n">
        <x:v>-0.015000000000000013</x:v>
      </x:c>
      <x:c r="P407" s="121" t="n">
        <x:v>-0.030000000000000027</x:v>
      </x:c>
      <x:c r="Q407" s="121" t="n">
        <x:v>0.015000000000000013</x:v>
      </x:c>
    </x:row>
    <x:row r="408">
      <x:c r="A408" t="n">
        <x:v>50000</x:v>
      </x:c>
      <x:c r="B408" t="n">
        <x:v>10000</x:v>
      </x:c>
      <x:c r="C408" t="n">
        <x:v>20260707</x:v>
      </x:c>
      <x:c r="D408" t="str">
        <x:v>R6</x:v>
      </x:c>
      <x:c r="E408" t="str">
        <x:v>31–60</x:v>
      </x:c>
      <x:c r="F408" s="121" t="n">
        <x:v>1.25</x:v>
      </x:c>
      <x:c r="G408" s="121" t="n">
        <x:v>12</x:v>
      </x:c>
      <x:c r="H408" s="121" t="n">
        <x:v>64</x:v>
      </x:c>
      <x:c r="I408" s="121" t="n">
        <x:v>0</x:v>
      </x:c>
      <x:c r="J408" s="121" t="n">
        <x:v>61.660000000000004</x:v>
      </x:c>
      <x:c r="K408" s="121" t="n">
        <x:v>0</x:v>
      </x:c>
      <x:c r="L408" s="121" t="n">
        <x:v>0.86</x:v>
      </x:c>
      <x:c r="M408" s="121" t="n">
        <x:v>0</x:v>
      </x:c>
      <x:c r="N408" s="121" t="n">
        <x:v>0.6250000000000071</x:v>
      </x:c>
      <x:c r="O408" s="121" t="n">
        <x:v>0</x:v>
      </x:c>
      <x:c r="P408" s="121" t="n">
        <x:v>-0.030000000000000027</x:v>
      </x:c>
      <x:c r="Q408" s="121" t="n">
        <x:v>0</x:v>
      </x:c>
    </x:row>
    <x:row r="409">
      <x:c r="A409" t="n">
        <x:v>50000</x:v>
      </x:c>
      <x:c r="B409" t="n">
        <x:v>10000</x:v>
      </x:c>
      <x:c r="C409" t="n">
        <x:v>20260707</x:v>
      </x:c>
      <x:c r="D409" t="str">
        <x:v>R7</x:v>
      </x:c>
      <x:c r="E409" t="str">
        <x:v>31–60</x:v>
      </x:c>
      <x:c r="F409" s="121" t="n">
        <x:v>1.25</x:v>
      </x:c>
      <x:c r="G409" s="121" t="n">
        <x:v>8</x:v>
      </x:c>
      <x:c r="H409" s="121" t="n">
        <x:v>0.0625</x:v>
      </x:c>
      <x:c r="I409" s="121" t="n">
        <x:v>100</x:v>
      </x:c>
      <x:c r="J409" s="121" t="n">
        <x:v>80.64</x:v>
      </x:c>
      <x:c r="K409" s="121" t="n">
        <x:v>80.64</x:v>
      </x:c>
      <x:c r="L409" s="121" t="n">
        <x:v>3.91</x:v>
      </x:c>
      <x:c r="M409" s="121" t="n">
        <x:v>0</x:v>
      </x:c>
      <x:c r="N409" s="121" t="n">
        <x:v>0.2049999999999983</x:v>
      </x:c>
      <x:c r="O409" s="121" t="n">
        <x:v>0.2049999999999983</x:v>
      </x:c>
      <x:c r="P409" s="121" t="n">
        <x:v>0.07499999999999973</x:v>
      </x:c>
      <x:c r="Q409" s="121" t="n">
        <x:v>0.2049999999999983</x:v>
      </x:c>
    </x:row>
    <x:row r="410">
      <x:c r="A410" t="n">
        <x:v>50000</x:v>
      </x:c>
      <x:c r="B410" t="n">
        <x:v>10000</x:v>
      </x:c>
      <x:c r="C410" t="n">
        <x:v>20260707</x:v>
      </x:c>
      <x:c r="D410" t="str">
        <x:v>R7</x:v>
      </x:c>
      <x:c r="E410" t="str">
        <x:v>31–60</x:v>
      </x:c>
      <x:c r="F410" s="121" t="n">
        <x:v>1.25</x:v>
      </x:c>
      <x:c r="G410" s="121" t="n">
        <x:v>8</x:v>
      </x:c>
      <x:c r="H410" s="121" t="n">
        <x:v>0.125</x:v>
      </x:c>
      <x:c r="I410" s="121" t="n">
        <x:v>100</x:v>
      </x:c>
      <x:c r="J410" s="121" t="n">
        <x:v>80.64</x:v>
      </x:c>
      <x:c r="K410" s="121" t="n">
        <x:v>80.64</x:v>
      </x:c>
      <x:c r="L410" s="121" t="n">
        <x:v>3.91</x:v>
      </x:c>
      <x:c r="M410" s="121" t="n">
        <x:v>0</x:v>
      </x:c>
      <x:c r="N410" s="121" t="n">
        <x:v>0.2049999999999983</x:v>
      </x:c>
      <x:c r="O410" s="121" t="n">
        <x:v>0.2049999999999983</x:v>
      </x:c>
      <x:c r="P410" s="121" t="n">
        <x:v>0.07499999999999973</x:v>
      </x:c>
      <x:c r="Q410" s="121" t="n">
        <x:v>0.2049999999999983</x:v>
      </x:c>
    </x:row>
    <x:row r="411">
      <x:c r="A411" t="n">
        <x:v>50000</x:v>
      </x:c>
      <x:c r="B411" t="n">
        <x:v>10000</x:v>
      </x:c>
      <x:c r="C411" t="n">
        <x:v>20260707</x:v>
      </x:c>
      <x:c r="D411" t="str">
        <x:v>R7</x:v>
      </x:c>
      <x:c r="E411" t="str">
        <x:v>31–60</x:v>
      </x:c>
      <x:c r="F411" s="121" t="n">
        <x:v>1.25</x:v>
      </x:c>
      <x:c r="G411" s="121" t="n">
        <x:v>8</x:v>
      </x:c>
      <x:c r="H411" s="121" t="n">
        <x:v>0.25</x:v>
      </x:c>
      <x:c r="I411" s="121" t="n">
        <x:v>100</x:v>
      </x:c>
      <x:c r="J411" s="121" t="n">
        <x:v>80.64</x:v>
      </x:c>
      <x:c r="K411" s="121" t="n">
        <x:v>80.64</x:v>
      </x:c>
      <x:c r="L411" s="121" t="n">
        <x:v>3.91</x:v>
      </x:c>
      <x:c r="M411" s="121" t="n">
        <x:v>0</x:v>
      </x:c>
      <x:c r="N411" s="121" t="n">
        <x:v>0.2049999999999983</x:v>
      </x:c>
      <x:c r="O411" s="121" t="n">
        <x:v>0.2049999999999983</x:v>
      </x:c>
      <x:c r="P411" s="121" t="n">
        <x:v>0.07499999999999973</x:v>
      </x:c>
      <x:c r="Q411" s="121" t="n">
        <x:v>0.2049999999999983</x:v>
      </x:c>
    </x:row>
    <x:row r="412">
      <x:c r="A412" t="n">
        <x:v>50000</x:v>
      </x:c>
      <x:c r="B412" t="n">
        <x:v>10000</x:v>
      </x:c>
      <x:c r="C412" t="n">
        <x:v>20260707</x:v>
      </x:c>
      <x:c r="D412" t="str">
        <x:v>R7</x:v>
      </x:c>
      <x:c r="E412" t="str">
        <x:v>31–60</x:v>
      </x:c>
      <x:c r="F412" s="121" t="n">
        <x:v>1.25</x:v>
      </x:c>
      <x:c r="G412" s="121" t="n">
        <x:v>8</x:v>
      </x:c>
      <x:c r="H412" s="121" t="n">
        <x:v>0.5</x:v>
      </x:c>
      <x:c r="I412" s="121" t="n">
        <x:v>100</x:v>
      </x:c>
      <x:c r="J412" s="121" t="n">
        <x:v>80.64</x:v>
      </x:c>
      <x:c r="K412" s="121" t="n">
        <x:v>80.64</x:v>
      </x:c>
      <x:c r="L412" s="121" t="n">
        <x:v>3.91</x:v>
      </x:c>
      <x:c r="M412" s="121" t="n">
        <x:v>0</x:v>
      </x:c>
      <x:c r="N412" s="121" t="n">
        <x:v>0.2049999999999983</x:v>
      </x:c>
      <x:c r="O412" s="121" t="n">
        <x:v>0.2049999999999983</x:v>
      </x:c>
      <x:c r="P412" s="121" t="n">
        <x:v>0.07499999999999973</x:v>
      </x:c>
      <x:c r="Q412" s="121" t="n">
        <x:v>0.2049999999999983</x:v>
      </x:c>
    </x:row>
    <x:row r="413">
      <x:c r="A413" t="n">
        <x:v>50000</x:v>
      </x:c>
      <x:c r="B413" t="n">
        <x:v>10000</x:v>
      </x:c>
      <x:c r="C413" t="n">
        <x:v>20260707</x:v>
      </x:c>
      <x:c r="D413" t="str">
        <x:v>R7</x:v>
      </x:c>
      <x:c r="E413" t="str">
        <x:v>31–60</x:v>
      </x:c>
      <x:c r="F413" s="121" t="n">
        <x:v>1.25</x:v>
      </x:c>
      <x:c r="G413" s="121" t="n">
        <x:v>8</x:v>
      </x:c>
      <x:c r="H413" s="121" t="n">
        <x:v>1</x:v>
      </x:c>
      <x:c r="I413" s="121" t="n">
        <x:v>99.92</x:v>
      </x:c>
      <x:c r="J413" s="121" t="n">
        <x:v>80.64</x:v>
      </x:c>
      <x:c r="K413" s="121" t="n">
        <x:v>80.64</x:v>
      </x:c>
      <x:c r="L413" s="121" t="n">
        <x:v>3.91</x:v>
      </x:c>
      <x:c r="M413" s="121" t="n">
        <x:v>-0.015000000000000568</x:v>
      </x:c>
      <x:c r="N413" s="121" t="n">
        <x:v>0.2049999999999983</x:v>
      </x:c>
      <x:c r="O413" s="121" t="n">
        <x:v>0.2049999999999983</x:v>
      </x:c>
      <x:c r="P413" s="121" t="n">
        <x:v>0.07499999999999973</x:v>
      </x:c>
      <x:c r="Q413" s="121" t="n">
        <x:v>0.2049999999999983</x:v>
      </x:c>
    </x:row>
    <x:row r="414">
      <x:c r="A414" t="n">
        <x:v>50000</x:v>
      </x:c>
      <x:c r="B414" t="n">
        <x:v>10000</x:v>
      </x:c>
      <x:c r="C414" t="n">
        <x:v>20260707</x:v>
      </x:c>
      <x:c r="D414" t="str">
        <x:v>R7</x:v>
      </x:c>
      <x:c r="E414" t="str">
        <x:v>31–60</x:v>
      </x:c>
      <x:c r="F414" s="121" t="n">
        <x:v>1.25</x:v>
      </x:c>
      <x:c r="G414" s="121" t="n">
        <x:v>8</x:v>
      </x:c>
      <x:c r="H414" s="121" t="n">
        <x:v>2</x:v>
      </x:c>
      <x:c r="I414" s="121" t="n">
        <x:v>98.03</x:v>
      </x:c>
      <x:c r="J414" s="121" t="n">
        <x:v>80.64</x:v>
      </x:c>
      <x:c r="K414" s="121" t="n">
        <x:v>80.64</x:v>
      </x:c>
      <x:c r="L414" s="121" t="n">
        <x:v>3.91</x:v>
      </x:c>
      <x:c r="M414" s="121" t="n">
        <x:v>0.15500000000000114</x:v>
      </x:c>
      <x:c r="N414" s="121" t="n">
        <x:v>0.2049999999999983</x:v>
      </x:c>
      <x:c r="O414" s="121" t="n">
        <x:v>0.2049999999999983</x:v>
      </x:c>
      <x:c r="P414" s="121" t="n">
        <x:v>0.07499999999999973</x:v>
      </x:c>
      <x:c r="Q414" s="121" t="n">
        <x:v>0.2049999999999983</x:v>
      </x:c>
    </x:row>
    <x:row r="415">
      <x:c r="A415" t="n">
        <x:v>50000</x:v>
      </x:c>
      <x:c r="B415" t="n">
        <x:v>10000</x:v>
      </x:c>
      <x:c r="C415" t="n">
        <x:v>20260707</x:v>
      </x:c>
      <x:c r="D415" t="str">
        <x:v>R7</x:v>
      </x:c>
      <x:c r="E415" t="str">
        <x:v>31–60</x:v>
      </x:c>
      <x:c r="F415" s="121" t="n">
        <x:v>1.25</x:v>
      </x:c>
      <x:c r="G415" s="121" t="n">
        <x:v>8</x:v>
      </x:c>
      <x:c r="H415" s="121" t="n">
        <x:v>4</x:v>
      </x:c>
      <x:c r="I415" s="121" t="n">
        <x:v>82.94</x:v>
      </x:c>
      <x:c r="J415" s="121" t="n">
        <x:v>80.64</x:v>
      </x:c>
      <x:c r="K415" s="121" t="n">
        <x:v>78.08</x:v>
      </x:c>
      <x:c r="L415" s="121" t="n">
        <x:v>3.91</x:v>
      </x:c>
      <x:c r="M415" s="121" t="n">
        <x:v>0.18999999999999773</x:v>
      </x:c>
      <x:c r="N415" s="121" t="n">
        <x:v>0.2049999999999983</x:v>
      </x:c>
      <x:c r="O415" s="121" t="n">
        <x:v>0.18499999999998806</x:v>
      </x:c>
      <x:c r="P415" s="121" t="n">
        <x:v>0.07499999999999973</x:v>
      </x:c>
      <x:c r="Q415" s="121" t="n">
        <x:v>0.18499999999998806</x:v>
      </x:c>
    </x:row>
    <x:row r="416">
      <x:c r="A416" t="n">
        <x:v>50000</x:v>
      </x:c>
      <x:c r="B416" t="n">
        <x:v>10000</x:v>
      </x:c>
      <x:c r="C416" t="n">
        <x:v>20260707</x:v>
      </x:c>
      <x:c r="D416" t="str">
        <x:v>R7</x:v>
      </x:c>
      <x:c r="E416" t="str">
        <x:v>31–60</x:v>
      </x:c>
      <x:c r="F416" s="121" t="n">
        <x:v>1.25</x:v>
      </x:c>
      <x:c r="G416" s="121" t="n">
        <x:v>8</x:v>
      </x:c>
      <x:c r="H416" s="121" t="n">
        <x:v>8</x:v>
      </x:c>
      <x:c r="I416" s="121" t="n">
        <x:v>44.68</x:v>
      </x:c>
      <x:c r="J416" s="121" t="n">
        <x:v>80.64</x:v>
      </x:c>
      <x:c r="K416" s="121" t="n">
        <x:v>44.68</x:v>
      </x:c>
      <x:c r="L416" s="121" t="n">
        <x:v>3.91</x:v>
      </x:c>
      <x:c r="M416" s="121" t="n">
        <x:v>0.33500000000000085</x:v>
      </x:c>
      <x:c r="N416" s="121" t="n">
        <x:v>0.2049999999999983</x:v>
      </x:c>
      <x:c r="O416" s="121" t="n">
        <x:v>0.3399999999999963</x:v>
      </x:c>
      <x:c r="P416" s="121" t="n">
        <x:v>0.07499999999999973</x:v>
      </x:c>
      <x:c r="Q416" s="121" t="n">
        <x:v>0.3399999999999963</x:v>
      </x:c>
    </x:row>
    <x:row r="417">
      <x:c r="A417" t="n">
        <x:v>50000</x:v>
      </x:c>
      <x:c r="B417" t="n">
        <x:v>10000</x:v>
      </x:c>
      <x:c r="C417" t="n">
        <x:v>20260707</x:v>
      </x:c>
      <x:c r="D417" t="str">
        <x:v>R7</x:v>
      </x:c>
      <x:c r="E417" t="str">
        <x:v>31–60</x:v>
      </x:c>
      <x:c r="F417" s="121" t="n">
        <x:v>1.25</x:v>
      </x:c>
      <x:c r="G417" s="121" t="n">
        <x:v>8</x:v>
      </x:c>
      <x:c r="H417" s="121" t="n">
        <x:v>16</x:v>
      </x:c>
      <x:c r="I417" s="121" t="n">
        <x:v>10.459999999999999</x:v>
      </x:c>
      <x:c r="J417" s="121" t="n">
        <x:v>80.64</x:v>
      </x:c>
      <x:c r="K417" s="121" t="n">
        <x:v>10.459999999999999</x:v>
      </x:c>
      <x:c r="L417" s="121" t="n">
        <x:v>3.91</x:v>
      </x:c>
      <x:c r="M417" s="121" t="n">
        <x:v>0.1399999999999988</x:v>
      </x:c>
      <x:c r="N417" s="121" t="n">
        <x:v>0.2049999999999983</x:v>
      </x:c>
      <x:c r="O417" s="121" t="n">
        <x:v>0.1399999999999988</x:v>
      </x:c>
      <x:c r="P417" s="121" t="n">
        <x:v>0.07499999999999973</x:v>
      </x:c>
      <x:c r="Q417" s="121" t="n">
        <x:v>0.1399999999999988</x:v>
      </x:c>
    </x:row>
    <x:row r="418">
      <x:c r="A418" t="n">
        <x:v>50000</x:v>
      </x:c>
      <x:c r="B418" t="n">
        <x:v>10000</x:v>
      </x:c>
      <x:c r="C418" t="n">
        <x:v>20260707</x:v>
      </x:c>
      <x:c r="D418" t="str">
        <x:v>R7</x:v>
      </x:c>
      <x:c r="E418" t="str">
        <x:v>31–60</x:v>
      </x:c>
      <x:c r="F418" s="121" t="n">
        <x:v>1.25</x:v>
      </x:c>
      <x:c r="G418" s="121" t="n">
        <x:v>8</x:v>
      </x:c>
      <x:c r="H418" s="121" t="n">
        <x:v>32</x:v>
      </x:c>
      <x:c r="I418" s="121" t="n">
        <x:v>0.96</x:v>
      </x:c>
      <x:c r="J418" s="121" t="n">
        <x:v>80.64</x:v>
      </x:c>
      <x:c r="K418" s="121" t="n">
        <x:v>0.96</x:v>
      </x:c>
      <x:c r="L418" s="121" t="n">
        <x:v>3.91</x:v>
      </x:c>
      <x:c r="M418" s="121" t="n">
        <x:v>-0.050000000000000044</x:v>
      </x:c>
      <x:c r="N418" s="121" t="n">
        <x:v>0.2049999999999983</x:v>
      </x:c>
      <x:c r="O418" s="121" t="n">
        <x:v>-0.050000000000000044</x:v>
      </x:c>
      <x:c r="P418" s="121" t="n">
        <x:v>0.07499999999999973</x:v>
      </x:c>
      <x:c r="Q418" s="121" t="n">
        <x:v>0.050000000000000044</x:v>
      </x:c>
    </x:row>
    <x:row r="419">
      <x:c r="A419" t="n">
        <x:v>50000</x:v>
      </x:c>
      <x:c r="B419" t="n">
        <x:v>10000</x:v>
      </x:c>
      <x:c r="C419" t="n">
        <x:v>20260707</x:v>
      </x:c>
      <x:c r="D419" t="str">
        <x:v>R7</x:v>
      </x:c>
      <x:c r="E419" t="str">
        <x:v>31–60</x:v>
      </x:c>
      <x:c r="F419" s="121" t="n">
        <x:v>1.25</x:v>
      </x:c>
      <x:c r="G419" s="121" t="n">
        <x:v>8</x:v>
      </x:c>
      <x:c r="H419" s="121" t="n">
        <x:v>64</x:v>
      </x:c>
      <x:c r="I419" s="121" t="n">
        <x:v>0.02</x:v>
      </x:c>
      <x:c r="J419" s="121" t="n">
        <x:v>80.64</x:v>
      </x:c>
      <x:c r="K419" s="121" t="n">
        <x:v>0.02</x:v>
      </x:c>
      <x:c r="L419" s="121" t="n">
        <x:v>3.91</x:v>
      </x:c>
      <x:c r="M419" s="121" t="n">
        <x:v>-0.009999999999999998</x:v>
      </x:c>
      <x:c r="N419" s="121" t="n">
        <x:v>0.2049999999999983</x:v>
      </x:c>
      <x:c r="O419" s="121" t="n">
        <x:v>-0.009999999999999998</x:v>
      </x:c>
      <x:c r="P419" s="121" t="n">
        <x:v>0.07499999999999973</x:v>
      </x:c>
      <x:c r="Q419" s="121" t="n">
        <x:v>0.009999999999999998</x:v>
      </x:c>
    </x:row>
    <x:row r="420">
      <x:c r="A420" t="n">
        <x:v>50000</x:v>
      </x:c>
      <x:c r="B420" t="n">
        <x:v>10000</x:v>
      </x:c>
      <x:c r="C420" t="n">
        <x:v>20260707</x:v>
      </x:c>
      <x:c r="D420" t="str">
        <x:v>R8</x:v>
      </x:c>
      <x:c r="E420" t="str">
        <x:v>31–60</x:v>
      </x:c>
      <x:c r="F420" s="121" t="n">
        <x:v>2.5</x:v>
      </x:c>
      <x:c r="G420" s="121" t="n">
        <x:v>12</x:v>
      </x:c>
      <x:c r="H420" s="121" t="n">
        <x:v>0.0625</x:v>
      </x:c>
      <x:c r="I420" s="121" t="n">
        <x:v>100</x:v>
      </x:c>
      <x:c r="J420" s="121" t="n">
        <x:v>89.7</x:v>
      </x:c>
      <x:c r="K420" s="121" t="n">
        <x:v>89.7</x:v>
      </x:c>
      <x:c r="L420" s="121" t="n">
        <x:v>9.56</x:v>
      </x:c>
      <x:c r="M420" s="121" t="n">
        <x:v>0</x:v>
      </x:c>
      <x:c r="N420" s="121" t="n">
        <x:v>0.25</x:v>
      </x:c>
      <x:c r="O420" s="121" t="n">
        <x:v>0.25</x:v>
      </x:c>
      <x:c r="P420" s="121" t="n">
        <x:v>0.22499999999999964</x:v>
      </x:c>
      <x:c r="Q420" s="121" t="n">
        <x:v>0.25</x:v>
      </x:c>
    </x:row>
    <x:row r="421">
      <x:c r="A421" t="n">
        <x:v>50000</x:v>
      </x:c>
      <x:c r="B421" t="n">
        <x:v>10000</x:v>
      </x:c>
      <x:c r="C421" t="n">
        <x:v>20260707</x:v>
      </x:c>
      <x:c r="D421" t="str">
        <x:v>R8</x:v>
      </x:c>
      <x:c r="E421" t="str">
        <x:v>31–60</x:v>
      </x:c>
      <x:c r="F421" s="121" t="n">
        <x:v>2.5</x:v>
      </x:c>
      <x:c r="G421" s="121" t="n">
        <x:v>12</x:v>
      </x:c>
      <x:c r="H421" s="121" t="n">
        <x:v>0.125</x:v>
      </x:c>
      <x:c r="I421" s="121" t="n">
        <x:v>100</x:v>
      </x:c>
      <x:c r="J421" s="121" t="n">
        <x:v>89.7</x:v>
      </x:c>
      <x:c r="K421" s="121" t="n">
        <x:v>89.7</x:v>
      </x:c>
      <x:c r="L421" s="121" t="n">
        <x:v>9.56</x:v>
      </x:c>
      <x:c r="M421" s="121" t="n">
        <x:v>0</x:v>
      </x:c>
      <x:c r="N421" s="121" t="n">
        <x:v>0.25</x:v>
      </x:c>
      <x:c r="O421" s="121" t="n">
        <x:v>0.25</x:v>
      </x:c>
      <x:c r="P421" s="121" t="n">
        <x:v>0.22499999999999964</x:v>
      </x:c>
      <x:c r="Q421" s="121" t="n">
        <x:v>0.25</x:v>
      </x:c>
    </x:row>
    <x:row r="422">
      <x:c r="A422" t="n">
        <x:v>50000</x:v>
      </x:c>
      <x:c r="B422" t="n">
        <x:v>10000</x:v>
      </x:c>
      <x:c r="C422" t="n">
        <x:v>20260707</x:v>
      </x:c>
      <x:c r="D422" t="str">
        <x:v>R8</x:v>
      </x:c>
      <x:c r="E422" t="str">
        <x:v>31–60</x:v>
      </x:c>
      <x:c r="F422" s="121" t="n">
        <x:v>2.5</x:v>
      </x:c>
      <x:c r="G422" s="121" t="n">
        <x:v>12</x:v>
      </x:c>
      <x:c r="H422" s="121" t="n">
        <x:v>0.25</x:v>
      </x:c>
      <x:c r="I422" s="121" t="n">
        <x:v>100</x:v>
      </x:c>
      <x:c r="J422" s="121" t="n">
        <x:v>89.7</x:v>
      </x:c>
      <x:c r="K422" s="121" t="n">
        <x:v>89.7</x:v>
      </x:c>
      <x:c r="L422" s="121" t="n">
        <x:v>9.56</x:v>
      </x:c>
      <x:c r="M422" s="121" t="n">
        <x:v>0</x:v>
      </x:c>
      <x:c r="N422" s="121" t="n">
        <x:v>0.25</x:v>
      </x:c>
      <x:c r="O422" s="121" t="n">
        <x:v>0.25</x:v>
      </x:c>
      <x:c r="P422" s="121" t="n">
        <x:v>0.22499999999999964</x:v>
      </x:c>
      <x:c r="Q422" s="121" t="n">
        <x:v>0.25</x:v>
      </x:c>
    </x:row>
    <x:row r="423">
      <x:c r="A423" t="n">
        <x:v>50000</x:v>
      </x:c>
      <x:c r="B423" t="n">
        <x:v>10000</x:v>
      </x:c>
      <x:c r="C423" t="n">
        <x:v>20260707</x:v>
      </x:c>
      <x:c r="D423" t="str">
        <x:v>R8</x:v>
      </x:c>
      <x:c r="E423" t="str">
        <x:v>31–60</x:v>
      </x:c>
      <x:c r="F423" s="121" t="n">
        <x:v>2.5</x:v>
      </x:c>
      <x:c r="G423" s="121" t="n">
        <x:v>12</x:v>
      </x:c>
      <x:c r="H423" s="121" t="n">
        <x:v>0.5</x:v>
      </x:c>
      <x:c r="I423" s="121" t="n">
        <x:v>100</x:v>
      </x:c>
      <x:c r="J423" s="121" t="n">
        <x:v>89.7</x:v>
      </x:c>
      <x:c r="K423" s="121" t="n">
        <x:v>89.7</x:v>
      </x:c>
      <x:c r="L423" s="121" t="n">
        <x:v>9.56</x:v>
      </x:c>
      <x:c r="M423" s="121" t="n">
        <x:v>0</x:v>
      </x:c>
      <x:c r="N423" s="121" t="n">
        <x:v>0.25</x:v>
      </x:c>
      <x:c r="O423" s="121" t="n">
        <x:v>0.25</x:v>
      </x:c>
      <x:c r="P423" s="121" t="n">
        <x:v>0.22499999999999964</x:v>
      </x:c>
      <x:c r="Q423" s="121" t="n">
        <x:v>0.25</x:v>
      </x:c>
    </x:row>
    <x:row r="424">
      <x:c r="A424" t="n">
        <x:v>50000</x:v>
      </x:c>
      <x:c r="B424" t="n">
        <x:v>10000</x:v>
      </x:c>
      <x:c r="C424" t="n">
        <x:v>20260707</x:v>
      </x:c>
      <x:c r="D424" t="str">
        <x:v>R8</x:v>
      </x:c>
      <x:c r="E424" t="str">
        <x:v>31–60</x:v>
      </x:c>
      <x:c r="F424" s="121" t="n">
        <x:v>2.5</x:v>
      </x:c>
      <x:c r="G424" s="121" t="n">
        <x:v>12</x:v>
      </x:c>
      <x:c r="H424" s="121" t="n">
        <x:v>1</x:v>
      </x:c>
      <x:c r="I424" s="121" t="n">
        <x:v>99.99</x:v>
      </x:c>
      <x:c r="J424" s="121" t="n">
        <x:v>89.7</x:v>
      </x:c>
      <x:c r="K424" s="121" t="n">
        <x:v>89.7</x:v>
      </x:c>
      <x:c r="L424" s="121" t="n">
        <x:v>9.56</x:v>
      </x:c>
      <x:c r="M424" s="121" t="n">
        <x:v>-0.005000000000009663</x:v>
      </x:c>
      <x:c r="N424" s="121" t="n">
        <x:v>0.25</x:v>
      </x:c>
      <x:c r="O424" s="121" t="n">
        <x:v>0.25</x:v>
      </x:c>
      <x:c r="P424" s="121" t="n">
        <x:v>0.22499999999999964</x:v>
      </x:c>
      <x:c r="Q424" s="121" t="n">
        <x:v>0.25</x:v>
      </x:c>
    </x:row>
    <x:row r="425">
      <x:c r="A425" t="n">
        <x:v>50000</x:v>
      </x:c>
      <x:c r="B425" t="n">
        <x:v>10000</x:v>
      </x:c>
      <x:c r="C425" t="n">
        <x:v>20260707</x:v>
      </x:c>
      <x:c r="D425" t="str">
        <x:v>R8</x:v>
      </x:c>
      <x:c r="E425" t="str">
        <x:v>31–60</x:v>
      </x:c>
      <x:c r="F425" s="121" t="n">
        <x:v>2.5</x:v>
      </x:c>
      <x:c r="G425" s="121" t="n">
        <x:v>12</x:v>
      </x:c>
      <x:c r="H425" s="121" t="n">
        <x:v>2</x:v>
      </x:c>
      <x:c r="I425" s="121" t="n">
        <x:v>99.5</x:v>
      </x:c>
      <x:c r="J425" s="121" t="n">
        <x:v>89.7</x:v>
      </x:c>
      <x:c r="K425" s="121" t="n">
        <x:v>89.7</x:v>
      </x:c>
      <x:c r="L425" s="121" t="n">
        <x:v>9.56</x:v>
      </x:c>
      <x:c r="M425" s="121" t="n">
        <x:v>0.10999999999999943</x:v>
      </x:c>
      <x:c r="N425" s="121" t="n">
        <x:v>0.25</x:v>
      </x:c>
      <x:c r="O425" s="121" t="n">
        <x:v>0.25</x:v>
      </x:c>
      <x:c r="P425" s="121" t="n">
        <x:v>0.22499999999999964</x:v>
      </x:c>
      <x:c r="Q425" s="121" t="n">
        <x:v>0.25</x:v>
      </x:c>
    </x:row>
    <x:row r="426">
      <x:c r="A426" t="n">
        <x:v>50000</x:v>
      </x:c>
      <x:c r="B426" t="n">
        <x:v>10000</x:v>
      </x:c>
      <x:c r="C426" t="n">
        <x:v>20260707</x:v>
      </x:c>
      <x:c r="D426" t="str">
        <x:v>R8</x:v>
      </x:c>
      <x:c r="E426" t="str">
        <x:v>31–60</x:v>
      </x:c>
      <x:c r="F426" s="121" t="n">
        <x:v>2.5</x:v>
      </x:c>
      <x:c r="G426" s="121" t="n">
        <x:v>12</x:v>
      </x:c>
      <x:c r="H426" s="121" t="n">
        <x:v>4</x:v>
      </x:c>
      <x:c r="I426" s="121" t="n">
        <x:v>92.04</x:v>
      </x:c>
      <x:c r="J426" s="121" t="n">
        <x:v>89.7</x:v>
      </x:c>
      <x:c r="K426" s="121" t="n">
        <x:v>88.58</x:v>
      </x:c>
      <x:c r="L426" s="121" t="n">
        <x:v>9.56</x:v>
      </x:c>
      <x:c r="M426" s="121" t="n">
        <x:v>0.21999999999999886</x:v>
      </x:c>
      <x:c r="N426" s="121" t="n">
        <x:v>0.25</x:v>
      </x:c>
      <x:c r="O426" s="121" t="n">
        <x:v>0.29999999999999716</x:v>
      </x:c>
      <x:c r="P426" s="121" t="n">
        <x:v>0.22499999999999964</x:v>
      </x:c>
      <x:c r="Q426" s="121" t="n">
        <x:v>0.29999999999999716</x:v>
      </x:c>
    </x:row>
    <x:row r="427">
      <x:c r="A427" t="n">
        <x:v>50000</x:v>
      </x:c>
      <x:c r="B427" t="n">
        <x:v>10000</x:v>
      </x:c>
      <x:c r="C427" t="n">
        <x:v>20260707</x:v>
      </x:c>
      <x:c r="D427" t="str">
        <x:v>R8</x:v>
      </x:c>
      <x:c r="E427" t="str">
        <x:v>31–60</x:v>
      </x:c>
      <x:c r="F427" s="121" t="n">
        <x:v>2.5</x:v>
      </x:c>
      <x:c r="G427" s="121" t="n">
        <x:v>12</x:v>
      </x:c>
      <x:c r="H427" s="121" t="n">
        <x:v>8</x:v>
      </x:c>
      <x:c r="I427" s="121" t="n">
        <x:v>62.529999999999994</x:v>
      </x:c>
      <x:c r="J427" s="121" t="n">
        <x:v>89.7</x:v>
      </x:c>
      <x:c r="K427" s="121" t="n">
        <x:v>62.529999999999994</x:v>
      </x:c>
      <x:c r="L427" s="121" t="n">
        <x:v>9.56</x:v>
      </x:c>
      <x:c r="M427" s="121" t="n">
        <x:v>0.4199999999999946</x:v>
      </x:c>
      <x:c r="N427" s="121" t="n">
        <x:v>0.25</x:v>
      </x:c>
      <x:c r="O427" s="121" t="n">
        <x:v>0.4399999999999906</x:v>
      </x:c>
      <x:c r="P427" s="121" t="n">
        <x:v>0.22499999999999964</x:v>
      </x:c>
      <x:c r="Q427" s="121" t="n">
        <x:v>0.4399999999999906</x:v>
      </x:c>
    </x:row>
    <x:row r="428">
      <x:c r="A428" t="n">
        <x:v>50000</x:v>
      </x:c>
      <x:c r="B428" t="n">
        <x:v>10000</x:v>
      </x:c>
      <x:c r="C428" t="n">
        <x:v>20260707</x:v>
      </x:c>
      <x:c r="D428" t="str">
        <x:v>R8</x:v>
      </x:c>
      <x:c r="E428" t="str">
        <x:v>31–60</x:v>
      </x:c>
      <x:c r="F428" s="121" t="n">
        <x:v>2.5</x:v>
      </x:c>
      <x:c r="G428" s="121" t="n">
        <x:v>12</x:v>
      </x:c>
      <x:c r="H428" s="121" t="n">
        <x:v>16</x:v>
      </x:c>
      <x:c r="I428" s="121" t="n">
        <x:v>22.07</x:v>
      </x:c>
      <x:c r="J428" s="121" t="n">
        <x:v>89.7</x:v>
      </x:c>
      <x:c r="K428" s="121" t="n">
        <x:v>22.07</x:v>
      </x:c>
      <x:c r="L428" s="121" t="n">
        <x:v>9.56</x:v>
      </x:c>
      <x:c r="M428" s="121" t="n">
        <x:v>0.21999999999999886</x:v>
      </x:c>
      <x:c r="N428" s="121" t="n">
        <x:v>0.25</x:v>
      </x:c>
      <x:c r="O428" s="121" t="n">
        <x:v>0.21999999999999886</x:v>
      </x:c>
      <x:c r="P428" s="121" t="n">
        <x:v>0.22499999999999964</x:v>
      </x:c>
      <x:c r="Q428" s="121" t="n">
        <x:v>0.21999999999999886</x:v>
      </x:c>
    </x:row>
    <x:row r="429">
      <x:c r="A429" t="n">
        <x:v>50000</x:v>
      </x:c>
      <x:c r="B429" t="n">
        <x:v>10000</x:v>
      </x:c>
      <x:c r="C429" t="n">
        <x:v>20260707</x:v>
      </x:c>
      <x:c r="D429" t="str">
        <x:v>R8</x:v>
      </x:c>
      <x:c r="E429" t="str">
        <x:v>31–60</x:v>
      </x:c>
      <x:c r="F429" s="121" t="n">
        <x:v>2.5</x:v>
      </x:c>
      <x:c r="G429" s="121" t="n">
        <x:v>12</x:v>
      </x:c>
      <x:c r="H429" s="121" t="n">
        <x:v>32</x:v>
      </x:c>
      <x:c r="I429" s="121" t="n">
        <x:v>3.05</x:v>
      </x:c>
      <x:c r="J429" s="121" t="n">
        <x:v>89.7</x:v>
      </x:c>
      <x:c r="K429" s="121" t="n">
        <x:v>3.05</x:v>
      </x:c>
      <x:c r="L429" s="121" t="n">
        <x:v>9.56</x:v>
      </x:c>
      <x:c r="M429" s="121" t="n">
        <x:v>0.11999999999999966</x:v>
      </x:c>
      <x:c r="N429" s="121" t="n">
        <x:v>0.25</x:v>
      </x:c>
      <x:c r="O429" s="121" t="n">
        <x:v>0.11999999999999966</x:v>
      </x:c>
      <x:c r="P429" s="121" t="n">
        <x:v>0.22499999999999964</x:v>
      </x:c>
      <x:c r="Q429" s="121" t="n">
        <x:v>0.11999999999999966</x:v>
      </x:c>
    </x:row>
    <x:row r="430">
      <x:c r="A430" t="n">
        <x:v>50000</x:v>
      </x:c>
      <x:c r="B430" t="n">
        <x:v>10000</x:v>
      </x:c>
      <x:c r="C430" t="n">
        <x:v>20260707</x:v>
      </x:c>
      <x:c r="D430" t="str">
        <x:v>R8</x:v>
      </x:c>
      <x:c r="E430" t="str">
        <x:v>31–60</x:v>
      </x:c>
      <x:c r="F430" s="121" t="n">
        <x:v>2.5</x:v>
      </x:c>
      <x:c r="G430" s="121" t="n">
        <x:v>12</x:v>
      </x:c>
      <x:c r="H430" s="121" t="n">
        <x:v>64</x:v>
      </x:c>
      <x:c r="I430" s="121" t="n">
        <x:v>0.15</x:v>
      </x:c>
      <x:c r="J430" s="121" t="n">
        <x:v>89.7</x:v>
      </x:c>
      <x:c r="K430" s="121" t="n">
        <x:v>0.15</x:v>
      </x:c>
      <x:c r="L430" s="121" t="n">
        <x:v>9.56</x:v>
      </x:c>
      <x:c r="M430" s="121" t="n">
        <x:v>-0.015000000000000013</x:v>
      </x:c>
      <x:c r="N430" s="121" t="n">
        <x:v>0.25</x:v>
      </x:c>
      <x:c r="O430" s="121" t="n">
        <x:v>-0.015000000000000013</x:v>
      </x:c>
      <x:c r="P430" s="121" t="n">
        <x:v>0.22499999999999964</x:v>
      </x:c>
      <x:c r="Q430" s="121" t="n">
        <x:v>0.015000000000000013</x:v>
      </x:c>
    </x:row>
    <x:row r="431">
      <x:c r="A431" t="n">
        <x:v>50000</x:v>
      </x:c>
      <x:c r="B431" t="n">
        <x:v>10000</x:v>
      </x:c>
      <x:c r="C431" t="n">
        <x:v>20260707</x:v>
      </x:c>
      <x:c r="D431" t="str">
        <x:v>R9</x:v>
      </x:c>
      <x:c r="E431" t="str">
        <x:v>61–90</x:v>
      </x:c>
      <x:c r="F431" s="121" t="n">
        <x:v>2.5</x:v>
      </x:c>
      <x:c r="G431" s="121" t="n">
        <x:v>12</x:v>
      </x:c>
      <x:c r="H431" s="121" t="n">
        <x:v>0.0625</x:v>
      </x:c>
      <x:c r="I431" s="121" t="n">
        <x:v>100</x:v>
      </x:c>
      <x:c r="J431" s="121" t="n">
        <x:v>73.22</x:v>
      </x:c>
      <x:c r="K431" s="121" t="n">
        <x:v>73.22</x:v>
      </x:c>
      <x:c r="L431" s="121" t="n">
        <x:v>2.9499999999999997</x:v>
      </x:c>
      <x:c r="M431" s="121" t="n">
        <x:v>0</x:v>
      </x:c>
      <x:c r="N431" s="121" t="n">
        <x:v>-0.0049999999999954525</x:v>
      </x:c>
      <x:c r="O431" s="121" t="n">
        <x:v>-0.0049999999999954525</x:v>
      </x:c>
      <x:c r="P431" s="121" t="n">
        <x:v>-0.03000000000000025</x:v>
      </x:c>
      <x:c r="Q431" s="121" t="n">
        <x:v>0.0049999999999954525</x:v>
      </x:c>
    </x:row>
    <x:row r="432">
      <x:c r="A432" t="n">
        <x:v>50000</x:v>
      </x:c>
      <x:c r="B432" t="n">
        <x:v>10000</x:v>
      </x:c>
      <x:c r="C432" t="n">
        <x:v>20260707</x:v>
      </x:c>
      <x:c r="D432" t="str">
        <x:v>R9</x:v>
      </x:c>
      <x:c r="E432" t="str">
        <x:v>61–90</x:v>
      </x:c>
      <x:c r="F432" s="121" t="n">
        <x:v>2.5</x:v>
      </x:c>
      <x:c r="G432" s="121" t="n">
        <x:v>12</x:v>
      </x:c>
      <x:c r="H432" s="121" t="n">
        <x:v>0.125</x:v>
      </x:c>
      <x:c r="I432" s="121" t="n">
        <x:v>100</x:v>
      </x:c>
      <x:c r="J432" s="121" t="n">
        <x:v>73.22</x:v>
      </x:c>
      <x:c r="K432" s="121" t="n">
        <x:v>73.22</x:v>
      </x:c>
      <x:c r="L432" s="121" t="n">
        <x:v>2.9499999999999997</x:v>
      </x:c>
      <x:c r="M432" s="121" t="n">
        <x:v>0</x:v>
      </x:c>
      <x:c r="N432" s="121" t="n">
        <x:v>-0.0049999999999954525</x:v>
      </x:c>
      <x:c r="O432" s="121" t="n">
        <x:v>-0.0049999999999954525</x:v>
      </x:c>
      <x:c r="P432" s="121" t="n">
        <x:v>-0.03000000000000025</x:v>
      </x:c>
      <x:c r="Q432" s="121" t="n">
        <x:v>0.0049999999999954525</x:v>
      </x:c>
    </x:row>
    <x:row r="433">
      <x:c r="A433" t="n">
        <x:v>50000</x:v>
      </x:c>
      <x:c r="B433" t="n">
        <x:v>10000</x:v>
      </x:c>
      <x:c r="C433" t="n">
        <x:v>20260707</x:v>
      </x:c>
      <x:c r="D433" t="str">
        <x:v>R9</x:v>
      </x:c>
      <x:c r="E433" t="str">
        <x:v>61–90</x:v>
      </x:c>
      <x:c r="F433" s="121" t="n">
        <x:v>2.5</x:v>
      </x:c>
      <x:c r="G433" s="121" t="n">
        <x:v>12</x:v>
      </x:c>
      <x:c r="H433" s="121" t="n">
        <x:v>0.25</x:v>
      </x:c>
      <x:c r="I433" s="121" t="n">
        <x:v>100</x:v>
      </x:c>
      <x:c r="J433" s="121" t="n">
        <x:v>73.22</x:v>
      </x:c>
      <x:c r="K433" s="121" t="n">
        <x:v>73.22</x:v>
      </x:c>
      <x:c r="L433" s="121" t="n">
        <x:v>2.9499999999999997</x:v>
      </x:c>
      <x:c r="M433" s="121" t="n">
        <x:v>0</x:v>
      </x:c>
      <x:c r="N433" s="121" t="n">
        <x:v>-0.0049999999999954525</x:v>
      </x:c>
      <x:c r="O433" s="121" t="n">
        <x:v>-0.0049999999999954525</x:v>
      </x:c>
      <x:c r="P433" s="121" t="n">
        <x:v>-0.03000000000000025</x:v>
      </x:c>
      <x:c r="Q433" s="121" t="n">
        <x:v>0.0049999999999954525</x:v>
      </x:c>
    </x:row>
    <x:row r="434">
      <x:c r="A434" t="n">
        <x:v>50000</x:v>
      </x:c>
      <x:c r="B434" t="n">
        <x:v>10000</x:v>
      </x:c>
      <x:c r="C434" t="n">
        <x:v>20260707</x:v>
      </x:c>
      <x:c r="D434" t="str">
        <x:v>R9</x:v>
      </x:c>
      <x:c r="E434" t="str">
        <x:v>61–90</x:v>
      </x:c>
      <x:c r="F434" s="121" t="n">
        <x:v>2.5</x:v>
      </x:c>
      <x:c r="G434" s="121" t="n">
        <x:v>12</x:v>
      </x:c>
      <x:c r="H434" s="121" t="n">
        <x:v>0.5</x:v>
      </x:c>
      <x:c r="I434" s="121" t="n">
        <x:v>99.99</x:v>
      </x:c>
      <x:c r="J434" s="121" t="n">
        <x:v>73.22</x:v>
      </x:c>
      <x:c r="K434" s="121" t="n">
        <x:v>73.22</x:v>
      </x:c>
      <x:c r="L434" s="121" t="n">
        <x:v>2.9499999999999997</x:v>
      </x:c>
      <x:c r="M434" s="121" t="n">
        <x:v>-0.005000000000009663</x:v>
      </x:c>
      <x:c r="N434" s="121" t="n">
        <x:v>-0.0049999999999954525</x:v>
      </x:c>
      <x:c r="O434" s="121" t="n">
        <x:v>-0.0049999999999954525</x:v>
      </x:c>
      <x:c r="P434" s="121" t="n">
        <x:v>-0.03000000000000025</x:v>
      </x:c>
      <x:c r="Q434" s="121" t="n">
        <x:v>0.0049999999999954525</x:v>
      </x:c>
    </x:row>
    <x:row r="435">
      <x:c r="A435" t="n">
        <x:v>50000</x:v>
      </x:c>
      <x:c r="B435" t="n">
        <x:v>10000</x:v>
      </x:c>
      <x:c r="C435" t="n">
        <x:v>20260707</x:v>
      </x:c>
      <x:c r="D435" t="str">
        <x:v>R9</x:v>
      </x:c>
      <x:c r="E435" t="str">
        <x:v>61–90</x:v>
      </x:c>
      <x:c r="F435" s="121" t="n">
        <x:v>2.5</x:v>
      </x:c>
      <x:c r="G435" s="121" t="n">
        <x:v>12</x:v>
      </x:c>
      <x:c r="H435" s="121" t="n">
        <x:v>1</x:v>
      </x:c>
      <x:c r="I435" s="121" t="n">
        <x:v>99.9</x:v>
      </x:c>
      <x:c r="J435" s="121" t="n">
        <x:v>73.22</x:v>
      </x:c>
      <x:c r="K435" s="121" t="n">
        <x:v>73.22</x:v>
      </x:c>
      <x:c r="L435" s="121" t="n">
        <x:v>2.9499999999999997</x:v>
      </x:c>
      <x:c r="M435" s="121" t="n">
        <x:v>-0.014999999999986358</x:v>
      </x:c>
      <x:c r="N435" s="121" t="n">
        <x:v>-0.0049999999999954525</x:v>
      </x:c>
      <x:c r="O435" s="121" t="n">
        <x:v>-0.0049999999999954525</x:v>
      </x:c>
      <x:c r="P435" s="121" t="n">
        <x:v>-0.03000000000000025</x:v>
      </x:c>
      <x:c r="Q435" s="121" t="n">
        <x:v>0.0049999999999954525</x:v>
      </x:c>
    </x:row>
    <x:row r="436">
      <x:c r="A436" t="n">
        <x:v>50000</x:v>
      </x:c>
      <x:c r="B436" t="n">
        <x:v>10000</x:v>
      </x:c>
      <x:c r="C436" t="n">
        <x:v>20260707</x:v>
      </x:c>
      <x:c r="D436" t="str">
        <x:v>R9</x:v>
      </x:c>
      <x:c r="E436" t="str">
        <x:v>61–90</x:v>
      </x:c>
      <x:c r="F436" s="121" t="n">
        <x:v>2.5</x:v>
      </x:c>
      <x:c r="G436" s="121" t="n">
        <x:v>12</x:v>
      </x:c>
      <x:c r="H436" s="121" t="n">
        <x:v>2</x:v>
      </x:c>
      <x:c r="I436" s="121" t="n">
        <x:v>97.14</x:v>
      </x:c>
      <x:c r="J436" s="121" t="n">
        <x:v>73.22</x:v>
      </x:c>
      <x:c r="K436" s="121" t="n">
        <x:v>73.22</x:v>
      </x:c>
      <x:c r="L436" s="121" t="n">
        <x:v>2.9499999999999997</x:v>
      </x:c>
      <x:c r="M436" s="121" t="n">
        <x:v>-0.17499999999999716</x:v>
      </x:c>
      <x:c r="N436" s="121" t="n">
        <x:v>-0.0049999999999954525</x:v>
      </x:c>
      <x:c r="O436" s="121" t="n">
        <x:v>-0.0049999999999954525</x:v>
      </x:c>
      <x:c r="P436" s="121" t="n">
        <x:v>-0.03000000000000025</x:v>
      </x:c>
      <x:c r="Q436" s="121" t="n">
        <x:v>0.0049999999999954525</x:v>
      </x:c>
    </x:row>
    <x:row r="437">
      <x:c r="A437" t="n">
        <x:v>50000</x:v>
      </x:c>
      <x:c r="B437" t="n">
        <x:v>10000</x:v>
      </x:c>
      <x:c r="C437" t="n">
        <x:v>20260707</x:v>
      </x:c>
      <x:c r="D437" t="str">
        <x:v>R9</x:v>
      </x:c>
      <x:c r="E437" t="str">
        <x:v>61–90</x:v>
      </x:c>
      <x:c r="F437" s="121" t="n">
        <x:v>2.5</x:v>
      </x:c>
      <x:c r="G437" s="121" t="n">
        <x:v>12</x:v>
      </x:c>
      <x:c r="H437" s="121" t="n">
        <x:v>4</x:v>
      </x:c>
      <x:c r="I437" s="121" t="n">
        <x:v>79.67999999999999</x:v>
      </x:c>
      <x:c r="J437" s="121" t="n">
        <x:v>73.22</x:v>
      </x:c>
      <x:c r="K437" s="121" t="n">
        <x:v>71.61</x:v>
      </x:c>
      <x:c r="L437" s="121" t="n">
        <x:v>2.9499999999999997</x:v>
      </x:c>
      <x:c r="M437" s="121" t="n">
        <x:v>-0.15000000000000568</x:v>
      </x:c>
      <x:c r="N437" s="121" t="n">
        <x:v>-0.0049999999999954525</x:v>
      </x:c>
      <x:c r="O437" s="121" t="n">
        <x:v>-0.0350000000000108</x:v>
      </x:c>
      <x:c r="P437" s="121" t="n">
        <x:v>-0.03000000000000025</x:v>
      </x:c>
      <x:c r="Q437" s="121" t="n">
        <x:v>0.0350000000000108</x:v>
      </x:c>
    </x:row>
    <x:row r="438">
      <x:c r="A438" t="n">
        <x:v>50000</x:v>
      </x:c>
      <x:c r="B438" t="n">
        <x:v>10000</x:v>
      </x:c>
      <x:c r="C438" t="n">
        <x:v>20260707</x:v>
      </x:c>
      <x:c r="D438" t="str">
        <x:v>R9</x:v>
      </x:c>
      <x:c r="E438" t="str">
        <x:v>61–90</x:v>
      </x:c>
      <x:c r="F438" s="121" t="n">
        <x:v>2.5</x:v>
      </x:c>
      <x:c r="G438" s="121" t="n">
        <x:v>12</x:v>
      </x:c>
      <x:c r="H438" s="121" t="n">
        <x:v>8</x:v>
      </x:c>
      <x:c r="I438" s="121" t="n">
        <x:v>40.129999999999995</x:v>
      </x:c>
      <x:c r="J438" s="121" t="n">
        <x:v>73.22</x:v>
      </x:c>
      <x:c r="K438" s="121" t="n">
        <x:v>40.12</x:v>
      </x:c>
      <x:c r="L438" s="121" t="n">
        <x:v>2.9499999999999997</x:v>
      </x:c>
      <x:c r="M438" s="121" t="n">
        <x:v>0.0449999999999946</x:v>
      </x:c>
      <x:c r="N438" s="121" t="n">
        <x:v>-0.0049999999999954525</x:v>
      </x:c>
      <x:c r="O438" s="121" t="n">
        <x:v>0.03999999999999915</x:v>
      </x:c>
      <x:c r="P438" s="121" t="n">
        <x:v>-0.03000000000000025</x:v>
      </x:c>
      <x:c r="Q438" s="121" t="n">
        <x:v>0.03999999999999915</x:v>
      </x:c>
    </x:row>
    <x:row r="439">
      <x:c r="A439" t="n">
        <x:v>50000</x:v>
      </x:c>
      <x:c r="B439" t="n">
        <x:v>10000</x:v>
      </x:c>
      <x:c r="C439" t="n">
        <x:v>20260707</x:v>
      </x:c>
      <x:c r="D439" t="str">
        <x:v>R9</x:v>
      </x:c>
      <x:c r="E439" t="str">
        <x:v>61–90</x:v>
      </x:c>
      <x:c r="F439" s="121" t="n">
        <x:v>2.5</x:v>
      </x:c>
      <x:c r="G439" s="121" t="n">
        <x:v>12</x:v>
      </x:c>
      <x:c r="H439" s="121" t="n">
        <x:v>16</x:v>
      </x:c>
      <x:c r="I439" s="121" t="n">
        <x:v>8.32</x:v>
      </x:c>
      <x:c r="J439" s="121" t="n">
        <x:v>73.22</x:v>
      </x:c>
      <x:c r="K439" s="121" t="n">
        <x:v>8.32</x:v>
      </x:c>
      <x:c r="L439" s="121" t="n">
        <x:v>2.9499999999999997</x:v>
      </x:c>
      <x:c r="M439" s="121" t="n">
        <x:v>-0.20999999999999908</x:v>
      </x:c>
      <x:c r="N439" s="121" t="n">
        <x:v>-0.0049999999999954525</x:v>
      </x:c>
      <x:c r="O439" s="121" t="n">
        <x:v>-0.20999999999999908</x:v>
      </x:c>
      <x:c r="P439" s="121" t="n">
        <x:v>-0.03000000000000025</x:v>
      </x:c>
      <x:c r="Q439" s="121" t="n">
        <x:v>0.20999999999999908</x:v>
      </x:c>
    </x:row>
    <x:row r="440">
      <x:c r="A440" t="n">
        <x:v>50000</x:v>
      </x:c>
      <x:c r="B440" t="n">
        <x:v>10000</x:v>
      </x:c>
      <x:c r="C440" t="n">
        <x:v>20260707</x:v>
      </x:c>
      <x:c r="D440" t="str">
        <x:v>R9</x:v>
      </x:c>
      <x:c r="E440" t="str">
        <x:v>61–90</x:v>
      </x:c>
      <x:c r="F440" s="121" t="n">
        <x:v>2.5</x:v>
      </x:c>
      <x:c r="G440" s="121" t="n">
        <x:v>12</x:v>
      </x:c>
      <x:c r="H440" s="121" t="n">
        <x:v>32</x:v>
      </x:c>
      <x:c r="I440" s="121" t="n">
        <x:v>0.61</x:v>
      </x:c>
      <x:c r="J440" s="121" t="n">
        <x:v>73.22</x:v>
      </x:c>
      <x:c r="K440" s="121" t="n">
        <x:v>0.61</x:v>
      </x:c>
      <x:c r="L440" s="121" t="n">
        <x:v>2.9499999999999997</x:v>
      </x:c>
      <x:c r="M440" s="121" t="n">
        <x:v>-0.010000000000000009</x:v>
      </x:c>
      <x:c r="N440" s="121" t="n">
        <x:v>-0.0049999999999954525</x:v>
      </x:c>
      <x:c r="O440" s="121" t="n">
        <x:v>-0.010000000000000009</x:v>
      </x:c>
      <x:c r="P440" s="121" t="n">
        <x:v>-0.03000000000000025</x:v>
      </x:c>
      <x:c r="Q440" s="121" t="n">
        <x:v>0.010000000000000009</x:v>
      </x:c>
    </x:row>
    <x:row r="441">
      <x:c r="A441" t="n">
        <x:v>50000</x:v>
      </x:c>
      <x:c r="B441" t="n">
        <x:v>10000</x:v>
      </x:c>
      <x:c r="C441" t="n">
        <x:v>20260707</x:v>
      </x:c>
      <x:c r="D441" t="str">
        <x:v>R9</x:v>
      </x:c>
      <x:c r="E441" t="str">
        <x:v>61–90</x:v>
      </x:c>
      <x:c r="F441" s="121" t="n">
        <x:v>2.5</x:v>
      </x:c>
      <x:c r="G441" s="121" t="n">
        <x:v>12</x:v>
      </x:c>
      <x:c r="H441" s="121" t="n">
        <x:v>64</x:v>
      </x:c>
      <x:c r="I441" s="121" t="n">
        <x:v>0.03</x:v>
      </x:c>
      <x:c r="J441" s="121" t="n">
        <x:v>73.22</x:v>
      </x:c>
      <x:c r="K441" s="121" t="n">
        <x:v>0.03</x:v>
      </x:c>
      <x:c r="L441" s="121" t="n">
        <x:v>2.9499999999999997</x:v>
      </x:c>
      <x:c r="M441" s="121" t="n">
        <x:v>-0.010000000000000002</x:v>
      </x:c>
      <x:c r="N441" s="121" t="n">
        <x:v>-0.0049999999999954525</x:v>
      </x:c>
      <x:c r="O441" s="121" t="n">
        <x:v>-0.010000000000000002</x:v>
      </x:c>
      <x:c r="P441" s="121" t="n">
        <x:v>-0.03000000000000025</x:v>
      </x:c>
      <x:c r="Q441" s="121" t="n">
        <x:v>0.010000000000000002</x:v>
      </x:c>
    </x:row>
    <x:row r="442">
      <x:c r="A442" t="n">
        <x:v>50000</x:v>
      </x:c>
      <x:c r="B442" t="n">
        <x:v>10000</x:v>
      </x:c>
      <x:c r="C442" t="n">
        <x:v>20260707</x:v>
      </x:c>
      <x:c r="D442" t="str">
        <x:v>R10</x:v>
      </x:c>
      <x:c r="E442" t="str">
        <x:v>61–90</x:v>
      </x:c>
      <x:c r="F442" s="121" t="n">
        <x:v>2.5</x:v>
      </x:c>
      <x:c r="G442" s="121" t="n">
        <x:v>8</x:v>
      </x:c>
      <x:c r="H442" s="121" t="n">
        <x:v>0.0625</x:v>
      </x:c>
      <x:c r="I442" s="121" t="n">
        <x:v>100</x:v>
      </x:c>
      <x:c r="J442" s="121" t="n">
        <x:v>88.39</x:v>
      </x:c>
      <x:c r="K442" s="121" t="n">
        <x:v>88.39</x:v>
      </x:c>
      <x:c r="L442" s="121" t="n">
        <x:v>10.7</x:v>
      </x:c>
      <x:c r="M442" s="121" t="n">
        <x:v>0</x:v>
      </x:c>
      <x:c r="N442" s="121" t="n">
        <x:v>-0.015000000000000568</x:v>
      </x:c>
      <x:c r="O442" s="121" t="n">
        <x:v>-0.015000000000000568</x:v>
      </x:c>
      <x:c r="P442" s="121" t="n">
        <x:v>-0.19000000000000128</x:v>
      </x:c>
      <x:c r="Q442" s="121" t="n">
        <x:v>0.015000000000000568</x:v>
      </x:c>
    </x:row>
    <x:row r="443">
      <x:c r="A443" t="n">
        <x:v>50000</x:v>
      </x:c>
      <x:c r="B443" t="n">
        <x:v>10000</x:v>
      </x:c>
      <x:c r="C443" t="n">
        <x:v>20260707</x:v>
      </x:c>
      <x:c r="D443" t="str">
        <x:v>R10</x:v>
      </x:c>
      <x:c r="E443" t="str">
        <x:v>61–90</x:v>
      </x:c>
      <x:c r="F443" s="121" t="n">
        <x:v>2.5</x:v>
      </x:c>
      <x:c r="G443" s="121" t="n">
        <x:v>8</x:v>
      </x:c>
      <x:c r="H443" s="121" t="n">
        <x:v>0.125</x:v>
      </x:c>
      <x:c r="I443" s="121" t="n">
        <x:v>100</x:v>
      </x:c>
      <x:c r="J443" s="121" t="n">
        <x:v>88.39</x:v>
      </x:c>
      <x:c r="K443" s="121" t="n">
        <x:v>88.39</x:v>
      </x:c>
      <x:c r="L443" s="121" t="n">
        <x:v>10.7</x:v>
      </x:c>
      <x:c r="M443" s="121" t="n">
        <x:v>0</x:v>
      </x:c>
      <x:c r="N443" s="121" t="n">
        <x:v>-0.015000000000000568</x:v>
      </x:c>
      <x:c r="O443" s="121" t="n">
        <x:v>-0.015000000000000568</x:v>
      </x:c>
      <x:c r="P443" s="121" t="n">
        <x:v>-0.19000000000000128</x:v>
      </x:c>
      <x:c r="Q443" s="121" t="n">
        <x:v>0.015000000000000568</x:v>
      </x:c>
    </x:row>
    <x:row r="444">
      <x:c r="A444" t="n">
        <x:v>50000</x:v>
      </x:c>
      <x:c r="B444" t="n">
        <x:v>10000</x:v>
      </x:c>
      <x:c r="C444" t="n">
        <x:v>20260707</x:v>
      </x:c>
      <x:c r="D444" t="str">
        <x:v>R10</x:v>
      </x:c>
      <x:c r="E444" t="str">
        <x:v>61–90</x:v>
      </x:c>
      <x:c r="F444" s="121" t="n">
        <x:v>2.5</x:v>
      </x:c>
      <x:c r="G444" s="121" t="n">
        <x:v>8</x:v>
      </x:c>
      <x:c r="H444" s="121" t="n">
        <x:v>0.25</x:v>
      </x:c>
      <x:c r="I444" s="121" t="n">
        <x:v>100</x:v>
      </x:c>
      <x:c r="J444" s="121" t="n">
        <x:v>88.39</x:v>
      </x:c>
      <x:c r="K444" s="121" t="n">
        <x:v>88.39</x:v>
      </x:c>
      <x:c r="L444" s="121" t="n">
        <x:v>10.7</x:v>
      </x:c>
      <x:c r="M444" s="121" t="n">
        <x:v>0</x:v>
      </x:c>
      <x:c r="N444" s="121" t="n">
        <x:v>-0.015000000000000568</x:v>
      </x:c>
      <x:c r="O444" s="121" t="n">
        <x:v>-0.015000000000000568</x:v>
      </x:c>
      <x:c r="P444" s="121" t="n">
        <x:v>-0.19000000000000128</x:v>
      </x:c>
      <x:c r="Q444" s="121" t="n">
        <x:v>0.015000000000000568</x:v>
      </x:c>
    </x:row>
    <x:row r="445">
      <x:c r="A445" t="n">
        <x:v>50000</x:v>
      </x:c>
      <x:c r="B445" t="n">
        <x:v>10000</x:v>
      </x:c>
      <x:c r="C445" t="n">
        <x:v>20260707</x:v>
      </x:c>
      <x:c r="D445" t="str">
        <x:v>R10</x:v>
      </x:c>
      <x:c r="E445" t="str">
        <x:v>61–90</x:v>
      </x:c>
      <x:c r="F445" s="121" t="n">
        <x:v>2.5</x:v>
      </x:c>
      <x:c r="G445" s="121" t="n">
        <x:v>8</x:v>
      </x:c>
      <x:c r="H445" s="121" t="n">
        <x:v>0.5</x:v>
      </x:c>
      <x:c r="I445" s="121" t="n">
        <x:v>100</x:v>
      </x:c>
      <x:c r="J445" s="121" t="n">
        <x:v>88.39</x:v>
      </x:c>
      <x:c r="K445" s="121" t="n">
        <x:v>88.39</x:v>
      </x:c>
      <x:c r="L445" s="121" t="n">
        <x:v>10.7</x:v>
      </x:c>
      <x:c r="M445" s="121" t="n">
        <x:v>0</x:v>
      </x:c>
      <x:c r="N445" s="121" t="n">
        <x:v>-0.015000000000000568</x:v>
      </x:c>
      <x:c r="O445" s="121" t="n">
        <x:v>-0.015000000000000568</x:v>
      </x:c>
      <x:c r="P445" s="121" t="n">
        <x:v>-0.19000000000000128</x:v>
      </x:c>
      <x:c r="Q445" s="121" t="n">
        <x:v>0.015000000000000568</x:v>
      </x:c>
    </x:row>
    <x:row r="446">
      <x:c r="A446" t="n">
        <x:v>50000</x:v>
      </x:c>
      <x:c r="B446" t="n">
        <x:v>10000</x:v>
      </x:c>
      <x:c r="C446" t="n">
        <x:v>20260707</x:v>
      </x:c>
      <x:c r="D446" t="str">
        <x:v>R10</x:v>
      </x:c>
      <x:c r="E446" t="str">
        <x:v>61–90</x:v>
      </x:c>
      <x:c r="F446" s="121" t="n">
        <x:v>2.5</x:v>
      </x:c>
      <x:c r="G446" s="121" t="n">
        <x:v>8</x:v>
      </x:c>
      <x:c r="H446" s="121" t="n">
        <x:v>1</x:v>
      </x:c>
      <x:c r="I446" s="121" t="n">
        <x:v>99.99</x:v>
      </x:c>
      <x:c r="J446" s="121" t="n">
        <x:v>88.39</x:v>
      </x:c>
      <x:c r="K446" s="121" t="n">
        <x:v>88.39</x:v>
      </x:c>
      <x:c r="L446" s="121" t="n">
        <x:v>10.7</x:v>
      </x:c>
      <x:c r="M446" s="121" t="n">
        <x:v>-0.005000000000009663</x:v>
      </x:c>
      <x:c r="N446" s="121" t="n">
        <x:v>-0.015000000000000568</x:v>
      </x:c>
      <x:c r="O446" s="121" t="n">
        <x:v>-0.015000000000000568</x:v>
      </x:c>
      <x:c r="P446" s="121" t="n">
        <x:v>-0.19000000000000128</x:v>
      </x:c>
      <x:c r="Q446" s="121" t="n">
        <x:v>0.015000000000000568</x:v>
      </x:c>
    </x:row>
    <x:row r="447">
      <x:c r="A447" t="n">
        <x:v>50000</x:v>
      </x:c>
      <x:c r="B447" t="n">
        <x:v>10000</x:v>
      </x:c>
      <x:c r="C447" t="n">
        <x:v>20260707</x:v>
      </x:c>
      <x:c r="D447" t="str">
        <x:v>R10</x:v>
      </x:c>
      <x:c r="E447" t="str">
        <x:v>61–90</x:v>
      </x:c>
      <x:c r="F447" s="121" t="n">
        <x:v>2.5</x:v>
      </x:c>
      <x:c r="G447" s="121" t="n">
        <x:v>8</x:v>
      </x:c>
      <x:c r="H447" s="121" t="n">
        <x:v>2</x:v>
      </x:c>
      <x:c r="I447" s="121" t="n">
        <x:v>99.51</x:v>
      </x:c>
      <x:c r="J447" s="121" t="n">
        <x:v>88.39</x:v>
      </x:c>
      <x:c r="K447" s="121" t="n">
        <x:v>88.39</x:v>
      </x:c>
      <x:c r="L447" s="121" t="n">
        <x:v>10.7</x:v>
      </x:c>
      <x:c r="M447" s="121" t="n">
        <x:v>-0.045000000000001705</x:v>
      </x:c>
      <x:c r="N447" s="121" t="n">
        <x:v>-0.015000000000000568</x:v>
      </x:c>
      <x:c r="O447" s="121" t="n">
        <x:v>-0.015000000000000568</x:v>
      </x:c>
      <x:c r="P447" s="121" t="n">
        <x:v>-0.19000000000000128</x:v>
      </x:c>
      <x:c r="Q447" s="121" t="n">
        <x:v>0.015000000000000568</x:v>
      </x:c>
    </x:row>
    <x:row r="448">
      <x:c r="A448" t="n">
        <x:v>50000</x:v>
      </x:c>
      <x:c r="B448" t="n">
        <x:v>10000</x:v>
      </x:c>
      <x:c r="C448" t="n">
        <x:v>20260707</x:v>
      </x:c>
      <x:c r="D448" t="str">
        <x:v>R10</x:v>
      </x:c>
      <x:c r="E448" t="str">
        <x:v>61–90</x:v>
      </x:c>
      <x:c r="F448" s="121" t="n">
        <x:v>2.5</x:v>
      </x:c>
      <x:c r="G448" s="121" t="n">
        <x:v>8</x:v>
      </x:c>
      <x:c r="H448" s="121" t="n">
        <x:v>4</x:v>
      </x:c>
      <x:c r="I448" s="121" t="n">
        <x:v>92.82000000000001</x:v>
      </x:c>
      <x:c r="J448" s="121" t="n">
        <x:v>88.39</x:v>
      </x:c>
      <x:c r="K448" s="121" t="n">
        <x:v>87.72</x:v>
      </x:c>
      <x:c r="L448" s="121" t="n">
        <x:v>10.7</x:v>
      </x:c>
      <x:c r="M448" s="121" t="n">
        <x:v>-0.2849999999999966</x:v>
      </x:c>
      <x:c r="N448" s="121" t="n">
        <x:v>-0.015000000000000568</x:v>
      </x:c>
      <x:c r="O448" s="121" t="n">
        <x:v>-0.04000000000000625</x:v>
      </x:c>
      <x:c r="P448" s="121" t="n">
        <x:v>-0.19000000000000128</x:v>
      </x:c>
      <x:c r="Q448" s="121" t="n">
        <x:v>0.04000000000000625</x:v>
      </x:c>
    </x:row>
    <x:row r="449">
      <x:c r="A449" t="n">
        <x:v>50000</x:v>
      </x:c>
      <x:c r="B449" t="n">
        <x:v>10000</x:v>
      </x:c>
      <x:c r="C449" t="n">
        <x:v>20260707</x:v>
      </x:c>
      <x:c r="D449" t="str">
        <x:v>R10</x:v>
      </x:c>
      <x:c r="E449" t="str">
        <x:v>61–90</x:v>
      </x:c>
      <x:c r="F449" s="121" t="n">
        <x:v>2.5</x:v>
      </x:c>
      <x:c r="G449" s="121" t="n">
        <x:v>8</x:v>
      </x:c>
      <x:c r="H449" s="121" t="n">
        <x:v>8</x:v>
      </x:c>
      <x:c r="I449" s="121" t="n">
        <x:v>65.07</x:v>
      </x:c>
      <x:c r="J449" s="121" t="n">
        <x:v>88.39</x:v>
      </x:c>
      <x:c r="K449" s="121" t="n">
        <x:v>65.05</x:v>
      </x:c>
      <x:c r="L449" s="121" t="n">
        <x:v>10.7</x:v>
      </x:c>
      <x:c r="M449" s="121" t="n">
        <x:v>0.125</x:v>
      </x:c>
      <x:c r="N449" s="121" t="n">
        <x:v>-0.015000000000000568</x:v>
      </x:c>
      <x:c r="O449" s="121" t="n">
        <x:v>0.12000000000000455</x:v>
      </x:c>
      <x:c r="P449" s="121" t="n">
        <x:v>-0.19000000000000128</x:v>
      </x:c>
      <x:c r="Q449" s="121" t="n">
        <x:v>0.12000000000000455</x:v>
      </x:c>
    </x:row>
    <x:row r="450">
      <x:c r="A450" t="n">
        <x:v>50000</x:v>
      </x:c>
      <x:c r="B450" t="n">
        <x:v>10000</x:v>
      </x:c>
      <x:c r="C450" t="n">
        <x:v>20260707</x:v>
      </x:c>
      <x:c r="D450" t="str">
        <x:v>R10</x:v>
      </x:c>
      <x:c r="E450" t="str">
        <x:v>61–90</x:v>
      </x:c>
      <x:c r="F450" s="121" t="n">
        <x:v>2.5</x:v>
      </x:c>
      <x:c r="G450" s="121" t="n">
        <x:v>8</x:v>
      </x:c>
      <x:c r="H450" s="121" t="n">
        <x:v>16</x:v>
      </x:c>
      <x:c r="I450" s="121" t="n">
        <x:v>23.69</x:v>
      </x:c>
      <x:c r="J450" s="121" t="n">
        <x:v>88.39</x:v>
      </x:c>
      <x:c r="K450" s="121" t="n">
        <x:v>23.69</x:v>
      </x:c>
      <x:c r="L450" s="121" t="n">
        <x:v>10.7</x:v>
      </x:c>
      <x:c r="M450" s="121" t="n">
        <x:v>-0.05999999999999872</x:v>
      </x:c>
      <x:c r="N450" s="121" t="n">
        <x:v>-0.015000000000000568</x:v>
      </x:c>
      <x:c r="O450" s="121" t="n">
        <x:v>-0.05999999999999872</x:v>
      </x:c>
      <x:c r="P450" s="121" t="n">
        <x:v>-0.19000000000000128</x:v>
      </x:c>
      <x:c r="Q450" s="121" t="n">
        <x:v>0.05999999999999872</x:v>
      </x:c>
    </x:row>
    <x:row r="451">
      <x:c r="A451" t="n">
        <x:v>50000</x:v>
      </x:c>
      <x:c r="B451" t="n">
        <x:v>10000</x:v>
      </x:c>
      <x:c r="C451" t="n">
        <x:v>20260707</x:v>
      </x:c>
      <x:c r="D451" t="str">
        <x:v>R10</x:v>
      </x:c>
      <x:c r="E451" t="str">
        <x:v>61–90</x:v>
      </x:c>
      <x:c r="F451" s="121" t="n">
        <x:v>2.5</x:v>
      </x:c>
      <x:c r="G451" s="121" t="n">
        <x:v>8</x:v>
      </x:c>
      <x:c r="H451" s="121" t="n">
        <x:v>32</x:v>
      </x:c>
      <x:c r="I451" s="121" t="n">
        <x:v>3.4099999999999997</x:v>
      </x:c>
      <x:c r="J451" s="121" t="n">
        <x:v>88.39</x:v>
      </x:c>
      <x:c r="K451" s="121" t="n">
        <x:v>3.4099999999999997</x:v>
      </x:c>
      <x:c r="L451" s="121" t="n">
        <x:v>10.7</x:v>
      </x:c>
      <x:c r="M451" s="121" t="n">
        <x:v>-0.07500000000000018</x:v>
      </x:c>
      <x:c r="N451" s="121" t="n">
        <x:v>-0.015000000000000568</x:v>
      </x:c>
      <x:c r="O451" s="121" t="n">
        <x:v>-0.07500000000000018</x:v>
      </x:c>
      <x:c r="P451" s="121" t="n">
        <x:v>-0.19000000000000128</x:v>
      </x:c>
      <x:c r="Q451" s="121" t="n">
        <x:v>0.07500000000000018</x:v>
      </x:c>
    </x:row>
    <x:row r="452">
      <x:c r="A452" t="n">
        <x:v>50000</x:v>
      </x:c>
      <x:c r="B452" t="n">
        <x:v>10000</x:v>
      </x:c>
      <x:c r="C452" t="n">
        <x:v>20260707</x:v>
      </x:c>
      <x:c r="D452" t="str">
        <x:v>R10</x:v>
      </x:c>
      <x:c r="E452" t="str">
        <x:v>61–90</x:v>
      </x:c>
      <x:c r="F452" s="121" t="n">
        <x:v>2.5</x:v>
      </x:c>
      <x:c r="G452" s="121" t="n">
        <x:v>8</x:v>
      </x:c>
      <x:c r="H452" s="121" t="n">
        <x:v>64</x:v>
      </x:c>
      <x:c r="I452" s="121" t="n">
        <x:v>0.1</x:v>
      </x:c>
      <x:c r="J452" s="121" t="n">
        <x:v>88.39</x:v>
      </x:c>
      <x:c r="K452" s="121" t="n">
        <x:v>0.1</x:v>
      </x:c>
      <x:c r="L452" s="121" t="n">
        <x:v>10.7</x:v>
      </x:c>
      <x:c r="M452" s="121" t="n">
        <x:v>-0.014999999999999986</x:v>
      </x:c>
      <x:c r="N452" s="121" t="n">
        <x:v>-0.015000000000000568</x:v>
      </x:c>
      <x:c r="O452" s="121" t="n">
        <x:v>-0.014999999999999986</x:v>
      </x:c>
      <x:c r="P452" s="121" t="n">
        <x:v>-0.19000000000000128</x:v>
      </x:c>
      <x:c r="Q452" s="121" t="n">
        <x:v>0.014999999999999986</x:v>
      </x:c>
    </x:row>
    <x:row r="453">
      <x:c r="A453" t="n">
        <x:v>50000</x:v>
      </x:c>
      <x:c r="B453" t="n">
        <x:v>10000</x:v>
      </x:c>
      <x:c r="C453" t="n">
        <x:v>20260707</x:v>
      </x:c>
      <x:c r="D453" t="str">
        <x:v>R11</x:v>
      </x:c>
      <x:c r="E453" t="str">
        <x:v>91–120</x:v>
      </x:c>
      <x:c r="F453" s="121" t="n">
        <x:v>2.5</x:v>
      </x:c>
      <x:c r="G453" s="121" t="n">
        <x:v>8</x:v>
      </x:c>
      <x:c r="H453" s="121" t="n">
        <x:v>0.0625</x:v>
      </x:c>
      <x:c r="I453" s="121" t="n">
        <x:v>100</x:v>
      </x:c>
      <x:c r="J453" s="121" t="n">
        <x:v>78.48</x:v>
      </x:c>
      <x:c r="K453" s="121" t="n">
        <x:v>78.48</x:v>
      </x:c>
      <x:c r="L453" s="121" t="n">
        <x:v>5.07</x:v>
      </x:c>
      <x:c r="M453" s="121" t="n">
        <x:v>0</x:v>
      </x:c>
      <x:c r="N453" s="121" t="n">
        <x:v>0.29999999999999716</x:v>
      </x:c>
      <x:c r="O453" s="121" t="n">
        <x:v>0.29999999999999716</x:v>
      </x:c>
      <x:c r="P453" s="121" t="n">
        <x:v>-0.07999999999999918</x:v>
      </x:c>
      <x:c r="Q453" s="121" t="n">
        <x:v>0.29999999999999716</x:v>
      </x:c>
    </x:row>
    <x:row r="454">
      <x:c r="A454" t="n">
        <x:v>50000</x:v>
      </x:c>
      <x:c r="B454" t="n">
        <x:v>10000</x:v>
      </x:c>
      <x:c r="C454" t="n">
        <x:v>20260707</x:v>
      </x:c>
      <x:c r="D454" t="str">
        <x:v>R11</x:v>
      </x:c>
      <x:c r="E454" t="str">
        <x:v>91–120</x:v>
      </x:c>
      <x:c r="F454" s="121" t="n">
        <x:v>2.5</x:v>
      </x:c>
      <x:c r="G454" s="121" t="n">
        <x:v>8</x:v>
      </x:c>
      <x:c r="H454" s="121" t="n">
        <x:v>0.125</x:v>
      </x:c>
      <x:c r="I454" s="121" t="n">
        <x:v>100</x:v>
      </x:c>
      <x:c r="J454" s="121" t="n">
        <x:v>78.48</x:v>
      </x:c>
      <x:c r="K454" s="121" t="n">
        <x:v>78.48</x:v>
      </x:c>
      <x:c r="L454" s="121" t="n">
        <x:v>5.07</x:v>
      </x:c>
      <x:c r="M454" s="121" t="n">
        <x:v>0</x:v>
      </x:c>
      <x:c r="N454" s="121" t="n">
        <x:v>0.29999999999999716</x:v>
      </x:c>
      <x:c r="O454" s="121" t="n">
        <x:v>0.29999999999999716</x:v>
      </x:c>
      <x:c r="P454" s="121" t="n">
        <x:v>-0.07999999999999918</x:v>
      </x:c>
      <x:c r="Q454" s="121" t="n">
        <x:v>0.29999999999999716</x:v>
      </x:c>
    </x:row>
    <x:row r="455">
      <x:c r="A455" t="n">
        <x:v>50000</x:v>
      </x:c>
      <x:c r="B455" t="n">
        <x:v>10000</x:v>
      </x:c>
      <x:c r="C455" t="n">
        <x:v>20260707</x:v>
      </x:c>
      <x:c r="D455" t="str">
        <x:v>R11</x:v>
      </x:c>
      <x:c r="E455" t="str">
        <x:v>91–120</x:v>
      </x:c>
      <x:c r="F455" s="121" t="n">
        <x:v>2.5</x:v>
      </x:c>
      <x:c r="G455" s="121" t="n">
        <x:v>8</x:v>
      </x:c>
      <x:c r="H455" s="121" t="n">
        <x:v>0.25</x:v>
      </x:c>
      <x:c r="I455" s="121" t="n">
        <x:v>100</x:v>
      </x:c>
      <x:c r="J455" s="121" t="n">
        <x:v>78.48</x:v>
      </x:c>
      <x:c r="K455" s="121" t="n">
        <x:v>78.48</x:v>
      </x:c>
      <x:c r="L455" s="121" t="n">
        <x:v>5.07</x:v>
      </x:c>
      <x:c r="M455" s="121" t="n">
        <x:v>0</x:v>
      </x:c>
      <x:c r="N455" s="121" t="n">
        <x:v>0.29999999999999716</x:v>
      </x:c>
      <x:c r="O455" s="121" t="n">
        <x:v>0.29999999999999716</x:v>
      </x:c>
      <x:c r="P455" s="121" t="n">
        <x:v>-0.07999999999999918</x:v>
      </x:c>
      <x:c r="Q455" s="121" t="n">
        <x:v>0.29999999999999716</x:v>
      </x:c>
    </x:row>
    <x:row r="456">
      <x:c r="A456" t="n">
        <x:v>50000</x:v>
      </x:c>
      <x:c r="B456" t="n">
        <x:v>10000</x:v>
      </x:c>
      <x:c r="C456" t="n">
        <x:v>20260707</x:v>
      </x:c>
      <x:c r="D456" t="str">
        <x:v>R11</x:v>
      </x:c>
      <x:c r="E456" t="str">
        <x:v>91–120</x:v>
      </x:c>
      <x:c r="F456" s="121" t="n">
        <x:v>2.5</x:v>
      </x:c>
      <x:c r="G456" s="121" t="n">
        <x:v>8</x:v>
      </x:c>
      <x:c r="H456" s="121" t="n">
        <x:v>0.5</x:v>
      </x:c>
      <x:c r="I456" s="121" t="n">
        <x:v>100</x:v>
      </x:c>
      <x:c r="J456" s="121" t="n">
        <x:v>78.48</x:v>
      </x:c>
      <x:c r="K456" s="121" t="n">
        <x:v>78.48</x:v>
      </x:c>
      <x:c r="L456" s="121" t="n">
        <x:v>5.07</x:v>
      </x:c>
      <x:c r="M456" s="121" t="n">
        <x:v>0.0049999999999954525</x:v>
      </x:c>
      <x:c r="N456" s="121" t="n">
        <x:v>0.29999999999999716</x:v>
      </x:c>
      <x:c r="O456" s="121" t="n">
        <x:v>0.29999999999999716</x:v>
      </x:c>
      <x:c r="P456" s="121" t="n">
        <x:v>-0.07999999999999918</x:v>
      </x:c>
      <x:c r="Q456" s="121" t="n">
        <x:v>0.29999999999999716</x:v>
      </x:c>
    </x:row>
    <x:row r="457">
      <x:c r="A457" t="n">
        <x:v>50000</x:v>
      </x:c>
      <x:c r="B457" t="n">
        <x:v>10000</x:v>
      </x:c>
      <x:c r="C457" t="n">
        <x:v>20260707</x:v>
      </x:c>
      <x:c r="D457" t="str">
        <x:v>R11</x:v>
      </x:c>
      <x:c r="E457" t="str">
        <x:v>91–120</x:v>
      </x:c>
      <x:c r="F457" s="121" t="n">
        <x:v>2.5</x:v>
      </x:c>
      <x:c r="G457" s="121" t="n">
        <x:v>8</x:v>
      </x:c>
      <x:c r="H457" s="121" t="n">
        <x:v>1</x:v>
      </x:c>
      <x:c r="I457" s="121" t="n">
        <x:v>99.96000000000001</x:v>
      </x:c>
      <x:c r="J457" s="121" t="n">
        <x:v>78.48</x:v>
      </x:c>
      <x:c r="K457" s="121" t="n">
        <x:v>78.48</x:v>
      </x:c>
      <x:c r="L457" s="121" t="n">
        <x:v>5.07</x:v>
      </x:c>
      <x:c r="M457" s="121" t="n">
        <x:v>0.010000000000005116</x:v>
      </x:c>
      <x:c r="N457" s="121" t="n">
        <x:v>0.29999999999999716</x:v>
      </x:c>
      <x:c r="O457" s="121" t="n">
        <x:v>0.29999999999999716</x:v>
      </x:c>
      <x:c r="P457" s="121" t="n">
        <x:v>-0.07999999999999918</x:v>
      </x:c>
      <x:c r="Q457" s="121" t="n">
        <x:v>0.29999999999999716</x:v>
      </x:c>
    </x:row>
    <x:row r="458">
      <x:c r="A458" t="n">
        <x:v>50000</x:v>
      </x:c>
      <x:c r="B458" t="n">
        <x:v>10000</x:v>
      </x:c>
      <x:c r="C458" t="n">
        <x:v>20260707</x:v>
      </x:c>
      <x:c r="D458" t="str">
        <x:v>R11</x:v>
      </x:c>
      <x:c r="E458" t="str">
        <x:v>91–120</x:v>
      </x:c>
      <x:c r="F458" s="121" t="n">
        <x:v>2.5</x:v>
      </x:c>
      <x:c r="G458" s="121" t="n">
        <x:v>8</x:v>
      </x:c>
      <x:c r="H458" s="121" t="n">
        <x:v>2</x:v>
      </x:c>
      <x:c r="I458" s="121" t="n">
        <x:v>98.71</x:v>
      </x:c>
      <x:c r="J458" s="121" t="n">
        <x:v>78.48</x:v>
      </x:c>
      <x:c r="K458" s="121" t="n">
        <x:v>78.48</x:v>
      </x:c>
      <x:c r="L458" s="121" t="n">
        <x:v>5.07</x:v>
      </x:c>
      <x:c r="M458" s="121" t="n">
        <x:v>-0.060000000000002274</x:v>
      </x:c>
      <x:c r="N458" s="121" t="n">
        <x:v>0.29999999999999716</x:v>
      </x:c>
      <x:c r="O458" s="121" t="n">
        <x:v>0.29999999999999716</x:v>
      </x:c>
      <x:c r="P458" s="121" t="n">
        <x:v>-0.07999999999999918</x:v>
      </x:c>
      <x:c r="Q458" s="121" t="n">
        <x:v>0.29999999999999716</x:v>
      </x:c>
    </x:row>
    <x:row r="459">
      <x:c r="A459" t="n">
        <x:v>50000</x:v>
      </x:c>
      <x:c r="B459" t="n">
        <x:v>10000</x:v>
      </x:c>
      <x:c r="C459" t="n">
        <x:v>20260707</x:v>
      </x:c>
      <x:c r="D459" t="str">
        <x:v>R11</x:v>
      </x:c>
      <x:c r="E459" t="str">
        <x:v>91–120</x:v>
      </x:c>
      <x:c r="F459" s="121" t="n">
        <x:v>2.5</x:v>
      </x:c>
      <x:c r="G459" s="121" t="n">
        <x:v>8</x:v>
      </x:c>
      <x:c r="H459" s="121" t="n">
        <x:v>4</x:v>
      </x:c>
      <x:c r="I459" s="121" t="n">
        <x:v>86.82</x:v>
      </x:c>
      <x:c r="J459" s="121" t="n">
        <x:v>78.48</x:v>
      </x:c>
      <x:c r="K459" s="121" t="n">
        <x:v>77.75</x:v>
      </x:c>
      <x:c r="L459" s="121" t="n">
        <x:v>5.07</x:v>
      </x:c>
      <x:c r="M459" s="121" t="n">
        <x:v>-0.08500000000000796</x:v>
      </x:c>
      <x:c r="N459" s="121" t="n">
        <x:v>0.29999999999999716</x:v>
      </x:c>
      <x:c r="O459" s="121" t="n">
        <x:v>0.29000000000000625</x:v>
      </x:c>
      <x:c r="P459" s="121" t="n">
        <x:v>-0.07999999999999918</x:v>
      </x:c>
      <x:c r="Q459" s="121" t="n">
        <x:v>0.29000000000000625</x:v>
      </x:c>
    </x:row>
    <x:row r="460">
      <x:c r="A460" t="n">
        <x:v>50000</x:v>
      </x:c>
      <x:c r="B460" t="n">
        <x:v>10000</x:v>
      </x:c>
      <x:c r="C460" t="n">
        <x:v>20260707</x:v>
      </x:c>
      <x:c r="D460" t="str">
        <x:v>R11</x:v>
      </x:c>
      <x:c r="E460" t="str">
        <x:v>91–120</x:v>
      </x:c>
      <x:c r="F460" s="121" t="n">
        <x:v>2.5</x:v>
      </x:c>
      <x:c r="G460" s="121" t="n">
        <x:v>8</x:v>
      </x:c>
      <x:c r="H460" s="121" t="n">
        <x:v>8</x:v>
      </x:c>
      <x:c r="I460" s="121" t="n">
        <x:v>50.51</x:v>
      </x:c>
      <x:c r="J460" s="121" t="n">
        <x:v>78.48</x:v>
      </x:c>
      <x:c r="K460" s="121" t="n">
        <x:v>50.470000000000006</x:v>
      </x:c>
      <x:c r="L460" s="121" t="n">
        <x:v>5.07</x:v>
      </x:c>
      <x:c r="M460" s="121" t="n">
        <x:v>-0.18000000000000682</x:v>
      </x:c>
      <x:c r="N460" s="121" t="n">
        <x:v>0.29999999999999716</x:v>
      </x:c>
      <x:c r="O460" s="121" t="n">
        <x:v>-0.19500000000000028</x:v>
      </x:c>
      <x:c r="P460" s="121" t="n">
        <x:v>-0.07999999999999918</x:v>
      </x:c>
      <x:c r="Q460" s="121" t="n">
        <x:v>0.19500000000000028</x:v>
      </x:c>
    </x:row>
    <x:row r="461">
      <x:c r="A461" t="n">
        <x:v>50000</x:v>
      </x:c>
      <x:c r="B461" t="n">
        <x:v>10000</x:v>
      </x:c>
      <x:c r="C461" t="n">
        <x:v>20260707</x:v>
      </x:c>
      <x:c r="D461" t="str">
        <x:v>R11</x:v>
      </x:c>
      <x:c r="E461" t="str">
        <x:v>91–120</x:v>
      </x:c>
      <x:c r="F461" s="121" t="n">
        <x:v>2.5</x:v>
      </x:c>
      <x:c r="G461" s="121" t="n">
        <x:v>8</x:v>
      </x:c>
      <x:c r="H461" s="121" t="n">
        <x:v>16</x:v>
      </x:c>
      <x:c r="I461" s="121" t="n">
        <x:v>13.089999999999998</x:v>
      </x:c>
      <x:c r="J461" s="121" t="n">
        <x:v>78.48</x:v>
      </x:c>
      <x:c r="K461" s="121" t="n">
        <x:v>13.089999999999998</x:v>
      </x:c>
      <x:c r="L461" s="121" t="n">
        <x:v>5.07</x:v>
      </x:c>
      <x:c r="M461" s="121" t="n">
        <x:v>-0.3800000000000008</x:v>
      </x:c>
      <x:c r="N461" s="121" t="n">
        <x:v>0.29999999999999716</x:v>
      </x:c>
      <x:c r="O461" s="121" t="n">
        <x:v>-0.3800000000000008</x:v>
      </x:c>
      <x:c r="P461" s="121" t="n">
        <x:v>-0.07999999999999918</x:v>
      </x:c>
      <x:c r="Q461" s="121" t="n">
        <x:v>0.3800000000000008</x:v>
      </x:c>
    </x:row>
    <x:row r="462">
      <x:c r="A462" t="n">
        <x:v>50000</x:v>
      </x:c>
      <x:c r="B462" t="n">
        <x:v>10000</x:v>
      </x:c>
      <x:c r="C462" t="n">
        <x:v>20260707</x:v>
      </x:c>
      <x:c r="D462" t="str">
        <x:v>R11</x:v>
      </x:c>
      <x:c r="E462" t="str">
        <x:v>91–120</x:v>
      </x:c>
      <x:c r="F462" s="121" t="n">
        <x:v>2.5</x:v>
      </x:c>
      <x:c r="G462" s="121" t="n">
        <x:v>8</x:v>
      </x:c>
      <x:c r="H462" s="121" t="n">
        <x:v>32</x:v>
      </x:c>
      <x:c r="I462" s="121" t="n">
        <x:v>1.28</x:v>
      </x:c>
      <x:c r="J462" s="121" t="n">
        <x:v>78.48</x:v>
      </x:c>
      <x:c r="K462" s="121" t="n">
        <x:v>1.28</x:v>
      </x:c>
      <x:c r="L462" s="121" t="n">
        <x:v>5.07</x:v>
      </x:c>
      <x:c r="M462" s="121" t="n">
        <x:v>-0.010000000000000009</x:v>
      </x:c>
      <x:c r="N462" s="121" t="n">
        <x:v>0.29999999999999716</x:v>
      </x:c>
      <x:c r="O462" s="121" t="n">
        <x:v>-0.010000000000000009</x:v>
      </x:c>
      <x:c r="P462" s="121" t="n">
        <x:v>-0.07999999999999918</x:v>
      </x:c>
      <x:c r="Q462" s="121" t="n">
        <x:v>0.010000000000000009</x:v>
      </x:c>
    </x:row>
    <x:row r="463">
      <x:c r="A463" t="n">
        <x:v>50000</x:v>
      </x:c>
      <x:c r="B463" t="n">
        <x:v>10000</x:v>
      </x:c>
      <x:c r="C463" t="n">
        <x:v>20260707</x:v>
      </x:c>
      <x:c r="D463" t="str">
        <x:v>R11</x:v>
      </x:c>
      <x:c r="E463" t="str">
        <x:v>91–120</x:v>
      </x:c>
      <x:c r="F463" s="121" t="n">
        <x:v>2.5</x:v>
      </x:c>
      <x:c r="G463" s="121" t="n">
        <x:v>8</x:v>
      </x:c>
      <x:c r="H463" s="121" t="n">
        <x:v>64</x:v>
      </x:c>
      <x:c r="I463" s="121" t="n">
        <x:v>0.02</x:v>
      </x:c>
      <x:c r="J463" s="121" t="n">
        <x:v>78.48</x:v>
      </x:c>
      <x:c r="K463" s="121" t="n">
        <x:v>0.02</x:v>
      </x:c>
      <x:c r="L463" s="121" t="n">
        <x:v>5.07</x:v>
      </x:c>
      <x:c r="M463" s="121" t="n">
        <x:v>0.005000000000000001</x:v>
      </x:c>
      <x:c r="N463" s="121" t="n">
        <x:v>0.29999999999999716</x:v>
      </x:c>
      <x:c r="O463" s="121" t="n">
        <x:v>0.005000000000000001</x:v>
      </x:c>
      <x:c r="P463" s="121" t="n">
        <x:v>-0.07999999999999918</x:v>
      </x:c>
      <x:c r="Q463" s="121" t="n">
        <x:v>0.005000000000000001</x:v>
      </x:c>
    </x:row>
    <x:row r="464">
      <x:c r="A464" t="n">
        <x:v>50000</x:v>
      </x:c>
      <x:c r="B464" t="n">
        <x:v>10000</x:v>
      </x:c>
      <x:c r="C464" t="n">
        <x:v>20260707</x:v>
      </x:c>
      <x:c r="D464" t="str">
        <x:v>R12</x:v>
      </x:c>
      <x:c r="E464" t="str">
        <x:v>91–120</x:v>
      </x:c>
      <x:c r="F464" s="121" t="n">
        <x:v>2.5</x:v>
      </x:c>
      <x:c r="G464" s="121" t="n">
        <x:v>6</x:v>
      </x:c>
      <x:c r="H464" s="121" t="n">
        <x:v>0.0625</x:v>
      </x:c>
      <x:c r="I464" s="121" t="n">
        <x:v>100</x:v>
      </x:c>
      <x:c r="J464" s="121" t="n">
        <x:v>88.39</x:v>
      </x:c>
      <x:c r="K464" s="121" t="n">
        <x:v>88.39</x:v>
      </x:c>
      <x:c r="L464" s="121" t="n">
        <x:v>11.87</x:v>
      </x:c>
      <x:c r="M464" s="121" t="n">
        <x:v>0</x:v>
      </x:c>
      <x:c r="N464" s="121" t="n">
        <x:v>-0.07000000000000739</x:v>
      </x:c>
      <x:c r="O464" s="121" t="n">
        <x:v>-0.07000000000000739</x:v>
      </x:c>
      <x:c r="P464" s="121" t="n">
        <x:v>-0.45000000000000107</x:v>
      </x:c>
      <x:c r="Q464" s="121" t="n">
        <x:v>0.07000000000000739</x:v>
      </x:c>
    </x:row>
    <x:row r="465">
      <x:c r="A465" t="n">
        <x:v>50000</x:v>
      </x:c>
      <x:c r="B465" t="n">
        <x:v>10000</x:v>
      </x:c>
      <x:c r="C465" t="n">
        <x:v>20260707</x:v>
      </x:c>
      <x:c r="D465" t="str">
        <x:v>R12</x:v>
      </x:c>
      <x:c r="E465" t="str">
        <x:v>91–120</x:v>
      </x:c>
      <x:c r="F465" s="121" t="n">
        <x:v>2.5</x:v>
      </x:c>
      <x:c r="G465" s="121" t="n">
        <x:v>6</x:v>
      </x:c>
      <x:c r="H465" s="121" t="n">
        <x:v>0.125</x:v>
      </x:c>
      <x:c r="I465" s="121" t="n">
        <x:v>100</x:v>
      </x:c>
      <x:c r="J465" s="121" t="n">
        <x:v>88.39</x:v>
      </x:c>
      <x:c r="K465" s="121" t="n">
        <x:v>88.39</x:v>
      </x:c>
      <x:c r="L465" s="121" t="n">
        <x:v>11.87</x:v>
      </x:c>
      <x:c r="M465" s="121" t="n">
        <x:v>0</x:v>
      </x:c>
      <x:c r="N465" s="121" t="n">
        <x:v>-0.07000000000000739</x:v>
      </x:c>
      <x:c r="O465" s="121" t="n">
        <x:v>-0.07000000000000739</x:v>
      </x:c>
      <x:c r="P465" s="121" t="n">
        <x:v>-0.45000000000000107</x:v>
      </x:c>
      <x:c r="Q465" s="121" t="n">
        <x:v>0.07000000000000739</x:v>
      </x:c>
    </x:row>
    <x:row r="466">
      <x:c r="A466" t="n">
        <x:v>50000</x:v>
      </x:c>
      <x:c r="B466" t="n">
        <x:v>10000</x:v>
      </x:c>
      <x:c r="C466" t="n">
        <x:v>20260707</x:v>
      </x:c>
      <x:c r="D466" t="str">
        <x:v>R12</x:v>
      </x:c>
      <x:c r="E466" t="str">
        <x:v>91–120</x:v>
      </x:c>
      <x:c r="F466" s="121" t="n">
        <x:v>2.5</x:v>
      </x:c>
      <x:c r="G466" s="121" t="n">
        <x:v>6</x:v>
      </x:c>
      <x:c r="H466" s="121" t="n">
        <x:v>0.25</x:v>
      </x:c>
      <x:c r="I466" s="121" t="n">
        <x:v>100</x:v>
      </x:c>
      <x:c r="J466" s="121" t="n">
        <x:v>88.39</x:v>
      </x:c>
      <x:c r="K466" s="121" t="n">
        <x:v>88.39</x:v>
      </x:c>
      <x:c r="L466" s="121" t="n">
        <x:v>11.87</x:v>
      </x:c>
      <x:c r="M466" s="121" t="n">
        <x:v>0</x:v>
      </x:c>
      <x:c r="N466" s="121" t="n">
        <x:v>-0.07000000000000739</x:v>
      </x:c>
      <x:c r="O466" s="121" t="n">
        <x:v>-0.07000000000000739</x:v>
      </x:c>
      <x:c r="P466" s="121" t="n">
        <x:v>-0.45000000000000107</x:v>
      </x:c>
      <x:c r="Q466" s="121" t="n">
        <x:v>0.07000000000000739</x:v>
      </x:c>
    </x:row>
    <x:row r="467">
      <x:c r="A467" t="n">
        <x:v>50000</x:v>
      </x:c>
      <x:c r="B467" t="n">
        <x:v>10000</x:v>
      </x:c>
      <x:c r="C467" t="n">
        <x:v>20260707</x:v>
      </x:c>
      <x:c r="D467" t="str">
        <x:v>R12</x:v>
      </x:c>
      <x:c r="E467" t="str">
        <x:v>91–120</x:v>
      </x:c>
      <x:c r="F467" s="121" t="n">
        <x:v>2.5</x:v>
      </x:c>
      <x:c r="G467" s="121" t="n">
        <x:v>6</x:v>
      </x:c>
      <x:c r="H467" s="121" t="n">
        <x:v>0.5</x:v>
      </x:c>
      <x:c r="I467" s="121" t="n">
        <x:v>100</x:v>
      </x:c>
      <x:c r="J467" s="121" t="n">
        <x:v>88.39</x:v>
      </x:c>
      <x:c r="K467" s="121" t="n">
        <x:v>88.39</x:v>
      </x:c>
      <x:c r="L467" s="121" t="n">
        <x:v>11.87</x:v>
      </x:c>
      <x:c r="M467" s="121" t="n">
        <x:v>0</x:v>
      </x:c>
      <x:c r="N467" s="121" t="n">
        <x:v>-0.07000000000000739</x:v>
      </x:c>
      <x:c r="O467" s="121" t="n">
        <x:v>-0.07000000000000739</x:v>
      </x:c>
      <x:c r="P467" s="121" t="n">
        <x:v>-0.45000000000000107</x:v>
      </x:c>
      <x:c r="Q467" s="121" t="n">
        <x:v>0.07000000000000739</x:v>
      </x:c>
    </x:row>
    <x:row r="468">
      <x:c r="A468" t="n">
        <x:v>50000</x:v>
      </x:c>
      <x:c r="B468" t="n">
        <x:v>10000</x:v>
      </x:c>
      <x:c r="C468" t="n">
        <x:v>20260707</x:v>
      </x:c>
      <x:c r="D468" t="str">
        <x:v>R12</x:v>
      </x:c>
      <x:c r="E468" t="str">
        <x:v>91–120</x:v>
      </x:c>
      <x:c r="F468" s="121" t="n">
        <x:v>2.5</x:v>
      </x:c>
      <x:c r="G468" s="121" t="n">
        <x:v>6</x:v>
      </x:c>
      <x:c r="H468" s="121" t="n">
        <x:v>1</x:v>
      </x:c>
      <x:c r="I468" s="121" t="n">
        <x:v>100</x:v>
      </x:c>
      <x:c r="J468" s="121" t="n">
        <x:v>88.39</x:v>
      </x:c>
      <x:c r="K468" s="121" t="n">
        <x:v>88.39</x:v>
      </x:c>
      <x:c r="L468" s="121" t="n">
        <x:v>11.87</x:v>
      </x:c>
      <x:c r="M468" s="121" t="n">
        <x:v>0.010000000000005116</x:v>
      </x:c>
      <x:c r="N468" s="121" t="n">
        <x:v>-0.07000000000000739</x:v>
      </x:c>
      <x:c r="O468" s="121" t="n">
        <x:v>-0.07000000000000739</x:v>
      </x:c>
      <x:c r="P468" s="121" t="n">
        <x:v>-0.45000000000000107</x:v>
      </x:c>
      <x:c r="Q468" s="121" t="n">
        <x:v>0.07000000000000739</x:v>
      </x:c>
    </x:row>
    <x:row r="469">
      <x:c r="A469" t="n">
        <x:v>50000</x:v>
      </x:c>
      <x:c r="B469" t="n">
        <x:v>10000</x:v>
      </x:c>
      <x:c r="C469" t="n">
        <x:v>20260707</x:v>
      </x:c>
      <x:c r="D469" t="str">
        <x:v>R12</x:v>
      </x:c>
      <x:c r="E469" t="str">
        <x:v>91–120</x:v>
      </x:c>
      <x:c r="F469" s="121" t="n">
        <x:v>2.5</x:v>
      </x:c>
      <x:c r="G469" s="121" t="n">
        <x:v>6</x:v>
      </x:c>
      <x:c r="H469" s="121" t="n">
        <x:v>2</x:v>
      </x:c>
      <x:c r="I469" s="121" t="n">
        <x:v>99.7</x:v>
      </x:c>
      <x:c r="J469" s="121" t="n">
        <x:v>88.39</x:v>
      </x:c>
      <x:c r="K469" s="121" t="n">
        <x:v>88.39</x:v>
      </x:c>
      <x:c r="L469" s="121" t="n">
        <x:v>11.87</x:v>
      </x:c>
      <x:c r="M469" s="121" t="n">
        <x:v>0.01999999999999602</x:v>
      </x:c>
      <x:c r="N469" s="121" t="n">
        <x:v>-0.07000000000000739</x:v>
      </x:c>
      <x:c r="O469" s="121" t="n">
        <x:v>-0.07000000000000739</x:v>
      </x:c>
      <x:c r="P469" s="121" t="n">
        <x:v>-0.45000000000000107</x:v>
      </x:c>
      <x:c r="Q469" s="121" t="n">
        <x:v>0.07000000000000739</x:v>
      </x:c>
    </x:row>
    <x:row r="470">
      <x:c r="A470" t="n">
        <x:v>50000</x:v>
      </x:c>
      <x:c r="B470" t="n">
        <x:v>10000</x:v>
      </x:c>
      <x:c r="C470" t="n">
        <x:v>20260707</x:v>
      </x:c>
      <x:c r="D470" t="str">
        <x:v>R12</x:v>
      </x:c>
      <x:c r="E470" t="str">
        <x:v>91–120</x:v>
      </x:c>
      <x:c r="F470" s="121" t="n">
        <x:v>2.5</x:v>
      </x:c>
      <x:c r="G470" s="121" t="n">
        <x:v>6</x:v>
      </x:c>
      <x:c r="H470" s="121" t="n">
        <x:v>4</x:v>
      </x:c>
      <x:c r="I470" s="121" t="n">
        <x:v>94.24</x:v>
      </x:c>
      <x:c r="J470" s="121" t="n">
        <x:v>88.39</x:v>
      </x:c>
      <x:c r="K470" s="121" t="n">
        <x:v>87.98</x:v>
      </x:c>
      <x:c r="L470" s="121" t="n">
        <x:v>11.87</x:v>
      </x:c>
      <x:c r="M470" s="121" t="n">
        <x:v>-0.16500000000000625</x:v>
      </x:c>
      <x:c r="N470" s="121" t="n">
        <x:v>-0.07000000000000739</x:v>
      </x:c>
      <x:c r="O470" s="121" t="n">
        <x:v>-0.09000000000000341</x:v>
      </x:c>
      <x:c r="P470" s="121" t="n">
        <x:v>-0.45000000000000107</x:v>
      </x:c>
      <x:c r="Q470" s="121" t="n">
        <x:v>0.09000000000000341</x:v>
      </x:c>
    </x:row>
    <x:row r="471">
      <x:c r="A471" t="n">
        <x:v>50000</x:v>
      </x:c>
      <x:c r="B471" t="n">
        <x:v>10000</x:v>
      </x:c>
      <x:c r="C471" t="n">
        <x:v>20260707</x:v>
      </x:c>
      <x:c r="D471" t="str">
        <x:v>R12</x:v>
      </x:c>
      <x:c r="E471" t="str">
        <x:v>91–120</x:v>
      </x:c>
      <x:c r="F471" s="121" t="n">
        <x:v>2.5</x:v>
      </x:c>
      <x:c r="G471" s="121" t="n">
        <x:v>6</x:v>
      </x:c>
      <x:c r="H471" s="121" t="n">
        <x:v>8</x:v>
      </x:c>
      <x:c r="I471" s="121" t="n">
        <x:v>68.10000000000001</x:v>
      </x:c>
      <x:c r="J471" s="121" t="n">
        <x:v>88.39</x:v>
      </x:c>
      <x:c r="K471" s="121" t="n">
        <x:v>68.01</x:v>
      </x:c>
      <x:c r="L471" s="121" t="n">
        <x:v>11.87</x:v>
      </x:c>
      <x:c r="M471" s="121" t="n">
        <x:v>-0.015000000000000568</x:v>
      </x:c>
      <x:c r="N471" s="121" t="n">
        <x:v>-0.07000000000000739</x:v>
      </x:c>
      <x:c r="O471" s="121" t="n">
        <x:v>-0.03499999999999659</x:v>
      </x:c>
      <x:c r="P471" s="121" t="n">
        <x:v>-0.45000000000000107</x:v>
      </x:c>
      <x:c r="Q471" s="121" t="n">
        <x:v>0.03499999999999659</x:v>
      </x:c>
    </x:row>
    <x:row r="472">
      <x:c r="A472" t="n">
        <x:v>50000</x:v>
      </x:c>
      <x:c r="B472" t="n">
        <x:v>10000</x:v>
      </x:c>
      <x:c r="C472" t="n">
        <x:v>20260707</x:v>
      </x:c>
      <x:c r="D472" t="str">
        <x:v>R12</x:v>
      </x:c>
      <x:c r="E472" t="str">
        <x:v>91–120</x:v>
      </x:c>
      <x:c r="F472" s="121" t="n">
        <x:v>2.5</x:v>
      </x:c>
      <x:c r="G472" s="121" t="n">
        <x:v>6</x:v>
      </x:c>
      <x:c r="H472" s="121" t="n">
        <x:v>16</x:v>
      </x:c>
      <x:c r="I472" s="121" t="n">
        <x:v>26.13</x:v>
      </x:c>
      <x:c r="J472" s="121" t="n">
        <x:v>88.39</x:v>
      </x:c>
      <x:c r="K472" s="121" t="n">
        <x:v>26.13</x:v>
      </x:c>
      <x:c r="L472" s="121" t="n">
        <x:v>11.87</x:v>
      </x:c>
      <x:c r="M472" s="121" t="n">
        <x:v>-0.04499999999999815</x:v>
      </x:c>
      <x:c r="N472" s="121" t="n">
        <x:v>-0.07000000000000739</x:v>
      </x:c>
      <x:c r="O472" s="121" t="n">
        <x:v>-0.04499999999999815</x:v>
      </x:c>
      <x:c r="P472" s="121" t="n">
        <x:v>-0.45000000000000107</x:v>
      </x:c>
      <x:c r="Q472" s="121" t="n">
        <x:v>0.04499999999999815</x:v>
      </x:c>
    </x:row>
    <x:row r="473">
      <x:c r="A473" t="n">
        <x:v>50000</x:v>
      </x:c>
      <x:c r="B473" t="n">
        <x:v>10000</x:v>
      </x:c>
      <x:c r="C473" t="n">
        <x:v>20260707</x:v>
      </x:c>
      <x:c r="D473" t="str">
        <x:v>R12</x:v>
      </x:c>
      <x:c r="E473" t="str">
        <x:v>91–120</x:v>
      </x:c>
      <x:c r="F473" s="121" t="n">
        <x:v>2.5</x:v>
      </x:c>
      <x:c r="G473" s="121" t="n">
        <x:v>6</x:v>
      </x:c>
      <x:c r="H473" s="121" t="n">
        <x:v>32</x:v>
      </x:c>
      <x:c r="I473" s="121" t="n">
        <x:v>3.73</x:v>
      </x:c>
      <x:c r="J473" s="121" t="n">
        <x:v>88.39</x:v>
      </x:c>
      <x:c r="K473" s="121" t="n">
        <x:v>3.73</x:v>
      </x:c>
      <x:c r="L473" s="121" t="n">
        <x:v>11.87</x:v>
      </x:c>
      <x:c r="M473" s="121" t="n">
        <x:v>-0.050000000000000266</x:v>
      </x:c>
      <x:c r="N473" s="121" t="n">
        <x:v>-0.07000000000000739</x:v>
      </x:c>
      <x:c r="O473" s="121" t="n">
        <x:v>-0.050000000000000266</x:v>
      </x:c>
      <x:c r="P473" s="121" t="n">
        <x:v>-0.45000000000000107</x:v>
      </x:c>
      <x:c r="Q473" s="121" t="n">
        <x:v>0.050000000000000266</x:v>
      </x:c>
    </x:row>
    <x:row r="474">
      <x:c r="A474" t="n">
        <x:v>50000</x:v>
      </x:c>
      <x:c r="B474" t="n">
        <x:v>10000</x:v>
      </x:c>
      <x:c r="C474" t="n">
        <x:v>20260707</x:v>
      </x:c>
      <x:c r="D474" t="str">
        <x:v>R12</x:v>
      </x:c>
      <x:c r="E474" t="str">
        <x:v>91–120</x:v>
      </x:c>
      <x:c r="F474" s="121" t="n">
        <x:v>2.5</x:v>
      </x:c>
      <x:c r="G474" s="121" t="n">
        <x:v>6</x:v>
      </x:c>
      <x:c r="H474" s="121" t="n">
        <x:v>64</x:v>
      </x:c>
      <x:c r="I474" s="121" t="n">
        <x:v>0.2</x:v>
      </x:c>
      <x:c r="J474" s="121" t="n">
        <x:v>88.39</x:v>
      </x:c>
      <x:c r="K474" s="121" t="n">
        <x:v>0.2</x:v>
      </x:c>
      <x:c r="L474" s="121" t="n">
        <x:v>11.87</x:v>
      </x:c>
      <x:c r="M474" s="121" t="n">
        <x:v>0</x:v>
      </x:c>
      <x:c r="N474" s="121" t="n">
        <x:v>-0.07000000000000739</x:v>
      </x:c>
      <x:c r="O474" s="121" t="n">
        <x:v>0</x:v>
      </x:c>
      <x:c r="P474" s="121" t="n">
        <x:v>-0.45000000000000107</x:v>
      </x:c>
      <x:c r="Q474" s="121" t="n">
        <x:v>0</x:v>
      </x:c>
    </x:row>
    <x:row r="475">
      <x:c r="A475" t="n">
        <x:v>50000</x:v>
      </x:c>
      <x:c r="B475" t="n">
        <x:v>10000</x:v>
      </x:c>
      <x:c r="C475" t="n">
        <x:v>20260707</x:v>
      </x:c>
      <x:c r="D475" t="str">
        <x:v>R13</x:v>
      </x:c>
      <x:c r="E475" t="str">
        <x:v>121–150</x:v>
      </x:c>
      <x:c r="F475" s="121" t="n">
        <x:v>2.5</x:v>
      </x:c>
      <x:c r="G475" s="121" t="n">
        <x:v>6</x:v>
      </x:c>
      <x:c r="H475" s="121" t="n">
        <x:v>0.0625</x:v>
      </x:c>
      <x:c r="I475" s="121" t="n">
        <x:v>100</x:v>
      </x:c>
      <x:c r="J475" s="121" t="n">
        <x:v>81.46</x:v>
      </x:c>
      <x:c r="K475" s="121" t="n">
        <x:v>81.46</x:v>
      </x:c>
      <x:c r="L475" s="121" t="n">
        <x:v>7.37</x:v>
      </x:c>
      <x:c r="M475" s="121" t="n">
        <x:v>0</x:v>
      </x:c>
      <x:c r="N475" s="121" t="n">
        <x:v>0.2149999999999892</x:v>
      </x:c>
      <x:c r="O475" s="121" t="n">
        <x:v>0.2149999999999892</x:v>
      </x:c>
      <x:c r="P475" s="121" t="n">
        <x:v>0.040000000000000036</x:v>
      </x:c>
      <x:c r="Q475" s="121" t="n">
        <x:v>0.2149999999999892</x:v>
      </x:c>
    </x:row>
    <x:row r="476">
      <x:c r="A476" t="n">
        <x:v>50000</x:v>
      </x:c>
      <x:c r="B476" t="n">
        <x:v>10000</x:v>
      </x:c>
      <x:c r="C476" t="n">
        <x:v>20260707</x:v>
      </x:c>
      <x:c r="D476" t="str">
        <x:v>R13</x:v>
      </x:c>
      <x:c r="E476" t="str">
        <x:v>121–150</x:v>
      </x:c>
      <x:c r="F476" s="121" t="n">
        <x:v>2.5</x:v>
      </x:c>
      <x:c r="G476" s="121" t="n">
        <x:v>6</x:v>
      </x:c>
      <x:c r="H476" s="121" t="n">
        <x:v>0.125</x:v>
      </x:c>
      <x:c r="I476" s="121" t="n">
        <x:v>100</x:v>
      </x:c>
      <x:c r="J476" s="121" t="n">
        <x:v>81.46</x:v>
      </x:c>
      <x:c r="K476" s="121" t="n">
        <x:v>81.46</x:v>
      </x:c>
      <x:c r="L476" s="121" t="n">
        <x:v>7.37</x:v>
      </x:c>
      <x:c r="M476" s="121" t="n">
        <x:v>0</x:v>
      </x:c>
      <x:c r="N476" s="121" t="n">
        <x:v>0.2149999999999892</x:v>
      </x:c>
      <x:c r="O476" s="121" t="n">
        <x:v>0.2149999999999892</x:v>
      </x:c>
      <x:c r="P476" s="121" t="n">
        <x:v>0.040000000000000036</x:v>
      </x:c>
      <x:c r="Q476" s="121" t="n">
        <x:v>0.2149999999999892</x:v>
      </x:c>
    </x:row>
    <x:row r="477">
      <x:c r="A477" t="n">
        <x:v>50000</x:v>
      </x:c>
      <x:c r="B477" t="n">
        <x:v>10000</x:v>
      </x:c>
      <x:c r="C477" t="n">
        <x:v>20260707</x:v>
      </x:c>
      <x:c r="D477" t="str">
        <x:v>R13</x:v>
      </x:c>
      <x:c r="E477" t="str">
        <x:v>121–150</x:v>
      </x:c>
      <x:c r="F477" s="121" t="n">
        <x:v>2.5</x:v>
      </x:c>
      <x:c r="G477" s="121" t="n">
        <x:v>6</x:v>
      </x:c>
      <x:c r="H477" s="121" t="n">
        <x:v>0.25</x:v>
      </x:c>
      <x:c r="I477" s="121" t="n">
        <x:v>100</x:v>
      </x:c>
      <x:c r="J477" s="121" t="n">
        <x:v>81.46</x:v>
      </x:c>
      <x:c r="K477" s="121" t="n">
        <x:v>81.46</x:v>
      </x:c>
      <x:c r="L477" s="121" t="n">
        <x:v>7.37</x:v>
      </x:c>
      <x:c r="M477" s="121" t="n">
        <x:v>0</x:v>
      </x:c>
      <x:c r="N477" s="121" t="n">
        <x:v>0.2149999999999892</x:v>
      </x:c>
      <x:c r="O477" s="121" t="n">
        <x:v>0.2149999999999892</x:v>
      </x:c>
      <x:c r="P477" s="121" t="n">
        <x:v>0.040000000000000036</x:v>
      </x:c>
      <x:c r="Q477" s="121" t="n">
        <x:v>0.2149999999999892</x:v>
      </x:c>
    </x:row>
    <x:row r="478">
      <x:c r="A478" t="n">
        <x:v>50000</x:v>
      </x:c>
      <x:c r="B478" t="n">
        <x:v>10000</x:v>
      </x:c>
      <x:c r="C478" t="n">
        <x:v>20260707</x:v>
      </x:c>
      <x:c r="D478" t="str">
        <x:v>R13</x:v>
      </x:c>
      <x:c r="E478" t="str">
        <x:v>121–150</x:v>
      </x:c>
      <x:c r="F478" s="121" t="n">
        <x:v>2.5</x:v>
      </x:c>
      <x:c r="G478" s="121" t="n">
        <x:v>6</x:v>
      </x:c>
      <x:c r="H478" s="121" t="n">
        <x:v>0.5</x:v>
      </x:c>
      <x:c r="I478" s="121" t="n">
        <x:v>100</x:v>
      </x:c>
      <x:c r="J478" s="121" t="n">
        <x:v>81.46</x:v>
      </x:c>
      <x:c r="K478" s="121" t="n">
        <x:v>81.46</x:v>
      </x:c>
      <x:c r="L478" s="121" t="n">
        <x:v>7.37</x:v>
      </x:c>
      <x:c r="M478" s="121" t="n">
        <x:v>0</x:v>
      </x:c>
      <x:c r="N478" s="121" t="n">
        <x:v>0.2149999999999892</x:v>
      </x:c>
      <x:c r="O478" s="121" t="n">
        <x:v>0.2149999999999892</x:v>
      </x:c>
      <x:c r="P478" s="121" t="n">
        <x:v>0.040000000000000036</x:v>
      </x:c>
      <x:c r="Q478" s="121" t="n">
        <x:v>0.2149999999999892</x:v>
      </x:c>
    </x:row>
    <x:row r="479">
      <x:c r="A479" t="n">
        <x:v>50000</x:v>
      </x:c>
      <x:c r="B479" t="n">
        <x:v>10000</x:v>
      </x:c>
      <x:c r="C479" t="n">
        <x:v>20260707</x:v>
      </x:c>
      <x:c r="D479" t="str">
        <x:v>R13</x:v>
      </x:c>
      <x:c r="E479" t="str">
        <x:v>121–150</x:v>
      </x:c>
      <x:c r="F479" s="121" t="n">
        <x:v>2.5</x:v>
      </x:c>
      <x:c r="G479" s="121" t="n">
        <x:v>6</x:v>
      </x:c>
      <x:c r="H479" s="121" t="n">
        <x:v>1</x:v>
      </x:c>
      <x:c r="I479" s="121" t="n">
        <x:v>99.99</x:v>
      </x:c>
      <x:c r="J479" s="121" t="n">
        <x:v>81.46</x:v>
      </x:c>
      <x:c r="K479" s="121" t="n">
        <x:v>81.46</x:v>
      </x:c>
      <x:c r="L479" s="121" t="n">
        <x:v>7.37</x:v>
      </x:c>
      <x:c r="M479" s="121" t="n">
        <x:v>0.0049999999999954525</x:v>
      </x:c>
      <x:c r="N479" s="121" t="n">
        <x:v>0.2149999999999892</x:v>
      </x:c>
      <x:c r="O479" s="121" t="n">
        <x:v>0.2149999999999892</x:v>
      </x:c>
      <x:c r="P479" s="121" t="n">
        <x:v>0.040000000000000036</x:v>
      </x:c>
      <x:c r="Q479" s="121" t="n">
        <x:v>0.2149999999999892</x:v>
      </x:c>
    </x:row>
    <x:row r="480">
      <x:c r="A480" t="n">
        <x:v>50000</x:v>
      </x:c>
      <x:c r="B480" t="n">
        <x:v>10000</x:v>
      </x:c>
      <x:c r="C480" t="n">
        <x:v>20260707</x:v>
      </x:c>
      <x:c r="D480" t="str">
        <x:v>R13</x:v>
      </x:c>
      <x:c r="E480" t="str">
        <x:v>121–150</x:v>
      </x:c>
      <x:c r="F480" s="121" t="n">
        <x:v>2.5</x:v>
      </x:c>
      <x:c r="G480" s="121" t="n">
        <x:v>6</x:v>
      </x:c>
      <x:c r="H480" s="121" t="n">
        <x:v>2</x:v>
      </x:c>
      <x:c r="I480" s="121" t="n">
        <x:v>99.05000000000001</x:v>
      </x:c>
      <x:c r="J480" s="121" t="n">
        <x:v>81.46</x:v>
      </x:c>
      <x:c r="K480" s="121" t="n">
        <x:v>81.46</x:v>
      </x:c>
      <x:c r="L480" s="121" t="n">
        <x:v>7.37</x:v>
      </x:c>
      <x:c r="M480" s="121" t="n">
        <x:v>-0.12999999999999545</x:v>
      </x:c>
      <x:c r="N480" s="121" t="n">
        <x:v>0.2149999999999892</x:v>
      </x:c>
      <x:c r="O480" s="121" t="n">
        <x:v>0.2149999999999892</x:v>
      </x:c>
      <x:c r="P480" s="121" t="n">
        <x:v>0.040000000000000036</x:v>
      </x:c>
      <x:c r="Q480" s="121" t="n">
        <x:v>0.2149999999999892</x:v>
      </x:c>
    </x:row>
    <x:row r="481">
      <x:c r="A481" t="n">
        <x:v>50000</x:v>
      </x:c>
      <x:c r="B481" t="n">
        <x:v>10000</x:v>
      </x:c>
      <x:c r="C481" t="n">
        <x:v>20260707</x:v>
      </x:c>
      <x:c r="D481" t="str">
        <x:v>R13</x:v>
      </x:c>
      <x:c r="E481" t="str">
        <x:v>121–150</x:v>
      </x:c>
      <x:c r="F481" s="121" t="n">
        <x:v>2.5</x:v>
      </x:c>
      <x:c r="G481" s="121" t="n">
        <x:v>6</x:v>
      </x:c>
      <x:c r="H481" s="121" t="n">
        <x:v>4</x:v>
      </x:c>
      <x:c r="I481" s="121" t="n">
        <x:v>90.28</x:v>
      </x:c>
      <x:c r="J481" s="121" t="n">
        <x:v>81.46</x:v>
      </x:c>
      <x:c r="K481" s="121" t="n">
        <x:v>80.93</x:v>
      </x:c>
      <x:c r="L481" s="121" t="n">
        <x:v>7.37</x:v>
      </x:c>
      <x:c r="M481" s="121" t="n">
        <x:v>-0.14499999999999602</x:v>
      </x:c>
      <x:c r="N481" s="121" t="n">
        <x:v>0.2149999999999892</x:v>
      </x:c>
      <x:c r="O481" s="121" t="n">
        <x:v>0.125</x:v>
      </x:c>
      <x:c r="P481" s="121" t="n">
        <x:v>0.040000000000000036</x:v>
      </x:c>
      <x:c r="Q481" s="121" t="n">
        <x:v>0.125</x:v>
      </x:c>
    </x:row>
    <x:row r="482">
      <x:c r="A482" t="n">
        <x:v>50000</x:v>
      </x:c>
      <x:c r="B482" t="n">
        <x:v>10000</x:v>
      </x:c>
      <x:c r="C482" t="n">
        <x:v>20260707</x:v>
      </x:c>
      <x:c r="D482" t="str">
        <x:v>R13</x:v>
      </x:c>
      <x:c r="E482" t="str">
        <x:v>121–150</x:v>
      </x:c>
      <x:c r="F482" s="121" t="n">
        <x:v>2.5</x:v>
      </x:c>
      <x:c r="G482" s="121" t="n">
        <x:v>6</x:v>
      </x:c>
      <x:c r="H482" s="121" t="n">
        <x:v>8</x:v>
      </x:c>
      <x:c r="I482" s="121" t="n">
        <x:v>57.14</x:v>
      </x:c>
      <x:c r="J482" s="121" t="n">
        <x:v>81.46</x:v>
      </x:c>
      <x:c r="K482" s="121" t="n">
        <x:v>57.05</x:v>
      </x:c>
      <x:c r="L482" s="121" t="n">
        <x:v>7.37</x:v>
      </x:c>
      <x:c r="M482" s="121" t="n">
        <x:v>-0.16499999999999204</x:v>
      </x:c>
      <x:c r="N482" s="121" t="n">
        <x:v>0.2149999999999892</x:v>
      </x:c>
      <x:c r="O482" s="121" t="n">
        <x:v>-0.15500000000000114</x:v>
      </x:c>
      <x:c r="P482" s="121" t="n">
        <x:v>0.040000000000000036</x:v>
      </x:c>
      <x:c r="Q482" s="121" t="n">
        <x:v>0.15500000000000114</x:v>
      </x:c>
    </x:row>
    <x:row r="483">
      <x:c r="A483" t="n">
        <x:v>50000</x:v>
      </x:c>
      <x:c r="B483" t="n">
        <x:v>10000</x:v>
      </x:c>
      <x:c r="C483" t="n">
        <x:v>20260707</x:v>
      </x:c>
      <x:c r="D483" t="str">
        <x:v>R13</x:v>
      </x:c>
      <x:c r="E483" t="str">
        <x:v>121–150</x:v>
      </x:c>
      <x:c r="F483" s="121" t="n">
        <x:v>2.5</x:v>
      </x:c>
      <x:c r="G483" s="121" t="n">
        <x:v>6</x:v>
      </x:c>
      <x:c r="H483" s="121" t="n">
        <x:v>16</x:v>
      </x:c>
      <x:c r="I483" s="121" t="n">
        <x:v>18.07</x:v>
      </x:c>
      <x:c r="J483" s="121" t="n">
        <x:v>81.46</x:v>
      </x:c>
      <x:c r="K483" s="121" t="n">
        <x:v>18.07</x:v>
      </x:c>
      <x:c r="L483" s="121" t="n">
        <x:v>7.37</x:v>
      </x:c>
      <x:c r="M483" s="121" t="n">
        <x:v>0.370000000000001</x:v>
      </x:c>
      <x:c r="N483" s="121" t="n">
        <x:v>0.2149999999999892</x:v>
      </x:c>
      <x:c r="O483" s="121" t="n">
        <x:v>0.370000000000001</x:v>
      </x:c>
      <x:c r="P483" s="121" t="n">
        <x:v>0.040000000000000036</x:v>
      </x:c>
      <x:c r="Q483" s="121" t="n">
        <x:v>0.370000000000001</x:v>
      </x:c>
    </x:row>
    <x:row r="484">
      <x:c r="A484" t="n">
        <x:v>50000</x:v>
      </x:c>
      <x:c r="B484" t="n">
        <x:v>10000</x:v>
      </x:c>
      <x:c r="C484" t="n">
        <x:v>20260707</x:v>
      </x:c>
      <x:c r="D484" t="str">
        <x:v>R13</x:v>
      </x:c>
      <x:c r="E484" t="str">
        <x:v>121–150</x:v>
      </x:c>
      <x:c r="F484" s="121" t="n">
        <x:v>2.5</x:v>
      </x:c>
      <x:c r="G484" s="121" t="n">
        <x:v>6</x:v>
      </x:c>
      <x:c r="H484" s="121" t="n">
        <x:v>32</x:v>
      </x:c>
      <x:c r="I484" s="121" t="n">
        <x:v>2.11</x:v>
      </x:c>
      <x:c r="J484" s="121" t="n">
        <x:v>81.46</x:v>
      </x:c>
      <x:c r="K484" s="121" t="n">
        <x:v>2.11</x:v>
      </x:c>
      <x:c r="L484" s="121" t="n">
        <x:v>7.37</x:v>
      </x:c>
      <x:c r="M484" s="121" t="n">
        <x:v>0.004999999999999893</x:v>
      </x:c>
      <x:c r="N484" s="121" t="n">
        <x:v>0.2149999999999892</x:v>
      </x:c>
      <x:c r="O484" s="121" t="n">
        <x:v>0.004999999999999893</x:v>
      </x:c>
      <x:c r="P484" s="121" t="n">
        <x:v>0.040000000000000036</x:v>
      </x:c>
      <x:c r="Q484" s="121" t="n">
        <x:v>0.004999999999999893</x:v>
      </x:c>
    </x:row>
    <x:row r="485">
      <x:c r="A485" t="n">
        <x:v>50000</x:v>
      </x:c>
      <x:c r="B485" t="n">
        <x:v>10000</x:v>
      </x:c>
      <x:c r="C485" t="n">
        <x:v>20260707</x:v>
      </x:c>
      <x:c r="D485" t="str">
        <x:v>R13</x:v>
      </x:c>
      <x:c r="E485" t="str">
        <x:v>121–150</x:v>
      </x:c>
      <x:c r="F485" s="121" t="n">
        <x:v>2.5</x:v>
      </x:c>
      <x:c r="G485" s="121" t="n">
        <x:v>6</x:v>
      </x:c>
      <x:c r="H485" s="121" t="n">
        <x:v>64</x:v>
      </x:c>
      <x:c r="I485" s="121" t="n">
        <x:v>0.04</x:v>
      </x:c>
      <x:c r="J485" s="121" t="n">
        <x:v>81.46</x:v>
      </x:c>
      <x:c r="K485" s="121" t="n">
        <x:v>0.04</x:v>
      </x:c>
      <x:c r="L485" s="121" t="n">
        <x:v>7.37</x:v>
      </x:c>
      <x:c r="M485" s="121" t="n">
        <x:v>-0.019999999999999997</x:v>
      </x:c>
      <x:c r="N485" s="121" t="n">
        <x:v>0.2149999999999892</x:v>
      </x:c>
      <x:c r="O485" s="121" t="n">
        <x:v>-0.019999999999999997</x:v>
      </x:c>
      <x:c r="P485" s="121" t="n">
        <x:v>0.040000000000000036</x:v>
      </x:c>
      <x:c r="Q485" s="121" t="n">
        <x:v>0.019999999999999997</x:v>
      </x:c>
    </x:row>
    <x:row r="486">
      <x:c r="A486" t="n">
        <x:v>100000</x:v>
      </x:c>
      <x:c r="B486" t="n">
        <x:v>20000</x:v>
      </x:c>
      <x:c r="C486" t="n">
        <x:v>20260707</x:v>
      </x:c>
      <x:c r="D486" t="str">
        <x:v>R1</x:v>
      </x:c>
      <x:c r="E486" t="str">
        <x:v>0–30</x:v>
      </x:c>
      <x:c r="F486" s="121" t="n">
        <x:v>0.625</x:v>
      </x:c>
      <x:c r="G486" s="121" t="n">
        <x:v>12</x:v>
      </x:c>
      <x:c r="H486" s="121" t="n">
        <x:v>0.0625</x:v>
      </x:c>
      <x:c r="I486" s="121" t="n">
        <x:v>100</x:v>
      </x:c>
      <x:c r="J486" s="121" t="n">
        <x:v>74.94</x:v>
      </x:c>
      <x:c r="K486" s="121" t="n">
        <x:v>74.94</x:v>
      </x:c>
      <x:c r="L486" s="121" t="n">
        <x:v>9.31</x:v>
      </x:c>
      <x:c r="M486" s="121" t="n">
        <x:v>0</x:v>
      </x:c>
      <x:c r="N486" s="121" t="n">
        <x:v>0</x:v>
      </x:c>
      <x:c r="O486" s="121" t="n">
        <x:v>0</x:v>
      </x:c>
      <x:c r="P486" s="121" t="n">
        <x:v>0</x:v>
      </x:c>
      <x:c r="Q486" s="121" t="n">
        <x:v>0</x:v>
      </x:c>
    </x:row>
    <x:row r="487">
      <x:c r="A487" t="n">
        <x:v>100000</x:v>
      </x:c>
      <x:c r="B487" t="n">
        <x:v>20000</x:v>
      </x:c>
      <x:c r="C487" t="n">
        <x:v>20260707</x:v>
      </x:c>
      <x:c r="D487" t="str">
        <x:v>R1</x:v>
      </x:c>
      <x:c r="E487" t="str">
        <x:v>0–30</x:v>
      </x:c>
      <x:c r="F487" s="121" t="n">
        <x:v>0.625</x:v>
      </x:c>
      <x:c r="G487" s="121" t="n">
        <x:v>12</x:v>
      </x:c>
      <x:c r="H487" s="121" t="n">
        <x:v>0.125</x:v>
      </x:c>
      <x:c r="I487" s="121" t="n">
        <x:v>100</x:v>
      </x:c>
      <x:c r="J487" s="121" t="n">
        <x:v>74.94</x:v>
      </x:c>
      <x:c r="K487" s="121" t="n">
        <x:v>74.94</x:v>
      </x:c>
      <x:c r="L487" s="121" t="n">
        <x:v>9.31</x:v>
      </x:c>
      <x:c r="M487" s="121" t="n">
        <x:v>0</x:v>
      </x:c>
      <x:c r="N487" s="121" t="n">
        <x:v>0</x:v>
      </x:c>
      <x:c r="O487" s="121" t="n">
        <x:v>0</x:v>
      </x:c>
      <x:c r="P487" s="121" t="n">
        <x:v>0</x:v>
      </x:c>
      <x:c r="Q487" s="121" t="n">
        <x:v>0</x:v>
      </x:c>
    </x:row>
    <x:row r="488">
      <x:c r="A488" t="n">
        <x:v>100000</x:v>
      </x:c>
      <x:c r="B488" t="n">
        <x:v>20000</x:v>
      </x:c>
      <x:c r="C488" t="n">
        <x:v>20260707</x:v>
      </x:c>
      <x:c r="D488" t="str">
        <x:v>R1</x:v>
      </x:c>
      <x:c r="E488" t="str">
        <x:v>0–30</x:v>
      </x:c>
      <x:c r="F488" s="121" t="n">
        <x:v>0.625</x:v>
      </x:c>
      <x:c r="G488" s="121" t="n">
        <x:v>12</x:v>
      </x:c>
      <x:c r="H488" s="121" t="n">
        <x:v>0.25</x:v>
      </x:c>
      <x:c r="I488" s="121" t="n">
        <x:v>100</x:v>
      </x:c>
      <x:c r="J488" s="121" t="n">
        <x:v>74.94</x:v>
      </x:c>
      <x:c r="K488" s="121" t="n">
        <x:v>74.94</x:v>
      </x:c>
      <x:c r="L488" s="121" t="n">
        <x:v>9.31</x:v>
      </x:c>
      <x:c r="M488" s="121" t="n">
        <x:v>0</x:v>
      </x:c>
      <x:c r="N488" s="121" t="n">
        <x:v>0</x:v>
      </x:c>
      <x:c r="O488" s="121" t="n">
        <x:v>0</x:v>
      </x:c>
      <x:c r="P488" s="121" t="n">
        <x:v>0</x:v>
      </x:c>
      <x:c r="Q488" s="121" t="n">
        <x:v>0</x:v>
      </x:c>
    </x:row>
    <x:row r="489">
      <x:c r="A489" t="n">
        <x:v>100000</x:v>
      </x:c>
      <x:c r="B489" t="n">
        <x:v>20000</x:v>
      </x:c>
      <x:c r="C489" t="n">
        <x:v>20260707</x:v>
      </x:c>
      <x:c r="D489" t="str">
        <x:v>R1</x:v>
      </x:c>
      <x:c r="E489" t="str">
        <x:v>0–30</x:v>
      </x:c>
      <x:c r="F489" s="121" t="n">
        <x:v>0.625</x:v>
      </x:c>
      <x:c r="G489" s="121" t="n">
        <x:v>12</x:v>
      </x:c>
      <x:c r="H489" s="121" t="n">
        <x:v>0.5</x:v>
      </x:c>
      <x:c r="I489" s="121" t="n">
        <x:v>99.94</x:v>
      </x:c>
      <x:c r="J489" s="121" t="n">
        <x:v>74.94</x:v>
      </x:c>
      <x:c r="K489" s="121" t="n">
        <x:v>74.94</x:v>
      </x:c>
      <x:c r="L489" s="121" t="n">
        <x:v>9.31</x:v>
      </x:c>
      <x:c r="M489" s="121" t="n">
        <x:v>0</x:v>
      </x:c>
      <x:c r="N489" s="121" t="n">
        <x:v>0</x:v>
      </x:c>
      <x:c r="O489" s="121" t="n">
        <x:v>0</x:v>
      </x:c>
      <x:c r="P489" s="121" t="n">
        <x:v>0</x:v>
      </x:c>
      <x:c r="Q489" s="121" t="n">
        <x:v>0</x:v>
      </x:c>
    </x:row>
    <x:row r="490">
      <x:c r="A490" t="n">
        <x:v>100000</x:v>
      </x:c>
      <x:c r="B490" t="n">
        <x:v>20000</x:v>
      </x:c>
      <x:c r="C490" t="n">
        <x:v>20260707</x:v>
      </x:c>
      <x:c r="D490" t="str">
        <x:v>R1</x:v>
      </x:c>
      <x:c r="E490" t="str">
        <x:v>0–30</x:v>
      </x:c>
      <x:c r="F490" s="121" t="n">
        <x:v>0.625</x:v>
      </x:c>
      <x:c r="G490" s="121" t="n">
        <x:v>12</x:v>
      </x:c>
      <x:c r="H490" s="121" t="n">
        <x:v>1</x:v>
      </x:c>
      <x:c r="I490" s="121" t="n">
        <x:v>99.14</x:v>
      </x:c>
      <x:c r="J490" s="121" t="n">
        <x:v>74.94</x:v>
      </x:c>
      <x:c r="K490" s="121" t="n">
        <x:v>74.94</x:v>
      </x:c>
      <x:c r="L490" s="121" t="n">
        <x:v>9.31</x:v>
      </x:c>
      <x:c r="M490" s="121" t="n">
        <x:v>0</x:v>
      </x:c>
      <x:c r="N490" s="121" t="n">
        <x:v>0</x:v>
      </x:c>
      <x:c r="O490" s="121" t="n">
        <x:v>0</x:v>
      </x:c>
      <x:c r="P490" s="121" t="n">
        <x:v>0</x:v>
      </x:c>
      <x:c r="Q490" s="121" t="n">
        <x:v>0</x:v>
      </x:c>
    </x:row>
    <x:row r="491">
      <x:c r="A491" t="n">
        <x:v>100000</x:v>
      </x:c>
      <x:c r="B491" t="n">
        <x:v>20000</x:v>
      </x:c>
      <x:c r="C491" t="n">
        <x:v>20260707</x:v>
      </x:c>
      <x:c r="D491" t="str">
        <x:v>R1</x:v>
      </x:c>
      <x:c r="E491" t="str">
        <x:v>0–30</x:v>
      </x:c>
      <x:c r="F491" s="121" t="n">
        <x:v>0.625</x:v>
      </x:c>
      <x:c r="G491" s="121" t="n">
        <x:v>12</x:v>
      </x:c>
      <x:c r="H491" s="121" t="n">
        <x:v>2</x:v>
      </x:c>
      <x:c r="I491" s="121" t="n">
        <x:v>92.09</x:v>
      </x:c>
      <x:c r="J491" s="121" t="n">
        <x:v>74.94</x:v>
      </x:c>
      <x:c r="K491" s="121" t="n">
        <x:v>74.925</x:v>
      </x:c>
      <x:c r="L491" s="121" t="n">
        <x:v>9.31</x:v>
      </x:c>
      <x:c r="M491" s="121" t="n">
        <x:v>0</x:v>
      </x:c>
      <x:c r="N491" s="121" t="n">
        <x:v>0</x:v>
      </x:c>
      <x:c r="O491" s="121" t="n">
        <x:v>0</x:v>
      </x:c>
      <x:c r="P491" s="121" t="n">
        <x:v>0</x:v>
      </x:c>
      <x:c r="Q491" s="121" t="n">
        <x:v>0</x:v>
      </x:c>
    </x:row>
    <x:row r="492">
      <x:c r="A492" t="n">
        <x:v>100000</x:v>
      </x:c>
      <x:c r="B492" t="n">
        <x:v>20000</x:v>
      </x:c>
      <x:c r="C492" t="n">
        <x:v>20260707</x:v>
      </x:c>
      <x:c r="D492" t="str">
        <x:v>R1</x:v>
      </x:c>
      <x:c r="E492" t="str">
        <x:v>0–30</x:v>
      </x:c>
      <x:c r="F492" s="121" t="n">
        <x:v>0.625</x:v>
      </x:c>
      <x:c r="G492" s="121" t="n">
        <x:v>12</x:v>
      </x:c>
      <x:c r="H492" s="121" t="n">
        <x:v>4</x:v>
      </x:c>
      <x:c r="I492" s="121" t="n">
        <x:v>68.7</x:v>
      </x:c>
      <x:c r="J492" s="121" t="n">
        <x:v>74.94</x:v>
      </x:c>
      <x:c r="K492" s="121" t="n">
        <x:v>67.16</x:v>
      </x:c>
      <x:c r="L492" s="121" t="n">
        <x:v>9.31</x:v>
      </x:c>
      <x:c r="M492" s="121" t="n">
        <x:v>0</x:v>
      </x:c>
      <x:c r="N492" s="121" t="n">
        <x:v>0</x:v>
      </x:c>
      <x:c r="O492" s="121" t="n">
        <x:v>0</x:v>
      </x:c>
      <x:c r="P492" s="121" t="n">
        <x:v>0</x:v>
      </x:c>
      <x:c r="Q492" s="121" t="n">
        <x:v>0</x:v>
      </x:c>
    </x:row>
    <x:row r="493">
      <x:c r="A493" t="n">
        <x:v>100000</x:v>
      </x:c>
      <x:c r="B493" t="n">
        <x:v>20000</x:v>
      </x:c>
      <x:c r="C493" t="n">
        <x:v>20260707</x:v>
      </x:c>
      <x:c r="D493" t="str">
        <x:v>R1</x:v>
      </x:c>
      <x:c r="E493" t="str">
        <x:v>0–30</x:v>
      </x:c>
      <x:c r="F493" s="121" t="n">
        <x:v>0.625</x:v>
      </x:c>
      <x:c r="G493" s="121" t="n">
        <x:v>12</x:v>
      </x:c>
      <x:c r="H493" s="121" t="n">
        <x:v>8</x:v>
      </x:c>
      <x:c r="I493" s="121" t="n">
        <x:v>35.985</x:v>
      </x:c>
      <x:c r="J493" s="121" t="n">
        <x:v>74.94</x:v>
      </x:c>
      <x:c r="K493" s="121" t="n">
        <x:v>35.985</x:v>
      </x:c>
      <x:c r="L493" s="121" t="n">
        <x:v>9.31</x:v>
      </x:c>
      <x:c r="M493" s="121" t="n">
        <x:v>0</x:v>
      </x:c>
      <x:c r="N493" s="121" t="n">
        <x:v>0</x:v>
      </x:c>
      <x:c r="O493" s="121" t="n">
        <x:v>0</x:v>
      </x:c>
      <x:c r="P493" s="121" t="n">
        <x:v>0</x:v>
      </x:c>
      <x:c r="Q493" s="121" t="n">
        <x:v>0</x:v>
      </x:c>
    </x:row>
    <x:row r="494">
      <x:c r="A494" t="n">
        <x:v>100000</x:v>
      </x:c>
      <x:c r="B494" t="n">
        <x:v>20000</x:v>
      </x:c>
      <x:c r="C494" t="n">
        <x:v>20260707</x:v>
      </x:c>
      <x:c r="D494" t="str">
        <x:v>R1</x:v>
      </x:c>
      <x:c r="E494" t="str">
        <x:v>0–30</x:v>
      </x:c>
      <x:c r="F494" s="121" t="n">
        <x:v>0.625</x:v>
      </x:c>
      <x:c r="G494" s="121" t="n">
        <x:v>12</x:v>
      </x:c>
      <x:c r="H494" s="121" t="n">
        <x:v>16</x:v>
      </x:c>
      <x:c r="I494" s="121" t="n">
        <x:v>14.64</x:v>
      </x:c>
      <x:c r="J494" s="121" t="n">
        <x:v>74.94</x:v>
      </x:c>
      <x:c r="K494" s="121" t="n">
        <x:v>14.64</x:v>
      </x:c>
      <x:c r="L494" s="121" t="n">
        <x:v>9.31</x:v>
      </x:c>
      <x:c r="M494" s="121" t="n">
        <x:v>0</x:v>
      </x:c>
      <x:c r="N494" s="121" t="n">
        <x:v>0</x:v>
      </x:c>
      <x:c r="O494" s="121" t="n">
        <x:v>0</x:v>
      </x:c>
      <x:c r="P494" s="121" t="n">
        <x:v>0</x:v>
      </x:c>
      <x:c r="Q494" s="121" t="n">
        <x:v>0</x:v>
      </x:c>
    </x:row>
    <x:row r="495">
      <x:c r="A495" t="n">
        <x:v>100000</x:v>
      </x:c>
      <x:c r="B495" t="n">
        <x:v>20000</x:v>
      </x:c>
      <x:c r="C495" t="n">
        <x:v>20260707</x:v>
      </x:c>
      <x:c r="D495" t="str">
        <x:v>R1</x:v>
      </x:c>
      <x:c r="E495" t="str">
        <x:v>0–30</x:v>
      </x:c>
      <x:c r="F495" s="121" t="n">
        <x:v>0.625</x:v>
      </x:c>
      <x:c r="G495" s="121" t="n">
        <x:v>12</x:v>
      </x:c>
      <x:c r="H495" s="121" t="n">
        <x:v>32</x:v>
      </x:c>
      <x:c r="I495" s="121" t="n">
        <x:v>5.3</x:v>
      </x:c>
      <x:c r="J495" s="121" t="n">
        <x:v>74.94</x:v>
      </x:c>
      <x:c r="K495" s="121" t="n">
        <x:v>5.3</x:v>
      </x:c>
      <x:c r="L495" s="121" t="n">
        <x:v>9.31</x:v>
      </x:c>
      <x:c r="M495" s="121" t="n">
        <x:v>0</x:v>
      </x:c>
      <x:c r="N495" s="121" t="n">
        <x:v>0</x:v>
      </x:c>
      <x:c r="O495" s="121" t="n">
        <x:v>0</x:v>
      </x:c>
      <x:c r="P495" s="121" t="n">
        <x:v>0</x:v>
      </x:c>
      <x:c r="Q495" s="121" t="n">
        <x:v>0</x:v>
      </x:c>
    </x:row>
    <x:row r="496">
      <x:c r="A496" t="n">
        <x:v>100000</x:v>
      </x:c>
      <x:c r="B496" t="n">
        <x:v>20000</x:v>
      </x:c>
      <x:c r="C496" t="n">
        <x:v>20260707</x:v>
      </x:c>
      <x:c r="D496" t="str">
        <x:v>R1</x:v>
      </x:c>
      <x:c r="E496" t="str">
        <x:v>0–30</x:v>
      </x:c>
      <x:c r="F496" s="121" t="n">
        <x:v>0.625</x:v>
      </x:c>
      <x:c r="G496" s="121" t="n">
        <x:v>12</x:v>
      </x:c>
      <x:c r="H496" s="121" t="n">
        <x:v>64</x:v>
      </x:c>
      <x:c r="I496" s="121" t="n">
        <x:v>2.035</x:v>
      </x:c>
      <x:c r="J496" s="121" t="n">
        <x:v>74.94</x:v>
      </x:c>
      <x:c r="K496" s="121" t="n">
        <x:v>2.035</x:v>
      </x:c>
      <x:c r="L496" s="121" t="n">
        <x:v>9.31</x:v>
      </x:c>
      <x:c r="M496" s="121" t="n">
        <x:v>0</x:v>
      </x:c>
      <x:c r="N496" s="121" t="n">
        <x:v>0</x:v>
      </x:c>
      <x:c r="O496" s="121" t="n">
        <x:v>0</x:v>
      </x:c>
      <x:c r="P496" s="121" t="n">
        <x:v>0</x:v>
      </x:c>
      <x:c r="Q496" s="121" t="n">
        <x:v>0</x:v>
      </x:c>
    </x:row>
    <x:row r="497">
      <x:c r="A497" t="n">
        <x:v>100000</x:v>
      </x:c>
      <x:c r="B497" t="n">
        <x:v>20000</x:v>
      </x:c>
      <x:c r="C497" t="n">
        <x:v>20260707</x:v>
      </x:c>
      <x:c r="D497" t="str">
        <x:v>R2</x:v>
      </x:c>
      <x:c r="E497" t="str">
        <x:v>0–30</x:v>
      </x:c>
      <x:c r="F497" s="121" t="n">
        <x:v>0.625</x:v>
      </x:c>
      <x:c r="G497" s="121" t="n">
        <x:v>8</x:v>
      </x:c>
      <x:c r="H497" s="121" t="n">
        <x:v>0.0625</x:v>
      </x:c>
      <x:c r="I497" s="121" t="n">
        <x:v>100</x:v>
      </x:c>
      <x:c r="J497" s="121" t="n">
        <x:v>87.42999999999999</x:v>
      </x:c>
      <x:c r="K497" s="121" t="n">
        <x:v>87.42999999999999</x:v>
      </x:c>
      <x:c r="L497" s="121" t="n">
        <x:v>16.220000000000002</x:v>
      </x:c>
      <x:c r="M497" s="121" t="n">
        <x:v>0</x:v>
      </x:c>
      <x:c r="N497" s="121" t="n">
        <x:v>0</x:v>
      </x:c>
      <x:c r="O497" s="121" t="n">
        <x:v>0</x:v>
      </x:c>
      <x:c r="P497" s="121" t="n">
        <x:v>0</x:v>
      </x:c>
      <x:c r="Q497" s="121" t="n">
        <x:v>0</x:v>
      </x:c>
    </x:row>
    <x:row r="498">
      <x:c r="A498" t="n">
        <x:v>100000</x:v>
      </x:c>
      <x:c r="B498" t="n">
        <x:v>20000</x:v>
      </x:c>
      <x:c r="C498" t="n">
        <x:v>20260707</x:v>
      </x:c>
      <x:c r="D498" t="str">
        <x:v>R2</x:v>
      </x:c>
      <x:c r="E498" t="str">
        <x:v>0–30</x:v>
      </x:c>
      <x:c r="F498" s="121" t="n">
        <x:v>0.625</x:v>
      </x:c>
      <x:c r="G498" s="121" t="n">
        <x:v>8</x:v>
      </x:c>
      <x:c r="H498" s="121" t="n">
        <x:v>0.125</x:v>
      </x:c>
      <x:c r="I498" s="121" t="n">
        <x:v>100</x:v>
      </x:c>
      <x:c r="J498" s="121" t="n">
        <x:v>87.42999999999999</x:v>
      </x:c>
      <x:c r="K498" s="121" t="n">
        <x:v>87.42999999999999</x:v>
      </x:c>
      <x:c r="L498" s="121" t="n">
        <x:v>16.220000000000002</x:v>
      </x:c>
      <x:c r="M498" s="121" t="n">
        <x:v>0</x:v>
      </x:c>
      <x:c r="N498" s="121" t="n">
        <x:v>0</x:v>
      </x:c>
      <x:c r="O498" s="121" t="n">
        <x:v>0</x:v>
      </x:c>
      <x:c r="P498" s="121" t="n">
        <x:v>0</x:v>
      </x:c>
      <x:c r="Q498" s="121" t="n">
        <x:v>0</x:v>
      </x:c>
    </x:row>
    <x:row r="499">
      <x:c r="A499" t="n">
        <x:v>100000</x:v>
      </x:c>
      <x:c r="B499" t="n">
        <x:v>20000</x:v>
      </x:c>
      <x:c r="C499" t="n">
        <x:v>20260707</x:v>
      </x:c>
      <x:c r="D499" t="str">
        <x:v>R2</x:v>
      </x:c>
      <x:c r="E499" t="str">
        <x:v>0–30</x:v>
      </x:c>
      <x:c r="F499" s="121" t="n">
        <x:v>0.625</x:v>
      </x:c>
      <x:c r="G499" s="121" t="n">
        <x:v>8</x:v>
      </x:c>
      <x:c r="H499" s="121" t="n">
        <x:v>0.25</x:v>
      </x:c>
      <x:c r="I499" s="121" t="n">
        <x:v>100</x:v>
      </x:c>
      <x:c r="J499" s="121" t="n">
        <x:v>87.42999999999999</x:v>
      </x:c>
      <x:c r="K499" s="121" t="n">
        <x:v>87.42999999999999</x:v>
      </x:c>
      <x:c r="L499" s="121" t="n">
        <x:v>16.220000000000002</x:v>
      </x:c>
      <x:c r="M499" s="121" t="n">
        <x:v>0</x:v>
      </x:c>
      <x:c r="N499" s="121" t="n">
        <x:v>0</x:v>
      </x:c>
      <x:c r="O499" s="121" t="n">
        <x:v>0</x:v>
      </x:c>
      <x:c r="P499" s="121" t="n">
        <x:v>0</x:v>
      </x:c>
      <x:c r="Q499" s="121" t="n">
        <x:v>0</x:v>
      </x:c>
    </x:row>
    <x:row r="500">
      <x:c r="A500" t="n">
        <x:v>100000</x:v>
      </x:c>
      <x:c r="B500" t="n">
        <x:v>20000</x:v>
      </x:c>
      <x:c r="C500" t="n">
        <x:v>20260707</x:v>
      </x:c>
      <x:c r="D500" t="str">
        <x:v>R2</x:v>
      </x:c>
      <x:c r="E500" t="str">
        <x:v>0–30</x:v>
      </x:c>
      <x:c r="F500" s="121" t="n">
        <x:v>0.625</x:v>
      </x:c>
      <x:c r="G500" s="121" t="n">
        <x:v>8</x:v>
      </x:c>
      <x:c r="H500" s="121" t="n">
        <x:v>0.5</x:v>
      </x:c>
      <x:c r="I500" s="121" t="n">
        <x:v>100</x:v>
      </x:c>
      <x:c r="J500" s="121" t="n">
        <x:v>87.42999999999999</x:v>
      </x:c>
      <x:c r="K500" s="121" t="n">
        <x:v>87.42999999999999</x:v>
      </x:c>
      <x:c r="L500" s="121" t="n">
        <x:v>16.220000000000002</x:v>
      </x:c>
      <x:c r="M500" s="121" t="n">
        <x:v>0</x:v>
      </x:c>
      <x:c r="N500" s="121" t="n">
        <x:v>0</x:v>
      </x:c>
      <x:c r="O500" s="121" t="n">
        <x:v>0</x:v>
      </x:c>
      <x:c r="P500" s="121" t="n">
        <x:v>0</x:v>
      </x:c>
      <x:c r="Q500" s="121" t="n">
        <x:v>0</x:v>
      </x:c>
    </x:row>
    <x:row r="501">
      <x:c r="A501" t="n">
        <x:v>100000</x:v>
      </x:c>
      <x:c r="B501" t="n">
        <x:v>20000</x:v>
      </x:c>
      <x:c r="C501" t="n">
        <x:v>20260707</x:v>
      </x:c>
      <x:c r="D501" t="str">
        <x:v>R2</x:v>
      </x:c>
      <x:c r="E501" t="str">
        <x:v>0–30</x:v>
      </x:c>
      <x:c r="F501" s="121" t="n">
        <x:v>0.625</x:v>
      </x:c>
      <x:c r="G501" s="121" t="n">
        <x:v>8</x:v>
      </x:c>
      <x:c r="H501" s="121" t="n">
        <x:v>1</x:v>
      </x:c>
      <x:c r="I501" s="121" t="n">
        <x:v>99.88</x:v>
      </x:c>
      <x:c r="J501" s="121" t="n">
        <x:v>87.42999999999999</x:v>
      </x:c>
      <x:c r="K501" s="121" t="n">
        <x:v>87.42999999999999</x:v>
      </x:c>
      <x:c r="L501" s="121" t="n">
        <x:v>16.220000000000002</x:v>
      </x:c>
      <x:c r="M501" s="121" t="n">
        <x:v>0</x:v>
      </x:c>
      <x:c r="N501" s="121" t="n">
        <x:v>0</x:v>
      </x:c>
      <x:c r="O501" s="121" t="n">
        <x:v>0</x:v>
      </x:c>
      <x:c r="P501" s="121" t="n">
        <x:v>0</x:v>
      </x:c>
      <x:c r="Q501" s="121" t="n">
        <x:v>0</x:v>
      </x:c>
    </x:row>
    <x:row r="502">
      <x:c r="A502" t="n">
        <x:v>100000</x:v>
      </x:c>
      <x:c r="B502" t="n">
        <x:v>20000</x:v>
      </x:c>
      <x:c r="C502" t="n">
        <x:v>20260707</x:v>
      </x:c>
      <x:c r="D502" t="str">
        <x:v>R2</x:v>
      </x:c>
      <x:c r="E502" t="str">
        <x:v>0–30</x:v>
      </x:c>
      <x:c r="F502" s="121" t="n">
        <x:v>0.625</x:v>
      </x:c>
      <x:c r="G502" s="121" t="n">
        <x:v>8</x:v>
      </x:c>
      <x:c r="H502" s="121" t="n">
        <x:v>2</x:v>
      </x:c>
      <x:c r="I502" s="121" t="n">
        <x:v>97.635</x:v>
      </x:c>
      <x:c r="J502" s="121" t="n">
        <x:v>87.42999999999999</x:v>
      </x:c>
      <x:c r="K502" s="121" t="n">
        <x:v>87.42999999999999</x:v>
      </x:c>
      <x:c r="L502" s="121" t="n">
        <x:v>16.220000000000002</x:v>
      </x:c>
      <x:c r="M502" s="121" t="n">
        <x:v>0</x:v>
      </x:c>
      <x:c r="N502" s="121" t="n">
        <x:v>0</x:v>
      </x:c>
      <x:c r="O502" s="121" t="n">
        <x:v>0</x:v>
      </x:c>
      <x:c r="P502" s="121" t="n">
        <x:v>0</x:v>
      </x:c>
      <x:c r="Q502" s="121" t="n">
        <x:v>0</x:v>
      </x:c>
    </x:row>
    <x:row r="503">
      <x:c r="A503" t="n">
        <x:v>100000</x:v>
      </x:c>
      <x:c r="B503" t="n">
        <x:v>20000</x:v>
      </x:c>
      <x:c r="C503" t="n">
        <x:v>20260707</x:v>
      </x:c>
      <x:c r="D503" t="str">
        <x:v>R2</x:v>
      </x:c>
      <x:c r="E503" t="str">
        <x:v>0–30</x:v>
      </x:c>
      <x:c r="F503" s="121" t="n">
        <x:v>0.625</x:v>
      </x:c>
      <x:c r="G503" s="121" t="n">
        <x:v>8</x:v>
      </x:c>
      <x:c r="H503" s="121" t="n">
        <x:v>4</x:v>
      </x:c>
      <x:c r="I503" s="121" t="n">
        <x:v>84.58</x:v>
      </x:c>
      <x:c r="J503" s="121" t="n">
        <x:v>87.42999999999999</x:v>
      </x:c>
      <x:c r="K503" s="121" t="n">
        <x:v>83.145</x:v>
      </x:c>
      <x:c r="L503" s="121" t="n">
        <x:v>16.220000000000002</x:v>
      </x:c>
      <x:c r="M503" s="121" t="n">
        <x:v>0</x:v>
      </x:c>
      <x:c r="N503" s="121" t="n">
        <x:v>0</x:v>
      </x:c>
      <x:c r="O503" s="121" t="n">
        <x:v>0</x:v>
      </x:c>
      <x:c r="P503" s="121" t="n">
        <x:v>0</x:v>
      </x:c>
      <x:c r="Q503" s="121" t="n">
        <x:v>0</x:v>
      </x:c>
    </x:row>
    <x:row r="504">
      <x:c r="A504" t="n">
        <x:v>100000</x:v>
      </x:c>
      <x:c r="B504" t="n">
        <x:v>20000</x:v>
      </x:c>
      <x:c r="C504" t="n">
        <x:v>20260707</x:v>
      </x:c>
      <x:c r="D504" t="str">
        <x:v>R2</x:v>
      </x:c>
      <x:c r="E504" t="str">
        <x:v>0–30</x:v>
      </x:c>
      <x:c r="F504" s="121" t="n">
        <x:v>0.625</x:v>
      </x:c>
      <x:c r="G504" s="121" t="n">
        <x:v>8</x:v>
      </x:c>
      <x:c r="H504" s="121" t="n">
        <x:v>8</x:v>
      </x:c>
      <x:c r="I504" s="121" t="n">
        <x:v>54.705000000000005</x:v>
      </x:c>
      <x:c r="J504" s="121" t="n">
        <x:v>87.42999999999999</x:v>
      </x:c>
      <x:c r="K504" s="121" t="n">
        <x:v>54.705000000000005</x:v>
      </x:c>
      <x:c r="L504" s="121" t="n">
        <x:v>16.220000000000002</x:v>
      </x:c>
      <x:c r="M504" s="121" t="n">
        <x:v>0</x:v>
      </x:c>
      <x:c r="N504" s="121" t="n">
        <x:v>0</x:v>
      </x:c>
      <x:c r="O504" s="121" t="n">
        <x:v>0</x:v>
      </x:c>
      <x:c r="P504" s="121" t="n">
        <x:v>0</x:v>
      </x:c>
      <x:c r="Q504" s="121" t="n">
        <x:v>0</x:v>
      </x:c>
    </x:row>
    <x:row r="505">
      <x:c r="A505" t="n">
        <x:v>100000</x:v>
      </x:c>
      <x:c r="B505" t="n">
        <x:v>20000</x:v>
      </x:c>
      <x:c r="C505" t="n">
        <x:v>20260707</x:v>
      </x:c>
      <x:c r="D505" t="str">
        <x:v>R2</x:v>
      </x:c>
      <x:c r="E505" t="str">
        <x:v>0–30</x:v>
      </x:c>
      <x:c r="F505" s="121" t="n">
        <x:v>0.625</x:v>
      </x:c>
      <x:c r="G505" s="121" t="n">
        <x:v>8</x:v>
      </x:c>
      <x:c r="H505" s="121" t="n">
        <x:v>16</x:v>
      </x:c>
      <x:c r="I505" s="121" t="n">
        <x:v>24.990000000000002</x:v>
      </x:c>
      <x:c r="J505" s="121" t="n">
        <x:v>87.42999999999999</x:v>
      </x:c>
      <x:c r="K505" s="121" t="n">
        <x:v>24.990000000000002</x:v>
      </x:c>
      <x:c r="L505" s="121" t="n">
        <x:v>16.220000000000002</x:v>
      </x:c>
      <x:c r="M505" s="121" t="n">
        <x:v>0</x:v>
      </x:c>
      <x:c r="N505" s="121" t="n">
        <x:v>0</x:v>
      </x:c>
      <x:c r="O505" s="121" t="n">
        <x:v>0</x:v>
      </x:c>
      <x:c r="P505" s="121" t="n">
        <x:v>0</x:v>
      </x:c>
      <x:c r="Q505" s="121" t="n">
        <x:v>0</x:v>
      </x:c>
    </x:row>
    <x:row r="506">
      <x:c r="A506" t="n">
        <x:v>100000</x:v>
      </x:c>
      <x:c r="B506" t="n">
        <x:v>20000</x:v>
      </x:c>
      <x:c r="C506" t="n">
        <x:v>20260707</x:v>
      </x:c>
      <x:c r="D506" t="str">
        <x:v>R2</x:v>
      </x:c>
      <x:c r="E506" t="str">
        <x:v>0–30</x:v>
      </x:c>
      <x:c r="F506" s="121" t="n">
        <x:v>0.625</x:v>
      </x:c>
      <x:c r="G506" s="121" t="n">
        <x:v>8</x:v>
      </x:c>
      <x:c r="H506" s="121" t="n">
        <x:v>32</x:v>
      </x:c>
      <x:c r="I506" s="121" t="n">
        <x:v>9.825000000000001</x:v>
      </x:c>
      <x:c r="J506" s="121" t="n">
        <x:v>87.42999999999999</x:v>
      </x:c>
      <x:c r="K506" s="121" t="n">
        <x:v>9.825000000000001</x:v>
      </x:c>
      <x:c r="L506" s="121" t="n">
        <x:v>16.220000000000002</x:v>
      </x:c>
      <x:c r="M506" s="121" t="n">
        <x:v>0</x:v>
      </x:c>
      <x:c r="N506" s="121" t="n">
        <x:v>0</x:v>
      </x:c>
      <x:c r="O506" s="121" t="n">
        <x:v>0</x:v>
      </x:c>
      <x:c r="P506" s="121" t="n">
        <x:v>0</x:v>
      </x:c>
      <x:c r="Q506" s="121" t="n">
        <x:v>0</x:v>
      </x:c>
    </x:row>
    <x:row r="507">
      <x:c r="A507" t="n">
        <x:v>100000</x:v>
      </x:c>
      <x:c r="B507" t="n">
        <x:v>20000</x:v>
      </x:c>
      <x:c r="C507" t="n">
        <x:v>20260707</x:v>
      </x:c>
      <x:c r="D507" t="str">
        <x:v>R2</x:v>
      </x:c>
      <x:c r="E507" t="str">
        <x:v>0–30</x:v>
      </x:c>
      <x:c r="F507" s="121" t="n">
        <x:v>0.625</x:v>
      </x:c>
      <x:c r="G507" s="121" t="n">
        <x:v>8</x:v>
      </x:c>
      <x:c r="H507" s="121" t="n">
        <x:v>64</x:v>
      </x:c>
      <x:c r="I507" s="121" t="n">
        <x:v>3.63</x:v>
      </x:c>
      <x:c r="J507" s="121" t="n">
        <x:v>87.42999999999999</x:v>
      </x:c>
      <x:c r="K507" s="121" t="n">
        <x:v>3.63</x:v>
      </x:c>
      <x:c r="L507" s="121" t="n">
        <x:v>16.220000000000002</x:v>
      </x:c>
      <x:c r="M507" s="121" t="n">
        <x:v>0</x:v>
      </x:c>
      <x:c r="N507" s="121" t="n">
        <x:v>0</x:v>
      </x:c>
      <x:c r="O507" s="121" t="n">
        <x:v>0</x:v>
      </x:c>
      <x:c r="P507" s="121" t="n">
        <x:v>0</x:v>
      </x:c>
      <x:c r="Q507" s="121" t="n">
        <x:v>0</x:v>
      </x:c>
    </x:row>
    <x:row r="508">
      <x:c r="A508" t="n">
        <x:v>100000</x:v>
      </x:c>
      <x:c r="B508" t="n">
        <x:v>20000</x:v>
      </x:c>
      <x:c r="C508" t="n">
        <x:v>20260707</x:v>
      </x:c>
      <x:c r="D508" t="str">
        <x:v>R5</x:v>
      </x:c>
      <x:c r="E508" t="str">
        <x:v>31–60</x:v>
      </x:c>
      <x:c r="F508" s="121" t="n">
        <x:v>0.625</x:v>
      </x:c>
      <x:c r="G508" s="121" t="n">
        <x:v>8</x:v>
      </x:c>
      <x:c r="H508" s="121" t="n">
        <x:v>0.0625</x:v>
      </x:c>
      <x:c r="I508" s="121" t="n">
        <x:v>100</x:v>
      </x:c>
      <x:c r="J508" s="121" t="n">
        <x:v>44.964999999999996</x:v>
      </x:c>
      <x:c r="K508" s="121" t="n">
        <x:v>44.964999999999996</x:v>
      </x:c>
      <x:c r="L508" s="121" t="n">
        <x:v>0.245</x:v>
      </x:c>
      <x:c r="M508" s="121" t="n">
        <x:v>0</x:v>
      </x:c>
      <x:c r="N508" s="121" t="n">
        <x:v>0</x:v>
      </x:c>
      <x:c r="O508" s="121" t="n">
        <x:v>0</x:v>
      </x:c>
      <x:c r="P508" s="121" t="n">
        <x:v>0</x:v>
      </x:c>
      <x:c r="Q508" s="121" t="n">
        <x:v>0</x:v>
      </x:c>
    </x:row>
    <x:row r="509">
      <x:c r="A509" t="n">
        <x:v>100000</x:v>
      </x:c>
      <x:c r="B509" t="n">
        <x:v>20000</x:v>
      </x:c>
      <x:c r="C509" t="n">
        <x:v>20260707</x:v>
      </x:c>
      <x:c r="D509" t="str">
        <x:v>R5</x:v>
      </x:c>
      <x:c r="E509" t="str">
        <x:v>31–60</x:v>
      </x:c>
      <x:c r="F509" s="121" t="n">
        <x:v>0.625</x:v>
      </x:c>
      <x:c r="G509" s="121" t="n">
        <x:v>8</x:v>
      </x:c>
      <x:c r="H509" s="121" t="n">
        <x:v>0.125</x:v>
      </x:c>
      <x:c r="I509" s="121" t="n">
        <x:v>100</x:v>
      </x:c>
      <x:c r="J509" s="121" t="n">
        <x:v>44.964999999999996</x:v>
      </x:c>
      <x:c r="K509" s="121" t="n">
        <x:v>44.964999999999996</x:v>
      </x:c>
      <x:c r="L509" s="121" t="n">
        <x:v>0.245</x:v>
      </x:c>
      <x:c r="M509" s="121" t="n">
        <x:v>0</x:v>
      </x:c>
      <x:c r="N509" s="121" t="n">
        <x:v>0</x:v>
      </x:c>
      <x:c r="O509" s="121" t="n">
        <x:v>0</x:v>
      </x:c>
      <x:c r="P509" s="121" t="n">
        <x:v>0</x:v>
      </x:c>
      <x:c r="Q509" s="121" t="n">
        <x:v>0</x:v>
      </x:c>
    </x:row>
    <x:row r="510">
      <x:c r="A510" t="n">
        <x:v>100000</x:v>
      </x:c>
      <x:c r="B510" t="n">
        <x:v>20000</x:v>
      </x:c>
      <x:c r="C510" t="n">
        <x:v>20260707</x:v>
      </x:c>
      <x:c r="D510" t="str">
        <x:v>R5</x:v>
      </x:c>
      <x:c r="E510" t="str">
        <x:v>31–60</x:v>
      </x:c>
      <x:c r="F510" s="121" t="n">
        <x:v>0.625</x:v>
      </x:c>
      <x:c r="G510" s="121" t="n">
        <x:v>8</x:v>
      </x:c>
      <x:c r="H510" s="121" t="n">
        <x:v>0.25</x:v>
      </x:c>
      <x:c r="I510" s="121" t="n">
        <x:v>100</x:v>
      </x:c>
      <x:c r="J510" s="121" t="n">
        <x:v>44.964999999999996</x:v>
      </x:c>
      <x:c r="K510" s="121" t="n">
        <x:v>44.964999999999996</x:v>
      </x:c>
      <x:c r="L510" s="121" t="n">
        <x:v>0.245</x:v>
      </x:c>
      <x:c r="M510" s="121" t="n">
        <x:v>0</x:v>
      </x:c>
      <x:c r="N510" s="121" t="n">
        <x:v>0</x:v>
      </x:c>
      <x:c r="O510" s="121" t="n">
        <x:v>0</x:v>
      </x:c>
      <x:c r="P510" s="121" t="n">
        <x:v>0</x:v>
      </x:c>
      <x:c r="Q510" s="121" t="n">
        <x:v>0</x:v>
      </x:c>
    </x:row>
    <x:row r="511">
      <x:c r="A511" t="n">
        <x:v>100000</x:v>
      </x:c>
      <x:c r="B511" t="n">
        <x:v>20000</x:v>
      </x:c>
      <x:c r="C511" t="n">
        <x:v>20260707</x:v>
      </x:c>
      <x:c r="D511" t="str">
        <x:v>R5</x:v>
      </x:c>
      <x:c r="E511" t="str">
        <x:v>31–60</x:v>
      </x:c>
      <x:c r="F511" s="121" t="n">
        <x:v>0.625</x:v>
      </x:c>
      <x:c r="G511" s="121" t="n">
        <x:v>8</x:v>
      </x:c>
      <x:c r="H511" s="121" t="n">
        <x:v>0.5</x:v>
      </x:c>
      <x:c r="I511" s="121" t="n">
        <x:v>99.935</x:v>
      </x:c>
      <x:c r="J511" s="121" t="n">
        <x:v>44.964999999999996</x:v>
      </x:c>
      <x:c r="K511" s="121" t="n">
        <x:v>44.964999999999996</x:v>
      </x:c>
      <x:c r="L511" s="121" t="n">
        <x:v>0.245</x:v>
      </x:c>
      <x:c r="M511" s="121" t="n">
        <x:v>0</x:v>
      </x:c>
      <x:c r="N511" s="121" t="n">
        <x:v>0</x:v>
      </x:c>
      <x:c r="O511" s="121" t="n">
        <x:v>0</x:v>
      </x:c>
      <x:c r="P511" s="121" t="n">
        <x:v>0</x:v>
      </x:c>
      <x:c r="Q511" s="121" t="n">
        <x:v>0</x:v>
      </x:c>
    </x:row>
    <x:row r="512">
      <x:c r="A512" t="n">
        <x:v>100000</x:v>
      </x:c>
      <x:c r="B512" t="n">
        <x:v>20000</x:v>
      </x:c>
      <x:c r="C512" t="n">
        <x:v>20260707</x:v>
      </x:c>
      <x:c r="D512" t="str">
        <x:v>R5</x:v>
      </x:c>
      <x:c r="E512" t="str">
        <x:v>31–60</x:v>
      </x:c>
      <x:c r="F512" s="121" t="n">
        <x:v>0.625</x:v>
      </x:c>
      <x:c r="G512" s="121" t="n">
        <x:v>8</x:v>
      </x:c>
      <x:c r="H512" s="121" t="n">
        <x:v>1</x:v>
      </x:c>
      <x:c r="I512" s="121" t="n">
        <x:v>97.875</x:v>
      </x:c>
      <x:c r="J512" s="121" t="n">
        <x:v>44.964999999999996</x:v>
      </x:c>
      <x:c r="K512" s="121" t="n">
        <x:v>44.964999999999996</x:v>
      </x:c>
      <x:c r="L512" s="121" t="n">
        <x:v>0.245</x:v>
      </x:c>
      <x:c r="M512" s="121" t="n">
        <x:v>0</x:v>
      </x:c>
      <x:c r="N512" s="121" t="n">
        <x:v>0</x:v>
      </x:c>
      <x:c r="O512" s="121" t="n">
        <x:v>0</x:v>
      </x:c>
      <x:c r="P512" s="121" t="n">
        <x:v>0</x:v>
      </x:c>
      <x:c r="Q512" s="121" t="n">
        <x:v>0</x:v>
      </x:c>
    </x:row>
    <x:row r="513">
      <x:c r="A513" t="n">
        <x:v>100000</x:v>
      </x:c>
      <x:c r="B513" t="n">
        <x:v>20000</x:v>
      </x:c>
      <x:c r="C513" t="n">
        <x:v>20260707</x:v>
      </x:c>
      <x:c r="D513" t="str">
        <x:v>R5</x:v>
      </x:c>
      <x:c r="E513" t="str">
        <x:v>31–60</x:v>
      </x:c>
      <x:c r="F513" s="121" t="n">
        <x:v>0.625</x:v>
      </x:c>
      <x:c r="G513" s="121" t="n">
        <x:v>8</x:v>
      </x:c>
      <x:c r="H513" s="121" t="n">
        <x:v>2</x:v>
      </x:c>
      <x:c r="I513" s="121" t="n">
        <x:v>82.75</x:v>
      </x:c>
      <x:c r="J513" s="121" t="n">
        <x:v>44.964999999999996</x:v>
      </x:c>
      <x:c r="K513" s="121" t="n">
        <x:v>44.964999999999996</x:v>
      </x:c>
      <x:c r="L513" s="121" t="n">
        <x:v>0.245</x:v>
      </x:c>
      <x:c r="M513" s="121" t="n">
        <x:v>0</x:v>
      </x:c>
      <x:c r="N513" s="121" t="n">
        <x:v>0</x:v>
      </x:c>
      <x:c r="O513" s="121" t="n">
        <x:v>0</x:v>
      </x:c>
      <x:c r="P513" s="121" t="n">
        <x:v>0</x:v>
      </x:c>
      <x:c r="Q513" s="121" t="n">
        <x:v>0</x:v>
      </x:c>
    </x:row>
    <x:row r="514">
      <x:c r="A514" t="n">
        <x:v>100000</x:v>
      </x:c>
      <x:c r="B514" t="n">
        <x:v>20000</x:v>
      </x:c>
      <x:c r="C514" t="n">
        <x:v>20260707</x:v>
      </x:c>
      <x:c r="D514" t="str">
        <x:v>R5</x:v>
      </x:c>
      <x:c r="E514" t="str">
        <x:v>31–60</x:v>
      </x:c>
      <x:c r="F514" s="121" t="n">
        <x:v>0.625</x:v>
      </x:c>
      <x:c r="G514" s="121" t="n">
        <x:v>8</x:v>
      </x:c>
      <x:c r="H514" s="121" t="n">
        <x:v>4</x:v>
      </x:c>
      <x:c r="I514" s="121" t="n">
        <x:v>44.345</x:v>
      </x:c>
      <x:c r="J514" s="121" t="n">
        <x:v>44.964999999999996</x:v>
      </x:c>
      <x:c r="K514" s="121" t="n">
        <x:v>39.28</x:v>
      </x:c>
      <x:c r="L514" s="121" t="n">
        <x:v>0.245</x:v>
      </x:c>
      <x:c r="M514" s="121" t="n">
        <x:v>0</x:v>
      </x:c>
      <x:c r="N514" s="121" t="n">
        <x:v>0</x:v>
      </x:c>
      <x:c r="O514" s="121" t="n">
        <x:v>0</x:v>
      </x:c>
      <x:c r="P514" s="121" t="n">
        <x:v>0</x:v>
      </x:c>
      <x:c r="Q514" s="121" t="n">
        <x:v>0</x:v>
      </x:c>
    </x:row>
    <x:row r="515">
      <x:c r="A515" t="n">
        <x:v>100000</x:v>
      </x:c>
      <x:c r="B515" t="n">
        <x:v>20000</x:v>
      </x:c>
      <x:c r="C515" t="n">
        <x:v>20260707</x:v>
      </x:c>
      <x:c r="D515" t="str">
        <x:v>R5</x:v>
      </x:c>
      <x:c r="E515" t="str">
        <x:v>31–60</x:v>
      </x:c>
      <x:c r="F515" s="121" t="n">
        <x:v>0.625</x:v>
      </x:c>
      <x:c r="G515" s="121" t="n">
        <x:v>8</x:v>
      </x:c>
      <x:c r="H515" s="121" t="n">
        <x:v>8</x:v>
      </x:c>
      <x:c r="I515" s="121" t="n">
        <x:v>10.32</x:v>
      </x:c>
      <x:c r="J515" s="121" t="n">
        <x:v>44.964999999999996</x:v>
      </x:c>
      <x:c r="K515" s="121" t="n">
        <x:v>10.32</x:v>
      </x:c>
      <x:c r="L515" s="121" t="n">
        <x:v>0.245</x:v>
      </x:c>
      <x:c r="M515" s="121" t="n">
        <x:v>0</x:v>
      </x:c>
      <x:c r="N515" s="121" t="n">
        <x:v>0</x:v>
      </x:c>
      <x:c r="O515" s="121" t="n">
        <x:v>0</x:v>
      </x:c>
      <x:c r="P515" s="121" t="n">
        <x:v>0</x:v>
      </x:c>
      <x:c r="Q515" s="121" t="n">
        <x:v>0</x:v>
      </x:c>
    </x:row>
    <x:row r="516">
      <x:c r="A516" t="n">
        <x:v>100000</x:v>
      </x:c>
      <x:c r="B516" t="n">
        <x:v>20000</x:v>
      </x:c>
      <x:c r="C516" t="n">
        <x:v>20260707</x:v>
      </x:c>
      <x:c r="D516" t="str">
        <x:v>R5</x:v>
      </x:c>
      <x:c r="E516" t="str">
        <x:v>31–60</x:v>
      </x:c>
      <x:c r="F516" s="121" t="n">
        <x:v>0.625</x:v>
      </x:c>
      <x:c r="G516" s="121" t="n">
        <x:v>8</x:v>
      </x:c>
      <x:c r="H516" s="121" t="n">
        <x:v>16</x:v>
      </x:c>
      <x:c r="I516" s="121" t="n">
        <x:v>1.01</x:v>
      </x:c>
      <x:c r="J516" s="121" t="n">
        <x:v>44.964999999999996</x:v>
      </x:c>
      <x:c r="K516" s="121" t="n">
        <x:v>1.01</x:v>
      </x:c>
      <x:c r="L516" s="121" t="n">
        <x:v>0.245</x:v>
      </x:c>
      <x:c r="M516" s="121" t="n">
        <x:v>0</x:v>
      </x:c>
      <x:c r="N516" s="121" t="n">
        <x:v>0</x:v>
      </x:c>
      <x:c r="O516" s="121" t="n">
        <x:v>0</x:v>
      </x:c>
      <x:c r="P516" s="121" t="n">
        <x:v>0</x:v>
      </x:c>
      <x:c r="Q516" s="121" t="n">
        <x:v>0</x:v>
      </x:c>
    </x:row>
    <x:row r="517">
      <x:c r="A517" t="n">
        <x:v>100000</x:v>
      </x:c>
      <x:c r="B517" t="n">
        <x:v>20000</x:v>
      </x:c>
      <x:c r="C517" t="n">
        <x:v>20260707</x:v>
      </x:c>
      <x:c r="D517" t="str">
        <x:v>R5</x:v>
      </x:c>
      <x:c r="E517" t="str">
        <x:v>31–60</x:v>
      </x:c>
      <x:c r="F517" s="121" t="n">
        <x:v>0.625</x:v>
      </x:c>
      <x:c r="G517" s="121" t="n">
        <x:v>8</x:v>
      </x:c>
      <x:c r="H517" s="121" t="n">
        <x:v>32</x:v>
      </x:c>
      <x:c r="I517" s="121" t="n">
        <x:v>0.03</x:v>
      </x:c>
      <x:c r="J517" s="121" t="n">
        <x:v>44.964999999999996</x:v>
      </x:c>
      <x:c r="K517" s="121" t="n">
        <x:v>0.03</x:v>
      </x:c>
      <x:c r="L517" s="121" t="n">
        <x:v>0.245</x:v>
      </x:c>
      <x:c r="M517" s="121" t="n">
        <x:v>0</x:v>
      </x:c>
      <x:c r="N517" s="121" t="n">
        <x:v>0</x:v>
      </x:c>
      <x:c r="O517" s="121" t="n">
        <x:v>0</x:v>
      </x:c>
      <x:c r="P517" s="121" t="n">
        <x:v>0</x:v>
      </x:c>
      <x:c r="Q517" s="121" t="n">
        <x:v>0</x:v>
      </x:c>
    </x:row>
    <x:row r="518">
      <x:c r="A518" t="n">
        <x:v>100000</x:v>
      </x:c>
      <x:c r="B518" t="n">
        <x:v>20000</x:v>
      </x:c>
      <x:c r="C518" t="n">
        <x:v>20260707</x:v>
      </x:c>
      <x:c r="D518" t="str">
        <x:v>R5</x:v>
      </x:c>
      <x:c r="E518" t="str">
        <x:v>31–60</x:v>
      </x:c>
      <x:c r="F518" s="121" t="n">
        <x:v>0.625</x:v>
      </x:c>
      <x:c r="G518" s="121" t="n">
        <x:v>8</x:v>
      </x:c>
      <x:c r="H518" s="121" t="n">
        <x:v>64</x:v>
      </x:c>
      <x:c r="I518" s="121" t="n">
        <x:v>0</x:v>
      </x:c>
      <x:c r="J518" s="121" t="n">
        <x:v>44.964999999999996</x:v>
      </x:c>
      <x:c r="K518" s="121" t="n">
        <x:v>0</x:v>
      </x:c>
      <x:c r="L518" s="121" t="n">
        <x:v>0.245</x:v>
      </x:c>
      <x:c r="M518" s="121" t="n">
        <x:v>0</x:v>
      </x:c>
      <x:c r="N518" s="121" t="n">
        <x:v>0</x:v>
      </x:c>
      <x:c r="O518" s="121" t="n">
        <x:v>0</x:v>
      </x:c>
      <x:c r="P518" s="121" t="n">
        <x:v>0</x:v>
      </x:c>
      <x:c r="Q518" s="121" t="n">
        <x:v>0</x:v>
      </x:c>
    </x:row>
    <x:row r="519">
      <x:c r="A519" t="n">
        <x:v>100000</x:v>
      </x:c>
      <x:c r="B519" t="n">
        <x:v>20000</x:v>
      </x:c>
      <x:c r="C519" t="n">
        <x:v>20260707</x:v>
      </x:c>
      <x:c r="D519" t="str">
        <x:v>R6</x:v>
      </x:c>
      <x:c r="E519" t="str">
        <x:v>31–60</x:v>
      </x:c>
      <x:c r="F519" s="121" t="n">
        <x:v>1.25</x:v>
      </x:c>
      <x:c r="G519" s="121" t="n">
        <x:v>12</x:v>
      </x:c>
      <x:c r="H519" s="121" t="n">
        <x:v>0.0625</x:v>
      </x:c>
      <x:c r="I519" s="121" t="n">
        <x:v>100</x:v>
      </x:c>
      <x:c r="J519" s="121" t="n">
        <x:v>61.035</x:v>
      </x:c>
      <x:c r="K519" s="121" t="n">
        <x:v>61.035</x:v>
      </x:c>
      <x:c r="L519" s="121" t="n">
        <x:v>0.89</x:v>
      </x:c>
      <x:c r="M519" s="121" t="n">
        <x:v>0</x:v>
      </x:c>
      <x:c r="N519" s="121" t="n">
        <x:v>0</x:v>
      </x:c>
      <x:c r="O519" s="121" t="n">
        <x:v>0</x:v>
      </x:c>
      <x:c r="P519" s="121" t="n">
        <x:v>0</x:v>
      </x:c>
      <x:c r="Q519" s="121" t="n">
        <x:v>0</x:v>
      </x:c>
    </x:row>
    <x:row r="520">
      <x:c r="A520" t="n">
        <x:v>100000</x:v>
      </x:c>
      <x:c r="B520" t="n">
        <x:v>20000</x:v>
      </x:c>
      <x:c r="C520" t="n">
        <x:v>20260707</x:v>
      </x:c>
      <x:c r="D520" t="str">
        <x:v>R6</x:v>
      </x:c>
      <x:c r="E520" t="str">
        <x:v>31–60</x:v>
      </x:c>
      <x:c r="F520" s="121" t="n">
        <x:v>1.25</x:v>
      </x:c>
      <x:c r="G520" s="121" t="n">
        <x:v>12</x:v>
      </x:c>
      <x:c r="H520" s="121" t="n">
        <x:v>0.125</x:v>
      </x:c>
      <x:c r="I520" s="121" t="n">
        <x:v>100</x:v>
      </x:c>
      <x:c r="J520" s="121" t="n">
        <x:v>61.035</x:v>
      </x:c>
      <x:c r="K520" s="121" t="n">
        <x:v>61.035</x:v>
      </x:c>
      <x:c r="L520" s="121" t="n">
        <x:v>0.89</x:v>
      </x:c>
      <x:c r="M520" s="121" t="n">
        <x:v>0</x:v>
      </x:c>
      <x:c r="N520" s="121" t="n">
        <x:v>0</x:v>
      </x:c>
      <x:c r="O520" s="121" t="n">
        <x:v>0</x:v>
      </x:c>
      <x:c r="P520" s="121" t="n">
        <x:v>0</x:v>
      </x:c>
      <x:c r="Q520" s="121" t="n">
        <x:v>0</x:v>
      </x:c>
    </x:row>
    <x:row r="521">
      <x:c r="A521" t="n">
        <x:v>100000</x:v>
      </x:c>
      <x:c r="B521" t="n">
        <x:v>20000</x:v>
      </x:c>
      <x:c r="C521" t="n">
        <x:v>20260707</x:v>
      </x:c>
      <x:c r="D521" t="str">
        <x:v>R6</x:v>
      </x:c>
      <x:c r="E521" t="str">
        <x:v>31–60</x:v>
      </x:c>
      <x:c r="F521" s="121" t="n">
        <x:v>1.25</x:v>
      </x:c>
      <x:c r="G521" s="121" t="n">
        <x:v>12</x:v>
      </x:c>
      <x:c r="H521" s="121" t="n">
        <x:v>0.25</x:v>
      </x:c>
      <x:c r="I521" s="121" t="n">
        <x:v>100</x:v>
      </x:c>
      <x:c r="J521" s="121" t="n">
        <x:v>61.035</x:v>
      </x:c>
      <x:c r="K521" s="121" t="n">
        <x:v>61.035</x:v>
      </x:c>
      <x:c r="L521" s="121" t="n">
        <x:v>0.89</x:v>
      </x:c>
      <x:c r="M521" s="121" t="n">
        <x:v>0</x:v>
      </x:c>
      <x:c r="N521" s="121" t="n">
        <x:v>0</x:v>
      </x:c>
      <x:c r="O521" s="121" t="n">
        <x:v>0</x:v>
      </x:c>
      <x:c r="P521" s="121" t="n">
        <x:v>0</x:v>
      </x:c>
      <x:c r="Q521" s="121" t="n">
        <x:v>0</x:v>
      </x:c>
    </x:row>
    <x:row r="522">
      <x:c r="A522" t="n">
        <x:v>100000</x:v>
      </x:c>
      <x:c r="B522" t="n">
        <x:v>20000</x:v>
      </x:c>
      <x:c r="C522" t="n">
        <x:v>20260707</x:v>
      </x:c>
      <x:c r="D522" t="str">
        <x:v>R6</x:v>
      </x:c>
      <x:c r="E522" t="str">
        <x:v>31–60</x:v>
      </x:c>
      <x:c r="F522" s="121" t="n">
        <x:v>1.25</x:v>
      </x:c>
      <x:c r="G522" s="121" t="n">
        <x:v>12</x:v>
      </x:c>
      <x:c r="H522" s="121" t="n">
        <x:v>0.5</x:v>
      </x:c>
      <x:c r="I522" s="121" t="n">
        <x:v>99.995</x:v>
      </x:c>
      <x:c r="J522" s="121" t="n">
        <x:v>61.035</x:v>
      </x:c>
      <x:c r="K522" s="121" t="n">
        <x:v>61.035</x:v>
      </x:c>
      <x:c r="L522" s="121" t="n">
        <x:v>0.89</x:v>
      </x:c>
      <x:c r="M522" s="121" t="n">
        <x:v>0</x:v>
      </x:c>
      <x:c r="N522" s="121" t="n">
        <x:v>0</x:v>
      </x:c>
      <x:c r="O522" s="121" t="n">
        <x:v>0</x:v>
      </x:c>
      <x:c r="P522" s="121" t="n">
        <x:v>0</x:v>
      </x:c>
      <x:c r="Q522" s="121" t="n">
        <x:v>0</x:v>
      </x:c>
    </x:row>
    <x:row r="523">
      <x:c r="A523" t="n">
        <x:v>100000</x:v>
      </x:c>
      <x:c r="B523" t="n">
        <x:v>20000</x:v>
      </x:c>
      <x:c r="C523" t="n">
        <x:v>20260707</x:v>
      </x:c>
      <x:c r="D523" t="str">
        <x:v>R6</x:v>
      </x:c>
      <x:c r="E523" t="str">
        <x:v>31–60</x:v>
      </x:c>
      <x:c r="F523" s="121" t="n">
        <x:v>1.25</x:v>
      </x:c>
      <x:c r="G523" s="121" t="n">
        <x:v>12</x:v>
      </x:c>
      <x:c r="H523" s="121" t="n">
        <x:v>1</x:v>
      </x:c>
      <x:c r="I523" s="121" t="n">
        <x:v>99.39</x:v>
      </x:c>
      <x:c r="J523" s="121" t="n">
        <x:v>61.035</x:v>
      </x:c>
      <x:c r="K523" s="121" t="n">
        <x:v>61.035</x:v>
      </x:c>
      <x:c r="L523" s="121" t="n">
        <x:v>0.89</x:v>
      </x:c>
      <x:c r="M523" s="121" t="n">
        <x:v>0</x:v>
      </x:c>
      <x:c r="N523" s="121" t="n">
        <x:v>0</x:v>
      </x:c>
      <x:c r="O523" s="121" t="n">
        <x:v>0</x:v>
      </x:c>
      <x:c r="P523" s="121" t="n">
        <x:v>0</x:v>
      </x:c>
      <x:c r="Q523" s="121" t="n">
        <x:v>0</x:v>
      </x:c>
    </x:row>
    <x:row r="524">
      <x:c r="A524" t="n">
        <x:v>100000</x:v>
      </x:c>
      <x:c r="B524" t="n">
        <x:v>20000</x:v>
      </x:c>
      <x:c r="C524" t="n">
        <x:v>20260707</x:v>
      </x:c>
      <x:c r="D524" t="str">
        <x:v>R6</x:v>
      </x:c>
      <x:c r="E524" t="str">
        <x:v>31–60</x:v>
      </x:c>
      <x:c r="F524" s="121" t="n">
        <x:v>1.25</x:v>
      </x:c>
      <x:c r="G524" s="121" t="n">
        <x:v>12</x:v>
      </x:c>
      <x:c r="H524" s="121" t="n">
        <x:v>2</x:v>
      </x:c>
      <x:c r="I524" s="121" t="n">
        <x:v>91.82000000000001</x:v>
      </x:c>
      <x:c r="J524" s="121" t="n">
        <x:v>61.035</x:v>
      </x:c>
      <x:c r="K524" s="121" t="n">
        <x:v>61.035</x:v>
      </x:c>
      <x:c r="L524" s="121" t="n">
        <x:v>0.89</x:v>
      </x:c>
      <x:c r="M524" s="121" t="n">
        <x:v>0</x:v>
      </x:c>
      <x:c r="N524" s="121" t="n">
        <x:v>0</x:v>
      </x:c>
      <x:c r="O524" s="121" t="n">
        <x:v>0</x:v>
      </x:c>
      <x:c r="P524" s="121" t="n">
        <x:v>0</x:v>
      </x:c>
      <x:c r="Q524" s="121" t="n">
        <x:v>0</x:v>
      </x:c>
    </x:row>
    <x:row r="525">
      <x:c r="A525" t="n">
        <x:v>100000</x:v>
      </x:c>
      <x:c r="B525" t="n">
        <x:v>20000</x:v>
      </x:c>
      <x:c r="C525" t="n">
        <x:v>20260707</x:v>
      </x:c>
      <x:c r="D525" t="str">
        <x:v>R6</x:v>
      </x:c>
      <x:c r="E525" t="str">
        <x:v>31–60</x:v>
      </x:c>
      <x:c r="F525" s="121" t="n">
        <x:v>1.25</x:v>
      </x:c>
      <x:c r="G525" s="121" t="n">
        <x:v>12</x:v>
      </x:c>
      <x:c r="H525" s="121" t="n">
        <x:v>4</x:v>
      </x:c>
      <x:c r="I525" s="121" t="n">
        <x:v>62.11</x:v>
      </x:c>
      <x:c r="J525" s="121" t="n">
        <x:v>61.035</x:v>
      </x:c>
      <x:c r="K525" s="121" t="n">
        <x:v>56.38999999999999</x:v>
      </x:c>
      <x:c r="L525" s="121" t="n">
        <x:v>0.89</x:v>
      </x:c>
      <x:c r="M525" s="121" t="n">
        <x:v>0</x:v>
      </x:c>
      <x:c r="N525" s="121" t="n">
        <x:v>0</x:v>
      </x:c>
      <x:c r="O525" s="121" t="n">
        <x:v>0</x:v>
      </x:c>
      <x:c r="P525" s="121" t="n">
        <x:v>0</x:v>
      </x:c>
      <x:c r="Q525" s="121" t="n">
        <x:v>0</x:v>
      </x:c>
    </x:row>
    <x:row r="526">
      <x:c r="A526" t="n">
        <x:v>100000</x:v>
      </x:c>
      <x:c r="B526" t="n">
        <x:v>20000</x:v>
      </x:c>
      <x:c r="C526" t="n">
        <x:v>20260707</x:v>
      </x:c>
      <x:c r="D526" t="str">
        <x:v>R6</x:v>
      </x:c>
      <x:c r="E526" t="str">
        <x:v>31–60</x:v>
      </x:c>
      <x:c r="F526" s="121" t="n">
        <x:v>1.25</x:v>
      </x:c>
      <x:c r="G526" s="121" t="n">
        <x:v>12</x:v>
      </x:c>
      <x:c r="H526" s="121" t="n">
        <x:v>8</x:v>
      </x:c>
      <x:c r="I526" s="121" t="n">
        <x:v>21.85</x:v>
      </x:c>
      <x:c r="J526" s="121" t="n">
        <x:v>61.035</x:v>
      </x:c>
      <x:c r="K526" s="121" t="n">
        <x:v>21.84</x:v>
      </x:c>
      <x:c r="L526" s="121" t="n">
        <x:v>0.89</x:v>
      </x:c>
      <x:c r="M526" s="121" t="n">
        <x:v>0</x:v>
      </x:c>
      <x:c r="N526" s="121" t="n">
        <x:v>0</x:v>
      </x:c>
      <x:c r="O526" s="121" t="n">
        <x:v>0</x:v>
      </x:c>
      <x:c r="P526" s="121" t="n">
        <x:v>0</x:v>
      </x:c>
      <x:c r="Q526" s="121" t="n">
        <x:v>0</x:v>
      </x:c>
    </x:row>
    <x:row r="527">
      <x:c r="A527" t="n">
        <x:v>100000</x:v>
      </x:c>
      <x:c r="B527" t="n">
        <x:v>20000</x:v>
      </x:c>
      <x:c r="C527" t="n">
        <x:v>20260707</x:v>
      </x:c>
      <x:c r="D527" t="str">
        <x:v>R6</x:v>
      </x:c>
      <x:c r="E527" t="str">
        <x:v>31–60</x:v>
      </x:c>
      <x:c r="F527" s="121" t="n">
        <x:v>1.25</x:v>
      </x:c>
      <x:c r="G527" s="121" t="n">
        <x:v>12</x:v>
      </x:c>
      <x:c r="H527" s="121" t="n">
        <x:v>16</x:v>
      </x:c>
      <x:c r="I527" s="121" t="n">
        <x:v>2.93</x:v>
      </x:c>
      <x:c r="J527" s="121" t="n">
        <x:v>61.035</x:v>
      </x:c>
      <x:c r="K527" s="121" t="n">
        <x:v>2.93</x:v>
      </x:c>
      <x:c r="L527" s="121" t="n">
        <x:v>0.89</x:v>
      </x:c>
      <x:c r="M527" s="121" t="n">
        <x:v>0</x:v>
      </x:c>
      <x:c r="N527" s="121" t="n">
        <x:v>0</x:v>
      </x:c>
      <x:c r="O527" s="121" t="n">
        <x:v>0</x:v>
      </x:c>
      <x:c r="P527" s="121" t="n">
        <x:v>0</x:v>
      </x:c>
      <x:c r="Q527" s="121" t="n">
        <x:v>0</x:v>
      </x:c>
    </x:row>
    <x:row r="528">
      <x:c r="A528" t="n">
        <x:v>100000</x:v>
      </x:c>
      <x:c r="B528" t="n">
        <x:v>20000</x:v>
      </x:c>
      <x:c r="C528" t="n">
        <x:v>20260707</x:v>
      </x:c>
      <x:c r="D528" t="str">
        <x:v>R6</x:v>
      </x:c>
      <x:c r="E528" t="str">
        <x:v>31–60</x:v>
      </x:c>
      <x:c r="F528" s="121" t="n">
        <x:v>1.25</x:v>
      </x:c>
      <x:c r="G528" s="121" t="n">
        <x:v>12</x:v>
      </x:c>
      <x:c r="H528" s="121" t="n">
        <x:v>32</x:v>
      </x:c>
      <x:c r="I528" s="121" t="n">
        <x:v>0.165</x:v>
      </x:c>
      <x:c r="J528" s="121" t="n">
        <x:v>61.035</x:v>
      </x:c>
      <x:c r="K528" s="121" t="n">
        <x:v>0.165</x:v>
      </x:c>
      <x:c r="L528" s="121" t="n">
        <x:v>0.89</x:v>
      </x:c>
      <x:c r="M528" s="121" t="n">
        <x:v>0</x:v>
      </x:c>
      <x:c r="N528" s="121" t="n">
        <x:v>0</x:v>
      </x:c>
      <x:c r="O528" s="121" t="n">
        <x:v>0</x:v>
      </x:c>
      <x:c r="P528" s="121" t="n">
        <x:v>0</x:v>
      </x:c>
      <x:c r="Q528" s="121" t="n">
        <x:v>0</x:v>
      </x:c>
    </x:row>
    <x:row r="529">
      <x:c r="A529" t="n">
        <x:v>100000</x:v>
      </x:c>
      <x:c r="B529" t="n">
        <x:v>20000</x:v>
      </x:c>
      <x:c r="C529" t="n">
        <x:v>20260707</x:v>
      </x:c>
      <x:c r="D529" t="str">
        <x:v>R6</x:v>
      </x:c>
      <x:c r="E529" t="str">
        <x:v>31–60</x:v>
      </x:c>
      <x:c r="F529" s="121" t="n">
        <x:v>1.25</x:v>
      </x:c>
      <x:c r="G529" s="121" t="n">
        <x:v>12</x:v>
      </x:c>
      <x:c r="H529" s="121" t="n">
        <x:v>64</x:v>
      </x:c>
      <x:c r="I529" s="121" t="n">
        <x:v>0</x:v>
      </x:c>
      <x:c r="J529" s="121" t="n">
        <x:v>61.035</x:v>
      </x:c>
      <x:c r="K529" s="121" t="n">
        <x:v>0</x:v>
      </x:c>
      <x:c r="L529" s="121" t="n">
        <x:v>0.89</x:v>
      </x:c>
      <x:c r="M529" s="121" t="n">
        <x:v>0</x:v>
      </x:c>
      <x:c r="N529" s="121" t="n">
        <x:v>0</x:v>
      </x:c>
      <x:c r="O529" s="121" t="n">
        <x:v>0</x:v>
      </x:c>
      <x:c r="P529" s="121" t="n">
        <x:v>0</x:v>
      </x:c>
      <x:c r="Q529" s="121" t="n">
        <x:v>0</x:v>
      </x:c>
    </x:row>
    <x:row r="530">
      <x:c r="A530" t="n">
        <x:v>100000</x:v>
      </x:c>
      <x:c r="B530" t="n">
        <x:v>20000</x:v>
      </x:c>
      <x:c r="C530" t="n">
        <x:v>20260707</x:v>
      </x:c>
      <x:c r="D530" t="str">
        <x:v>R7</x:v>
      </x:c>
      <x:c r="E530" t="str">
        <x:v>31–60</x:v>
      </x:c>
      <x:c r="F530" s="121" t="n">
        <x:v>1.25</x:v>
      </x:c>
      <x:c r="G530" s="121" t="n">
        <x:v>8</x:v>
      </x:c>
      <x:c r="H530" s="121" t="n">
        <x:v>0.0625</x:v>
      </x:c>
      <x:c r="I530" s="121" t="n">
        <x:v>100</x:v>
      </x:c>
      <x:c r="J530" s="121" t="n">
        <x:v>80.435</x:v>
      </x:c>
      <x:c r="K530" s="121" t="n">
        <x:v>80.435</x:v>
      </x:c>
      <x:c r="L530" s="121" t="n">
        <x:v>3.8350000000000004</x:v>
      </x:c>
      <x:c r="M530" s="121" t="n">
        <x:v>0</x:v>
      </x:c>
      <x:c r="N530" s="121" t="n">
        <x:v>0</x:v>
      </x:c>
      <x:c r="O530" s="121" t="n">
        <x:v>0</x:v>
      </x:c>
      <x:c r="P530" s="121" t="n">
        <x:v>0</x:v>
      </x:c>
      <x:c r="Q530" s="121" t="n">
        <x:v>0</x:v>
      </x:c>
    </x:row>
    <x:row r="531">
      <x:c r="A531" t="n">
        <x:v>100000</x:v>
      </x:c>
      <x:c r="B531" t="n">
        <x:v>20000</x:v>
      </x:c>
      <x:c r="C531" t="n">
        <x:v>20260707</x:v>
      </x:c>
      <x:c r="D531" t="str">
        <x:v>R7</x:v>
      </x:c>
      <x:c r="E531" t="str">
        <x:v>31–60</x:v>
      </x:c>
      <x:c r="F531" s="121" t="n">
        <x:v>1.25</x:v>
      </x:c>
      <x:c r="G531" s="121" t="n">
        <x:v>8</x:v>
      </x:c>
      <x:c r="H531" s="121" t="n">
        <x:v>0.125</x:v>
      </x:c>
      <x:c r="I531" s="121" t="n">
        <x:v>100</x:v>
      </x:c>
      <x:c r="J531" s="121" t="n">
        <x:v>80.435</x:v>
      </x:c>
      <x:c r="K531" s="121" t="n">
        <x:v>80.435</x:v>
      </x:c>
      <x:c r="L531" s="121" t="n">
        <x:v>3.8350000000000004</x:v>
      </x:c>
      <x:c r="M531" s="121" t="n">
        <x:v>0</x:v>
      </x:c>
      <x:c r="N531" s="121" t="n">
        <x:v>0</x:v>
      </x:c>
      <x:c r="O531" s="121" t="n">
        <x:v>0</x:v>
      </x:c>
      <x:c r="P531" s="121" t="n">
        <x:v>0</x:v>
      </x:c>
      <x:c r="Q531" s="121" t="n">
        <x:v>0</x:v>
      </x:c>
    </x:row>
    <x:row r="532">
      <x:c r="A532" t="n">
        <x:v>100000</x:v>
      </x:c>
      <x:c r="B532" t="n">
        <x:v>20000</x:v>
      </x:c>
      <x:c r="C532" t="n">
        <x:v>20260707</x:v>
      </x:c>
      <x:c r="D532" t="str">
        <x:v>R7</x:v>
      </x:c>
      <x:c r="E532" t="str">
        <x:v>31–60</x:v>
      </x:c>
      <x:c r="F532" s="121" t="n">
        <x:v>1.25</x:v>
      </x:c>
      <x:c r="G532" s="121" t="n">
        <x:v>8</x:v>
      </x:c>
      <x:c r="H532" s="121" t="n">
        <x:v>0.25</x:v>
      </x:c>
      <x:c r="I532" s="121" t="n">
        <x:v>100</x:v>
      </x:c>
      <x:c r="J532" s="121" t="n">
        <x:v>80.435</x:v>
      </x:c>
      <x:c r="K532" s="121" t="n">
        <x:v>80.435</x:v>
      </x:c>
      <x:c r="L532" s="121" t="n">
        <x:v>3.8350000000000004</x:v>
      </x:c>
      <x:c r="M532" s="121" t="n">
        <x:v>0</x:v>
      </x:c>
      <x:c r="N532" s="121" t="n">
        <x:v>0</x:v>
      </x:c>
      <x:c r="O532" s="121" t="n">
        <x:v>0</x:v>
      </x:c>
      <x:c r="P532" s="121" t="n">
        <x:v>0</x:v>
      </x:c>
      <x:c r="Q532" s="121" t="n">
        <x:v>0</x:v>
      </x:c>
    </x:row>
    <x:row r="533">
      <x:c r="A533" t="n">
        <x:v>100000</x:v>
      </x:c>
      <x:c r="B533" t="n">
        <x:v>20000</x:v>
      </x:c>
      <x:c r="C533" t="n">
        <x:v>20260707</x:v>
      </x:c>
      <x:c r="D533" t="str">
        <x:v>R7</x:v>
      </x:c>
      <x:c r="E533" t="str">
        <x:v>31–60</x:v>
      </x:c>
      <x:c r="F533" s="121" t="n">
        <x:v>1.25</x:v>
      </x:c>
      <x:c r="G533" s="121" t="n">
        <x:v>8</x:v>
      </x:c>
      <x:c r="H533" s="121" t="n">
        <x:v>0.5</x:v>
      </x:c>
      <x:c r="I533" s="121" t="n">
        <x:v>100</x:v>
      </x:c>
      <x:c r="J533" s="121" t="n">
        <x:v>80.435</x:v>
      </x:c>
      <x:c r="K533" s="121" t="n">
        <x:v>80.435</x:v>
      </x:c>
      <x:c r="L533" s="121" t="n">
        <x:v>3.8350000000000004</x:v>
      </x:c>
      <x:c r="M533" s="121" t="n">
        <x:v>0</x:v>
      </x:c>
      <x:c r="N533" s="121" t="n">
        <x:v>0</x:v>
      </x:c>
      <x:c r="O533" s="121" t="n">
        <x:v>0</x:v>
      </x:c>
      <x:c r="P533" s="121" t="n">
        <x:v>0</x:v>
      </x:c>
      <x:c r="Q533" s="121" t="n">
        <x:v>0</x:v>
      </x:c>
    </x:row>
    <x:row r="534">
      <x:c r="A534" t="n">
        <x:v>100000</x:v>
      </x:c>
      <x:c r="B534" t="n">
        <x:v>20000</x:v>
      </x:c>
      <x:c r="C534" t="n">
        <x:v>20260707</x:v>
      </x:c>
      <x:c r="D534" t="str">
        <x:v>R7</x:v>
      </x:c>
      <x:c r="E534" t="str">
        <x:v>31–60</x:v>
      </x:c>
      <x:c r="F534" s="121" t="n">
        <x:v>1.25</x:v>
      </x:c>
      <x:c r="G534" s="121" t="n">
        <x:v>8</x:v>
      </x:c>
      <x:c r="H534" s="121" t="n">
        <x:v>1</x:v>
      </x:c>
      <x:c r="I534" s="121" t="n">
        <x:v>99.935</x:v>
      </x:c>
      <x:c r="J534" s="121" t="n">
        <x:v>80.435</x:v>
      </x:c>
      <x:c r="K534" s="121" t="n">
        <x:v>80.435</x:v>
      </x:c>
      <x:c r="L534" s="121" t="n">
        <x:v>3.8350000000000004</x:v>
      </x:c>
      <x:c r="M534" s="121" t="n">
        <x:v>0</x:v>
      </x:c>
      <x:c r="N534" s="121" t="n">
        <x:v>0</x:v>
      </x:c>
      <x:c r="O534" s="121" t="n">
        <x:v>0</x:v>
      </x:c>
      <x:c r="P534" s="121" t="n">
        <x:v>0</x:v>
      </x:c>
      <x:c r="Q534" s="121" t="n">
        <x:v>0</x:v>
      </x:c>
    </x:row>
    <x:row r="535">
      <x:c r="A535" t="n">
        <x:v>100000</x:v>
      </x:c>
      <x:c r="B535" t="n">
        <x:v>20000</x:v>
      </x:c>
      <x:c r="C535" t="n">
        <x:v>20260707</x:v>
      </x:c>
      <x:c r="D535" t="str">
        <x:v>R7</x:v>
      </x:c>
      <x:c r="E535" t="str">
        <x:v>31–60</x:v>
      </x:c>
      <x:c r="F535" s="121" t="n">
        <x:v>1.25</x:v>
      </x:c>
      <x:c r="G535" s="121" t="n">
        <x:v>8</x:v>
      </x:c>
      <x:c r="H535" s="121" t="n">
        <x:v>2</x:v>
      </x:c>
      <x:c r="I535" s="121" t="n">
        <x:v>97.875</x:v>
      </x:c>
      <x:c r="J535" s="121" t="n">
        <x:v>80.435</x:v>
      </x:c>
      <x:c r="K535" s="121" t="n">
        <x:v>80.435</x:v>
      </x:c>
      <x:c r="L535" s="121" t="n">
        <x:v>3.8350000000000004</x:v>
      </x:c>
      <x:c r="M535" s="121" t="n">
        <x:v>0</x:v>
      </x:c>
      <x:c r="N535" s="121" t="n">
        <x:v>0</x:v>
      </x:c>
      <x:c r="O535" s="121" t="n">
        <x:v>0</x:v>
      </x:c>
      <x:c r="P535" s="121" t="n">
        <x:v>0</x:v>
      </x:c>
      <x:c r="Q535" s="121" t="n">
        <x:v>0</x:v>
      </x:c>
    </x:row>
    <x:row r="536">
      <x:c r="A536" t="n">
        <x:v>100000</x:v>
      </x:c>
      <x:c r="B536" t="n">
        <x:v>20000</x:v>
      </x:c>
      <x:c r="C536" t="n">
        <x:v>20260707</x:v>
      </x:c>
      <x:c r="D536" t="str">
        <x:v>R7</x:v>
      </x:c>
      <x:c r="E536" t="str">
        <x:v>31–60</x:v>
      </x:c>
      <x:c r="F536" s="121" t="n">
        <x:v>1.25</x:v>
      </x:c>
      <x:c r="G536" s="121" t="n">
        <x:v>8</x:v>
      </x:c>
      <x:c r="H536" s="121" t="n">
        <x:v>4</x:v>
      </x:c>
      <x:c r="I536" s="121" t="n">
        <x:v>82.75</x:v>
      </x:c>
      <x:c r="J536" s="121" t="n">
        <x:v>80.435</x:v>
      </x:c>
      <x:c r="K536" s="121" t="n">
        <x:v>77.89500000000001</x:v>
      </x:c>
      <x:c r="L536" s="121" t="n">
        <x:v>3.8350000000000004</x:v>
      </x:c>
      <x:c r="M536" s="121" t="n">
        <x:v>0</x:v>
      </x:c>
      <x:c r="N536" s="121" t="n">
        <x:v>0</x:v>
      </x:c>
      <x:c r="O536" s="121" t="n">
        <x:v>0</x:v>
      </x:c>
      <x:c r="P536" s="121" t="n">
        <x:v>0</x:v>
      </x:c>
      <x:c r="Q536" s="121" t="n">
        <x:v>0</x:v>
      </x:c>
    </x:row>
    <x:row r="537">
      <x:c r="A537" t="n">
        <x:v>100000</x:v>
      </x:c>
      <x:c r="B537" t="n">
        <x:v>20000</x:v>
      </x:c>
      <x:c r="C537" t="n">
        <x:v>20260707</x:v>
      </x:c>
      <x:c r="D537" t="str">
        <x:v>R7</x:v>
      </x:c>
      <x:c r="E537" t="str">
        <x:v>31–60</x:v>
      </x:c>
      <x:c r="F537" s="121" t="n">
        <x:v>1.25</x:v>
      </x:c>
      <x:c r="G537" s="121" t="n">
        <x:v>8</x:v>
      </x:c>
      <x:c r="H537" s="121" t="n">
        <x:v>8</x:v>
      </x:c>
      <x:c r="I537" s="121" t="n">
        <x:v>44.345</x:v>
      </x:c>
      <x:c r="J537" s="121" t="n">
        <x:v>80.435</x:v>
      </x:c>
      <x:c r="K537" s="121" t="n">
        <x:v>44.34</x:v>
      </x:c>
      <x:c r="L537" s="121" t="n">
        <x:v>3.8350000000000004</x:v>
      </x:c>
      <x:c r="M537" s="121" t="n">
        <x:v>0</x:v>
      </x:c>
      <x:c r="N537" s="121" t="n">
        <x:v>0</x:v>
      </x:c>
      <x:c r="O537" s="121" t="n">
        <x:v>0</x:v>
      </x:c>
      <x:c r="P537" s="121" t="n">
        <x:v>0</x:v>
      </x:c>
      <x:c r="Q537" s="121" t="n">
        <x:v>0</x:v>
      </x:c>
    </x:row>
    <x:row r="538">
      <x:c r="A538" t="n">
        <x:v>100000</x:v>
      </x:c>
      <x:c r="B538" t="n">
        <x:v>20000</x:v>
      </x:c>
      <x:c r="C538" t="n">
        <x:v>20260707</x:v>
      </x:c>
      <x:c r="D538" t="str">
        <x:v>R7</x:v>
      </x:c>
      <x:c r="E538" t="str">
        <x:v>31–60</x:v>
      </x:c>
      <x:c r="F538" s="121" t="n">
        <x:v>1.25</x:v>
      </x:c>
      <x:c r="G538" s="121" t="n">
        <x:v>8</x:v>
      </x:c>
      <x:c r="H538" s="121" t="n">
        <x:v>16</x:v>
      </x:c>
      <x:c r="I538" s="121" t="n">
        <x:v>10.32</x:v>
      </x:c>
      <x:c r="J538" s="121" t="n">
        <x:v>80.435</x:v>
      </x:c>
      <x:c r="K538" s="121" t="n">
        <x:v>10.32</x:v>
      </x:c>
      <x:c r="L538" s="121" t="n">
        <x:v>3.8350000000000004</x:v>
      </x:c>
      <x:c r="M538" s="121" t="n">
        <x:v>0</x:v>
      </x:c>
      <x:c r="N538" s="121" t="n">
        <x:v>0</x:v>
      </x:c>
      <x:c r="O538" s="121" t="n">
        <x:v>0</x:v>
      </x:c>
      <x:c r="P538" s="121" t="n">
        <x:v>0</x:v>
      </x:c>
      <x:c r="Q538" s="121" t="n">
        <x:v>0</x:v>
      </x:c>
    </x:row>
    <x:row r="539">
      <x:c r="A539" t="n">
        <x:v>100000</x:v>
      </x:c>
      <x:c r="B539" t="n">
        <x:v>20000</x:v>
      </x:c>
      <x:c r="C539" t="n">
        <x:v>20260707</x:v>
      </x:c>
      <x:c r="D539" t="str">
        <x:v>R7</x:v>
      </x:c>
      <x:c r="E539" t="str">
        <x:v>31–60</x:v>
      </x:c>
      <x:c r="F539" s="121" t="n">
        <x:v>1.25</x:v>
      </x:c>
      <x:c r="G539" s="121" t="n">
        <x:v>8</x:v>
      </x:c>
      <x:c r="H539" s="121" t="n">
        <x:v>32</x:v>
      </x:c>
      <x:c r="I539" s="121" t="n">
        <x:v>1.01</x:v>
      </x:c>
      <x:c r="J539" s="121" t="n">
        <x:v>80.435</x:v>
      </x:c>
      <x:c r="K539" s="121" t="n">
        <x:v>1.01</x:v>
      </x:c>
      <x:c r="L539" s="121" t="n">
        <x:v>3.8350000000000004</x:v>
      </x:c>
      <x:c r="M539" s="121" t="n">
        <x:v>0</x:v>
      </x:c>
      <x:c r="N539" s="121" t="n">
        <x:v>0</x:v>
      </x:c>
      <x:c r="O539" s="121" t="n">
        <x:v>0</x:v>
      </x:c>
      <x:c r="P539" s="121" t="n">
        <x:v>0</x:v>
      </x:c>
      <x:c r="Q539" s="121" t="n">
        <x:v>0</x:v>
      </x:c>
    </x:row>
    <x:row r="540">
      <x:c r="A540" t="n">
        <x:v>100000</x:v>
      </x:c>
      <x:c r="B540" t="n">
        <x:v>20000</x:v>
      </x:c>
      <x:c r="C540" t="n">
        <x:v>20260707</x:v>
      </x:c>
      <x:c r="D540" t="str">
        <x:v>R7</x:v>
      </x:c>
      <x:c r="E540" t="str">
        <x:v>31–60</x:v>
      </x:c>
      <x:c r="F540" s="121" t="n">
        <x:v>1.25</x:v>
      </x:c>
      <x:c r="G540" s="121" t="n">
        <x:v>8</x:v>
      </x:c>
      <x:c r="H540" s="121" t="n">
        <x:v>64</x:v>
      </x:c>
      <x:c r="I540" s="121" t="n">
        <x:v>0.03</x:v>
      </x:c>
      <x:c r="J540" s="121" t="n">
        <x:v>80.435</x:v>
      </x:c>
      <x:c r="K540" s="121" t="n">
        <x:v>0.03</x:v>
      </x:c>
      <x:c r="L540" s="121" t="n">
        <x:v>3.8350000000000004</x:v>
      </x:c>
      <x:c r="M540" s="121" t="n">
        <x:v>0</x:v>
      </x:c>
      <x:c r="N540" s="121" t="n">
        <x:v>0</x:v>
      </x:c>
      <x:c r="O540" s="121" t="n">
        <x:v>0</x:v>
      </x:c>
      <x:c r="P540" s="121" t="n">
        <x:v>0</x:v>
      </x:c>
      <x:c r="Q540" s="121" t="n">
        <x:v>0</x:v>
      </x:c>
    </x:row>
    <x:row r="541">
      <x:c r="A541" t="n">
        <x:v>100000</x:v>
      </x:c>
      <x:c r="B541" t="n">
        <x:v>20000</x:v>
      </x:c>
      <x:c r="C541" t="n">
        <x:v>20260707</x:v>
      </x:c>
      <x:c r="D541" t="str">
        <x:v>R8</x:v>
      </x:c>
      <x:c r="E541" t="str">
        <x:v>31–60</x:v>
      </x:c>
      <x:c r="F541" s="121" t="n">
        <x:v>2.5</x:v>
      </x:c>
      <x:c r="G541" s="121" t="n">
        <x:v>12</x:v>
      </x:c>
      <x:c r="H541" s="121" t="n">
        <x:v>0.0625</x:v>
      </x:c>
      <x:c r="I541" s="121" t="n">
        <x:v>100</x:v>
      </x:c>
      <x:c r="J541" s="121" t="n">
        <x:v>89.45</x:v>
      </x:c>
      <x:c r="K541" s="121" t="n">
        <x:v>89.45</x:v>
      </x:c>
      <x:c r="L541" s="121" t="n">
        <x:v>9.335</x:v>
      </x:c>
      <x:c r="M541" s="121" t="n">
        <x:v>0</x:v>
      </x:c>
      <x:c r="N541" s="121" t="n">
        <x:v>0</x:v>
      </x:c>
      <x:c r="O541" s="121" t="n">
        <x:v>0</x:v>
      </x:c>
      <x:c r="P541" s="121" t="n">
        <x:v>0</x:v>
      </x:c>
      <x:c r="Q541" s="121" t="n">
        <x:v>0</x:v>
      </x:c>
    </x:row>
    <x:row r="542">
      <x:c r="A542" t="n">
        <x:v>100000</x:v>
      </x:c>
      <x:c r="B542" t="n">
        <x:v>20000</x:v>
      </x:c>
      <x:c r="C542" t="n">
        <x:v>20260707</x:v>
      </x:c>
      <x:c r="D542" t="str">
        <x:v>R8</x:v>
      </x:c>
      <x:c r="E542" t="str">
        <x:v>31–60</x:v>
      </x:c>
      <x:c r="F542" s="121" t="n">
        <x:v>2.5</x:v>
      </x:c>
      <x:c r="G542" s="121" t="n">
        <x:v>12</x:v>
      </x:c>
      <x:c r="H542" s="121" t="n">
        <x:v>0.125</x:v>
      </x:c>
      <x:c r="I542" s="121" t="n">
        <x:v>100</x:v>
      </x:c>
      <x:c r="J542" s="121" t="n">
        <x:v>89.45</x:v>
      </x:c>
      <x:c r="K542" s="121" t="n">
        <x:v>89.45</x:v>
      </x:c>
      <x:c r="L542" s="121" t="n">
        <x:v>9.335</x:v>
      </x:c>
      <x:c r="M542" s="121" t="n">
        <x:v>0</x:v>
      </x:c>
      <x:c r="N542" s="121" t="n">
        <x:v>0</x:v>
      </x:c>
      <x:c r="O542" s="121" t="n">
        <x:v>0</x:v>
      </x:c>
      <x:c r="P542" s="121" t="n">
        <x:v>0</x:v>
      </x:c>
      <x:c r="Q542" s="121" t="n">
        <x:v>0</x:v>
      </x:c>
    </x:row>
    <x:row r="543">
      <x:c r="A543" t="n">
        <x:v>100000</x:v>
      </x:c>
      <x:c r="B543" t="n">
        <x:v>20000</x:v>
      </x:c>
      <x:c r="C543" t="n">
        <x:v>20260707</x:v>
      </x:c>
      <x:c r="D543" t="str">
        <x:v>R8</x:v>
      </x:c>
      <x:c r="E543" t="str">
        <x:v>31–60</x:v>
      </x:c>
      <x:c r="F543" s="121" t="n">
        <x:v>2.5</x:v>
      </x:c>
      <x:c r="G543" s="121" t="n">
        <x:v>12</x:v>
      </x:c>
      <x:c r="H543" s="121" t="n">
        <x:v>0.25</x:v>
      </x:c>
      <x:c r="I543" s="121" t="n">
        <x:v>100</x:v>
      </x:c>
      <x:c r="J543" s="121" t="n">
        <x:v>89.45</x:v>
      </x:c>
      <x:c r="K543" s="121" t="n">
        <x:v>89.45</x:v>
      </x:c>
      <x:c r="L543" s="121" t="n">
        <x:v>9.335</x:v>
      </x:c>
      <x:c r="M543" s="121" t="n">
        <x:v>0</x:v>
      </x:c>
      <x:c r="N543" s="121" t="n">
        <x:v>0</x:v>
      </x:c>
      <x:c r="O543" s="121" t="n">
        <x:v>0</x:v>
      </x:c>
      <x:c r="P543" s="121" t="n">
        <x:v>0</x:v>
      </x:c>
      <x:c r="Q543" s="121" t="n">
        <x:v>0</x:v>
      </x:c>
    </x:row>
    <x:row r="544">
      <x:c r="A544" t="n">
        <x:v>100000</x:v>
      </x:c>
      <x:c r="B544" t="n">
        <x:v>20000</x:v>
      </x:c>
      <x:c r="C544" t="n">
        <x:v>20260707</x:v>
      </x:c>
      <x:c r="D544" t="str">
        <x:v>R8</x:v>
      </x:c>
      <x:c r="E544" t="str">
        <x:v>31–60</x:v>
      </x:c>
      <x:c r="F544" s="121" t="n">
        <x:v>2.5</x:v>
      </x:c>
      <x:c r="G544" s="121" t="n">
        <x:v>12</x:v>
      </x:c>
      <x:c r="H544" s="121" t="n">
        <x:v>0.5</x:v>
      </x:c>
      <x:c r="I544" s="121" t="n">
        <x:v>100</x:v>
      </x:c>
      <x:c r="J544" s="121" t="n">
        <x:v>89.45</x:v>
      </x:c>
      <x:c r="K544" s="121" t="n">
        <x:v>89.45</x:v>
      </x:c>
      <x:c r="L544" s="121" t="n">
        <x:v>9.335</x:v>
      </x:c>
      <x:c r="M544" s="121" t="n">
        <x:v>0</x:v>
      </x:c>
      <x:c r="N544" s="121" t="n">
        <x:v>0</x:v>
      </x:c>
      <x:c r="O544" s="121" t="n">
        <x:v>0</x:v>
      </x:c>
      <x:c r="P544" s="121" t="n">
        <x:v>0</x:v>
      </x:c>
      <x:c r="Q544" s="121" t="n">
        <x:v>0</x:v>
      </x:c>
    </x:row>
    <x:row r="545">
      <x:c r="A545" t="n">
        <x:v>100000</x:v>
      </x:c>
      <x:c r="B545" t="n">
        <x:v>20000</x:v>
      </x:c>
      <x:c r="C545" t="n">
        <x:v>20260707</x:v>
      </x:c>
      <x:c r="D545" t="str">
        <x:v>R8</x:v>
      </x:c>
      <x:c r="E545" t="str">
        <x:v>31–60</x:v>
      </x:c>
      <x:c r="F545" s="121" t="n">
        <x:v>2.5</x:v>
      </x:c>
      <x:c r="G545" s="121" t="n">
        <x:v>12</x:v>
      </x:c>
      <x:c r="H545" s="121" t="n">
        <x:v>1</x:v>
      </x:c>
      <x:c r="I545" s="121" t="n">
        <x:v>99.995</x:v>
      </x:c>
      <x:c r="J545" s="121" t="n">
        <x:v>89.45</x:v>
      </x:c>
      <x:c r="K545" s="121" t="n">
        <x:v>89.45</x:v>
      </x:c>
      <x:c r="L545" s="121" t="n">
        <x:v>9.335</x:v>
      </x:c>
      <x:c r="M545" s="121" t="n">
        <x:v>0</x:v>
      </x:c>
      <x:c r="N545" s="121" t="n">
        <x:v>0</x:v>
      </x:c>
      <x:c r="O545" s="121" t="n">
        <x:v>0</x:v>
      </x:c>
      <x:c r="P545" s="121" t="n">
        <x:v>0</x:v>
      </x:c>
      <x:c r="Q545" s="121" t="n">
        <x:v>0</x:v>
      </x:c>
    </x:row>
    <x:row r="546">
      <x:c r="A546" t="n">
        <x:v>100000</x:v>
      </x:c>
      <x:c r="B546" t="n">
        <x:v>20000</x:v>
      </x:c>
      <x:c r="C546" t="n">
        <x:v>20260707</x:v>
      </x:c>
      <x:c r="D546" t="str">
        <x:v>R8</x:v>
      </x:c>
      <x:c r="E546" t="str">
        <x:v>31–60</x:v>
      </x:c>
      <x:c r="F546" s="121" t="n">
        <x:v>2.5</x:v>
      </x:c>
      <x:c r="G546" s="121" t="n">
        <x:v>12</x:v>
      </x:c>
      <x:c r="H546" s="121" t="n">
        <x:v>2</x:v>
      </x:c>
      <x:c r="I546" s="121" t="n">
        <x:v>99.39</x:v>
      </x:c>
      <x:c r="J546" s="121" t="n">
        <x:v>89.45</x:v>
      </x:c>
      <x:c r="K546" s="121" t="n">
        <x:v>89.45</x:v>
      </x:c>
      <x:c r="L546" s="121" t="n">
        <x:v>9.335</x:v>
      </x:c>
      <x:c r="M546" s="121" t="n">
        <x:v>0</x:v>
      </x:c>
      <x:c r="N546" s="121" t="n">
        <x:v>0</x:v>
      </x:c>
      <x:c r="O546" s="121" t="n">
        <x:v>0</x:v>
      </x:c>
      <x:c r="P546" s="121" t="n">
        <x:v>0</x:v>
      </x:c>
      <x:c r="Q546" s="121" t="n">
        <x:v>0</x:v>
      </x:c>
    </x:row>
    <x:row r="547">
      <x:c r="A547" t="n">
        <x:v>100000</x:v>
      </x:c>
      <x:c r="B547" t="n">
        <x:v>20000</x:v>
      </x:c>
      <x:c r="C547" t="n">
        <x:v>20260707</x:v>
      </x:c>
      <x:c r="D547" t="str">
        <x:v>R8</x:v>
      </x:c>
      <x:c r="E547" t="str">
        <x:v>31–60</x:v>
      </x:c>
      <x:c r="F547" s="121" t="n">
        <x:v>2.5</x:v>
      </x:c>
      <x:c r="G547" s="121" t="n">
        <x:v>12</x:v>
      </x:c>
      <x:c r="H547" s="121" t="n">
        <x:v>4</x:v>
      </x:c>
      <x:c r="I547" s="121" t="n">
        <x:v>91.82000000000001</x:v>
      </x:c>
      <x:c r="J547" s="121" t="n">
        <x:v>89.45</x:v>
      </x:c>
      <x:c r="K547" s="121" t="n">
        <x:v>88.28</x:v>
      </x:c>
      <x:c r="L547" s="121" t="n">
        <x:v>9.335</x:v>
      </x:c>
      <x:c r="M547" s="121" t="n">
        <x:v>0</x:v>
      </x:c>
      <x:c r="N547" s="121" t="n">
        <x:v>0</x:v>
      </x:c>
      <x:c r="O547" s="121" t="n">
        <x:v>0</x:v>
      </x:c>
      <x:c r="P547" s="121" t="n">
        <x:v>0</x:v>
      </x:c>
      <x:c r="Q547" s="121" t="n">
        <x:v>0</x:v>
      </x:c>
    </x:row>
    <x:row r="548">
      <x:c r="A548" t="n">
        <x:v>100000</x:v>
      </x:c>
      <x:c r="B548" t="n">
        <x:v>20000</x:v>
      </x:c>
      <x:c r="C548" t="n">
        <x:v>20260707</x:v>
      </x:c>
      <x:c r="D548" t="str">
        <x:v>R8</x:v>
      </x:c>
      <x:c r="E548" t="str">
        <x:v>31–60</x:v>
      </x:c>
      <x:c r="F548" s="121" t="n">
        <x:v>2.5</x:v>
      </x:c>
      <x:c r="G548" s="121" t="n">
        <x:v>12</x:v>
      </x:c>
      <x:c r="H548" s="121" t="n">
        <x:v>8</x:v>
      </x:c>
      <x:c r="I548" s="121" t="n">
        <x:v>62.11</x:v>
      </x:c>
      <x:c r="J548" s="121" t="n">
        <x:v>89.45</x:v>
      </x:c>
      <x:c r="K548" s="121" t="n">
        <x:v>62.09</x:v>
      </x:c>
      <x:c r="L548" s="121" t="n">
        <x:v>9.335</x:v>
      </x:c>
      <x:c r="M548" s="121" t="n">
        <x:v>0</x:v>
      </x:c>
      <x:c r="N548" s="121" t="n">
        <x:v>0</x:v>
      </x:c>
      <x:c r="O548" s="121" t="n">
        <x:v>0</x:v>
      </x:c>
      <x:c r="P548" s="121" t="n">
        <x:v>0</x:v>
      </x:c>
      <x:c r="Q548" s="121" t="n">
        <x:v>0</x:v>
      </x:c>
    </x:row>
    <x:row r="549">
      <x:c r="A549" t="n">
        <x:v>100000</x:v>
      </x:c>
      <x:c r="B549" t="n">
        <x:v>20000</x:v>
      </x:c>
      <x:c r="C549" t="n">
        <x:v>20260707</x:v>
      </x:c>
      <x:c r="D549" t="str">
        <x:v>R8</x:v>
      </x:c>
      <x:c r="E549" t="str">
        <x:v>31–60</x:v>
      </x:c>
      <x:c r="F549" s="121" t="n">
        <x:v>2.5</x:v>
      </x:c>
      <x:c r="G549" s="121" t="n">
        <x:v>12</x:v>
      </x:c>
      <x:c r="H549" s="121" t="n">
        <x:v>16</x:v>
      </x:c>
      <x:c r="I549" s="121" t="n">
        <x:v>21.85</x:v>
      </x:c>
      <x:c r="J549" s="121" t="n">
        <x:v>89.45</x:v>
      </x:c>
      <x:c r="K549" s="121" t="n">
        <x:v>21.85</x:v>
      </x:c>
      <x:c r="L549" s="121" t="n">
        <x:v>9.335</x:v>
      </x:c>
      <x:c r="M549" s="121" t="n">
        <x:v>0</x:v>
      </x:c>
      <x:c r="N549" s="121" t="n">
        <x:v>0</x:v>
      </x:c>
      <x:c r="O549" s="121" t="n">
        <x:v>0</x:v>
      </x:c>
      <x:c r="P549" s="121" t="n">
        <x:v>0</x:v>
      </x:c>
      <x:c r="Q549" s="121" t="n">
        <x:v>0</x:v>
      </x:c>
    </x:row>
    <x:row r="550">
      <x:c r="A550" t="n">
        <x:v>100000</x:v>
      </x:c>
      <x:c r="B550" t="n">
        <x:v>20000</x:v>
      </x:c>
      <x:c r="C550" t="n">
        <x:v>20260707</x:v>
      </x:c>
      <x:c r="D550" t="str">
        <x:v>R8</x:v>
      </x:c>
      <x:c r="E550" t="str">
        <x:v>31–60</x:v>
      </x:c>
      <x:c r="F550" s="121" t="n">
        <x:v>2.5</x:v>
      </x:c>
      <x:c r="G550" s="121" t="n">
        <x:v>12</x:v>
      </x:c>
      <x:c r="H550" s="121" t="n">
        <x:v>32</x:v>
      </x:c>
      <x:c r="I550" s="121" t="n">
        <x:v>2.93</x:v>
      </x:c>
      <x:c r="J550" s="121" t="n">
        <x:v>89.45</x:v>
      </x:c>
      <x:c r="K550" s="121" t="n">
        <x:v>2.93</x:v>
      </x:c>
      <x:c r="L550" s="121" t="n">
        <x:v>9.335</x:v>
      </x:c>
      <x:c r="M550" s="121" t="n">
        <x:v>0</x:v>
      </x:c>
      <x:c r="N550" s="121" t="n">
        <x:v>0</x:v>
      </x:c>
      <x:c r="O550" s="121" t="n">
        <x:v>0</x:v>
      </x:c>
      <x:c r="P550" s="121" t="n">
        <x:v>0</x:v>
      </x:c>
      <x:c r="Q550" s="121" t="n">
        <x:v>0</x:v>
      </x:c>
    </x:row>
    <x:row r="551">
      <x:c r="A551" t="n">
        <x:v>100000</x:v>
      </x:c>
      <x:c r="B551" t="n">
        <x:v>20000</x:v>
      </x:c>
      <x:c r="C551" t="n">
        <x:v>20260707</x:v>
      </x:c>
      <x:c r="D551" t="str">
        <x:v>R8</x:v>
      </x:c>
      <x:c r="E551" t="str">
        <x:v>31–60</x:v>
      </x:c>
      <x:c r="F551" s="121" t="n">
        <x:v>2.5</x:v>
      </x:c>
      <x:c r="G551" s="121" t="n">
        <x:v>12</x:v>
      </x:c>
      <x:c r="H551" s="121" t="n">
        <x:v>64</x:v>
      </x:c>
      <x:c r="I551" s="121" t="n">
        <x:v>0.165</x:v>
      </x:c>
      <x:c r="J551" s="121" t="n">
        <x:v>89.45</x:v>
      </x:c>
      <x:c r="K551" s="121" t="n">
        <x:v>0.165</x:v>
      </x:c>
      <x:c r="L551" s="121" t="n">
        <x:v>9.335</x:v>
      </x:c>
      <x:c r="M551" s="121" t="n">
        <x:v>0</x:v>
      </x:c>
      <x:c r="N551" s="121" t="n">
        <x:v>0</x:v>
      </x:c>
      <x:c r="O551" s="121" t="n">
        <x:v>0</x:v>
      </x:c>
      <x:c r="P551" s="121" t="n">
        <x:v>0</x:v>
      </x:c>
      <x:c r="Q551" s="121" t="n">
        <x:v>0</x:v>
      </x:c>
    </x:row>
    <x:row r="552">
      <x:c r="A552" t="n">
        <x:v>100000</x:v>
      </x:c>
      <x:c r="B552" t="n">
        <x:v>20000</x:v>
      </x:c>
      <x:c r="C552" t="n">
        <x:v>20260707</x:v>
      </x:c>
      <x:c r="D552" t="str">
        <x:v>R9</x:v>
      </x:c>
      <x:c r="E552" t="str">
        <x:v>61–90</x:v>
      </x:c>
      <x:c r="F552" s="121" t="n">
        <x:v>2.5</x:v>
      </x:c>
      <x:c r="G552" s="121" t="n">
        <x:v>12</x:v>
      </x:c>
      <x:c r="H552" s="121" t="n">
        <x:v>0.0625</x:v>
      </x:c>
      <x:c r="I552" s="121" t="n">
        <x:v>100</x:v>
      </x:c>
      <x:c r="J552" s="121" t="n">
        <x:v>73.225</x:v>
      </x:c>
      <x:c r="K552" s="121" t="n">
        <x:v>73.225</x:v>
      </x:c>
      <x:c r="L552" s="121" t="n">
        <x:v>2.98</x:v>
      </x:c>
      <x:c r="M552" s="121" t="n">
        <x:v>0</x:v>
      </x:c>
      <x:c r="N552" s="121" t="n">
        <x:v>0</x:v>
      </x:c>
      <x:c r="O552" s="121" t="n">
        <x:v>0</x:v>
      </x:c>
      <x:c r="P552" s="121" t="n">
        <x:v>0</x:v>
      </x:c>
      <x:c r="Q552" s="121" t="n">
        <x:v>0</x:v>
      </x:c>
    </x:row>
    <x:row r="553">
      <x:c r="A553" t="n">
        <x:v>100000</x:v>
      </x:c>
      <x:c r="B553" t="n">
        <x:v>20000</x:v>
      </x:c>
      <x:c r="C553" t="n">
        <x:v>20260707</x:v>
      </x:c>
      <x:c r="D553" t="str">
        <x:v>R9</x:v>
      </x:c>
      <x:c r="E553" t="str">
        <x:v>61–90</x:v>
      </x:c>
      <x:c r="F553" s="121" t="n">
        <x:v>2.5</x:v>
      </x:c>
      <x:c r="G553" s="121" t="n">
        <x:v>12</x:v>
      </x:c>
      <x:c r="H553" s="121" t="n">
        <x:v>0.125</x:v>
      </x:c>
      <x:c r="I553" s="121" t="n">
        <x:v>100</x:v>
      </x:c>
      <x:c r="J553" s="121" t="n">
        <x:v>73.225</x:v>
      </x:c>
      <x:c r="K553" s="121" t="n">
        <x:v>73.225</x:v>
      </x:c>
      <x:c r="L553" s="121" t="n">
        <x:v>2.98</x:v>
      </x:c>
      <x:c r="M553" s="121" t="n">
        <x:v>0</x:v>
      </x:c>
      <x:c r="N553" s="121" t="n">
        <x:v>0</x:v>
      </x:c>
      <x:c r="O553" s="121" t="n">
        <x:v>0</x:v>
      </x:c>
      <x:c r="P553" s="121" t="n">
        <x:v>0</x:v>
      </x:c>
      <x:c r="Q553" s="121" t="n">
        <x:v>0</x:v>
      </x:c>
    </x:row>
    <x:row r="554">
      <x:c r="A554" t="n">
        <x:v>100000</x:v>
      </x:c>
      <x:c r="B554" t="n">
        <x:v>20000</x:v>
      </x:c>
      <x:c r="C554" t="n">
        <x:v>20260707</x:v>
      </x:c>
      <x:c r="D554" t="str">
        <x:v>R9</x:v>
      </x:c>
      <x:c r="E554" t="str">
        <x:v>61–90</x:v>
      </x:c>
      <x:c r="F554" s="121" t="n">
        <x:v>2.5</x:v>
      </x:c>
      <x:c r="G554" s="121" t="n">
        <x:v>12</x:v>
      </x:c>
      <x:c r="H554" s="121" t="n">
        <x:v>0.25</x:v>
      </x:c>
      <x:c r="I554" s="121" t="n">
        <x:v>100</x:v>
      </x:c>
      <x:c r="J554" s="121" t="n">
        <x:v>73.225</x:v>
      </x:c>
      <x:c r="K554" s="121" t="n">
        <x:v>73.225</x:v>
      </x:c>
      <x:c r="L554" s="121" t="n">
        <x:v>2.98</x:v>
      </x:c>
      <x:c r="M554" s="121" t="n">
        <x:v>0</x:v>
      </x:c>
      <x:c r="N554" s="121" t="n">
        <x:v>0</x:v>
      </x:c>
      <x:c r="O554" s="121" t="n">
        <x:v>0</x:v>
      </x:c>
      <x:c r="P554" s="121" t="n">
        <x:v>0</x:v>
      </x:c>
      <x:c r="Q554" s="121" t="n">
        <x:v>0</x:v>
      </x:c>
    </x:row>
    <x:row r="555">
      <x:c r="A555" t="n">
        <x:v>100000</x:v>
      </x:c>
      <x:c r="B555" t="n">
        <x:v>20000</x:v>
      </x:c>
      <x:c r="C555" t="n">
        <x:v>20260707</x:v>
      </x:c>
      <x:c r="D555" t="str">
        <x:v>R9</x:v>
      </x:c>
      <x:c r="E555" t="str">
        <x:v>61–90</x:v>
      </x:c>
      <x:c r="F555" s="121" t="n">
        <x:v>2.5</x:v>
      </x:c>
      <x:c r="G555" s="121" t="n">
        <x:v>12</x:v>
      </x:c>
      <x:c r="H555" s="121" t="n">
        <x:v>0.5</x:v>
      </x:c>
      <x:c r="I555" s="121" t="n">
        <x:v>99.995</x:v>
      </x:c>
      <x:c r="J555" s="121" t="n">
        <x:v>73.225</x:v>
      </x:c>
      <x:c r="K555" s="121" t="n">
        <x:v>73.225</x:v>
      </x:c>
      <x:c r="L555" s="121" t="n">
        <x:v>2.98</x:v>
      </x:c>
      <x:c r="M555" s="121" t="n">
        <x:v>0</x:v>
      </x:c>
      <x:c r="N555" s="121" t="n">
        <x:v>0</x:v>
      </x:c>
      <x:c r="O555" s="121" t="n">
        <x:v>0</x:v>
      </x:c>
      <x:c r="P555" s="121" t="n">
        <x:v>0</x:v>
      </x:c>
      <x:c r="Q555" s="121" t="n">
        <x:v>0</x:v>
      </x:c>
    </x:row>
    <x:row r="556">
      <x:c r="A556" t="n">
        <x:v>100000</x:v>
      </x:c>
      <x:c r="B556" t="n">
        <x:v>20000</x:v>
      </x:c>
      <x:c r="C556" t="n">
        <x:v>20260707</x:v>
      </x:c>
      <x:c r="D556" t="str">
        <x:v>R9</x:v>
      </x:c>
      <x:c r="E556" t="str">
        <x:v>61–90</x:v>
      </x:c>
      <x:c r="F556" s="121" t="n">
        <x:v>2.5</x:v>
      </x:c>
      <x:c r="G556" s="121" t="n">
        <x:v>12</x:v>
      </x:c>
      <x:c r="H556" s="121" t="n">
        <x:v>1</x:v>
      </x:c>
      <x:c r="I556" s="121" t="n">
        <x:v>99.91499999999999</x:v>
      </x:c>
      <x:c r="J556" s="121" t="n">
        <x:v>73.225</x:v>
      </x:c>
      <x:c r="K556" s="121" t="n">
        <x:v>73.225</x:v>
      </x:c>
      <x:c r="L556" s="121" t="n">
        <x:v>2.98</x:v>
      </x:c>
      <x:c r="M556" s="121" t="n">
        <x:v>0</x:v>
      </x:c>
      <x:c r="N556" s="121" t="n">
        <x:v>0</x:v>
      </x:c>
      <x:c r="O556" s="121" t="n">
        <x:v>0</x:v>
      </x:c>
      <x:c r="P556" s="121" t="n">
        <x:v>0</x:v>
      </x:c>
      <x:c r="Q556" s="121" t="n">
        <x:v>0</x:v>
      </x:c>
    </x:row>
    <x:row r="557">
      <x:c r="A557" t="n">
        <x:v>100000</x:v>
      </x:c>
      <x:c r="B557" t="n">
        <x:v>20000</x:v>
      </x:c>
      <x:c r="C557" t="n">
        <x:v>20260707</x:v>
      </x:c>
      <x:c r="D557" t="str">
        <x:v>R9</x:v>
      </x:c>
      <x:c r="E557" t="str">
        <x:v>61–90</x:v>
      </x:c>
      <x:c r="F557" s="121" t="n">
        <x:v>2.5</x:v>
      </x:c>
      <x:c r="G557" s="121" t="n">
        <x:v>12</x:v>
      </x:c>
      <x:c r="H557" s="121" t="n">
        <x:v>2</x:v>
      </x:c>
      <x:c r="I557" s="121" t="n">
        <x:v>97.315</x:v>
      </x:c>
      <x:c r="J557" s="121" t="n">
        <x:v>73.225</x:v>
      </x:c>
      <x:c r="K557" s="121" t="n">
        <x:v>73.225</x:v>
      </x:c>
      <x:c r="L557" s="121" t="n">
        <x:v>2.98</x:v>
      </x:c>
      <x:c r="M557" s="121" t="n">
        <x:v>0</x:v>
      </x:c>
      <x:c r="N557" s="121" t="n">
        <x:v>0</x:v>
      </x:c>
      <x:c r="O557" s="121" t="n">
        <x:v>0</x:v>
      </x:c>
      <x:c r="P557" s="121" t="n">
        <x:v>0</x:v>
      </x:c>
      <x:c r="Q557" s="121" t="n">
        <x:v>0</x:v>
      </x:c>
    </x:row>
    <x:row r="558">
      <x:c r="A558" t="n">
        <x:v>100000</x:v>
      </x:c>
      <x:c r="B558" t="n">
        <x:v>20000</x:v>
      </x:c>
      <x:c r="C558" t="n">
        <x:v>20260707</x:v>
      </x:c>
      <x:c r="D558" t="str">
        <x:v>R9</x:v>
      </x:c>
      <x:c r="E558" t="str">
        <x:v>61–90</x:v>
      </x:c>
      <x:c r="F558" s="121" t="n">
        <x:v>2.5</x:v>
      </x:c>
      <x:c r="G558" s="121" t="n">
        <x:v>12</x:v>
      </x:c>
      <x:c r="H558" s="121" t="n">
        <x:v>4</x:v>
      </x:c>
      <x:c r="I558" s="121" t="n">
        <x:v>79.83</x:v>
      </x:c>
      <x:c r="J558" s="121" t="n">
        <x:v>73.225</x:v>
      </x:c>
      <x:c r="K558" s="121" t="n">
        <x:v>71.64500000000001</x:v>
      </x:c>
      <x:c r="L558" s="121" t="n">
        <x:v>2.98</x:v>
      </x:c>
      <x:c r="M558" s="121" t="n">
        <x:v>0</x:v>
      </x:c>
      <x:c r="N558" s="121" t="n">
        <x:v>0</x:v>
      </x:c>
      <x:c r="O558" s="121" t="n">
        <x:v>0</x:v>
      </x:c>
      <x:c r="P558" s="121" t="n">
        <x:v>0</x:v>
      </x:c>
      <x:c r="Q558" s="121" t="n">
        <x:v>0</x:v>
      </x:c>
    </x:row>
    <x:row r="559">
      <x:c r="A559" t="n">
        <x:v>100000</x:v>
      </x:c>
      <x:c r="B559" t="n">
        <x:v>20000</x:v>
      </x:c>
      <x:c r="C559" t="n">
        <x:v>20260707</x:v>
      </x:c>
      <x:c r="D559" t="str">
        <x:v>R9</x:v>
      </x:c>
      <x:c r="E559" t="str">
        <x:v>61–90</x:v>
      </x:c>
      <x:c r="F559" s="121" t="n">
        <x:v>2.5</x:v>
      </x:c>
      <x:c r="G559" s="121" t="n">
        <x:v>12</x:v>
      </x:c>
      <x:c r="H559" s="121" t="n">
        <x:v>8</x:v>
      </x:c>
      <x:c r="I559" s="121" t="n">
        <x:v>40.085</x:v>
      </x:c>
      <x:c r="J559" s="121" t="n">
        <x:v>73.225</x:v>
      </x:c>
      <x:c r="K559" s="121" t="n">
        <x:v>40.08</x:v>
      </x:c>
      <x:c r="L559" s="121" t="n">
        <x:v>2.98</x:v>
      </x:c>
      <x:c r="M559" s="121" t="n">
        <x:v>0</x:v>
      </x:c>
      <x:c r="N559" s="121" t="n">
        <x:v>0</x:v>
      </x:c>
      <x:c r="O559" s="121" t="n">
        <x:v>0</x:v>
      </x:c>
      <x:c r="P559" s="121" t="n">
        <x:v>0</x:v>
      </x:c>
      <x:c r="Q559" s="121" t="n">
        <x:v>0</x:v>
      </x:c>
    </x:row>
    <x:row r="560">
      <x:c r="A560" t="n">
        <x:v>100000</x:v>
      </x:c>
      <x:c r="B560" t="n">
        <x:v>20000</x:v>
      </x:c>
      <x:c r="C560" t="n">
        <x:v>20260707</x:v>
      </x:c>
      <x:c r="D560" t="str">
        <x:v>R9</x:v>
      </x:c>
      <x:c r="E560" t="str">
        <x:v>61–90</x:v>
      </x:c>
      <x:c r="F560" s="121" t="n">
        <x:v>2.5</x:v>
      </x:c>
      <x:c r="G560" s="121" t="n">
        <x:v>12</x:v>
      </x:c>
      <x:c r="H560" s="121" t="n">
        <x:v>16</x:v>
      </x:c>
      <x:c r="I560" s="121" t="n">
        <x:v>8.53</x:v>
      </x:c>
      <x:c r="J560" s="121" t="n">
        <x:v>73.225</x:v>
      </x:c>
      <x:c r="K560" s="121" t="n">
        <x:v>8.53</x:v>
      </x:c>
      <x:c r="L560" s="121" t="n">
        <x:v>2.98</x:v>
      </x:c>
      <x:c r="M560" s="121" t="n">
        <x:v>0</x:v>
      </x:c>
      <x:c r="N560" s="121" t="n">
        <x:v>0</x:v>
      </x:c>
      <x:c r="O560" s="121" t="n">
        <x:v>0</x:v>
      </x:c>
      <x:c r="P560" s="121" t="n">
        <x:v>0</x:v>
      </x:c>
      <x:c r="Q560" s="121" t="n">
        <x:v>0</x:v>
      </x:c>
    </x:row>
    <x:row r="561">
      <x:c r="A561" t="n">
        <x:v>100000</x:v>
      </x:c>
      <x:c r="B561" t="n">
        <x:v>20000</x:v>
      </x:c>
      <x:c r="C561" t="n">
        <x:v>20260707</x:v>
      </x:c>
      <x:c r="D561" t="str">
        <x:v>R9</x:v>
      </x:c>
      <x:c r="E561" t="str">
        <x:v>61–90</x:v>
      </x:c>
      <x:c r="F561" s="121" t="n">
        <x:v>2.5</x:v>
      </x:c>
      <x:c r="G561" s="121" t="n">
        <x:v>12</x:v>
      </x:c>
      <x:c r="H561" s="121" t="n">
        <x:v>32</x:v>
      </x:c>
      <x:c r="I561" s="121" t="n">
        <x:v>0.62</x:v>
      </x:c>
      <x:c r="J561" s="121" t="n">
        <x:v>73.225</x:v>
      </x:c>
      <x:c r="K561" s="121" t="n">
        <x:v>0.62</x:v>
      </x:c>
      <x:c r="L561" s="121" t="n">
        <x:v>2.98</x:v>
      </x:c>
      <x:c r="M561" s="121" t="n">
        <x:v>0</x:v>
      </x:c>
      <x:c r="N561" s="121" t="n">
        <x:v>0</x:v>
      </x:c>
      <x:c r="O561" s="121" t="n">
        <x:v>0</x:v>
      </x:c>
      <x:c r="P561" s="121" t="n">
        <x:v>0</x:v>
      </x:c>
      <x:c r="Q561" s="121" t="n">
        <x:v>0</x:v>
      </x:c>
    </x:row>
    <x:row r="562">
      <x:c r="A562" t="n">
        <x:v>100000</x:v>
      </x:c>
      <x:c r="B562" t="n">
        <x:v>20000</x:v>
      </x:c>
      <x:c r="C562" t="n">
        <x:v>20260707</x:v>
      </x:c>
      <x:c r="D562" t="str">
        <x:v>R9</x:v>
      </x:c>
      <x:c r="E562" t="str">
        <x:v>61–90</x:v>
      </x:c>
      <x:c r="F562" s="121" t="n">
        <x:v>2.5</x:v>
      </x:c>
      <x:c r="G562" s="121" t="n">
        <x:v>12</x:v>
      </x:c>
      <x:c r="H562" s="121" t="n">
        <x:v>64</x:v>
      </x:c>
      <x:c r="I562" s="121" t="n">
        <x:v>0.04</x:v>
      </x:c>
      <x:c r="J562" s="121" t="n">
        <x:v>73.225</x:v>
      </x:c>
      <x:c r="K562" s="121" t="n">
        <x:v>0.04</x:v>
      </x:c>
      <x:c r="L562" s="121" t="n">
        <x:v>2.98</x:v>
      </x:c>
      <x:c r="M562" s="121" t="n">
        <x:v>0</x:v>
      </x:c>
      <x:c r="N562" s="121" t="n">
        <x:v>0</x:v>
      </x:c>
      <x:c r="O562" s="121" t="n">
        <x:v>0</x:v>
      </x:c>
      <x:c r="P562" s="121" t="n">
        <x:v>0</x:v>
      </x:c>
      <x:c r="Q562" s="121" t="n">
        <x:v>0</x:v>
      </x:c>
    </x:row>
    <x:row r="563">
      <x:c r="A563" t="n">
        <x:v>100000</x:v>
      </x:c>
      <x:c r="B563" t="n">
        <x:v>20000</x:v>
      </x:c>
      <x:c r="C563" t="n">
        <x:v>20260707</x:v>
      </x:c>
      <x:c r="D563" t="str">
        <x:v>R10</x:v>
      </x:c>
      <x:c r="E563" t="str">
        <x:v>61–90</x:v>
      </x:c>
      <x:c r="F563" s="121" t="n">
        <x:v>2.5</x:v>
      </x:c>
      <x:c r="G563" s="121" t="n">
        <x:v>8</x:v>
      </x:c>
      <x:c r="H563" s="121" t="n">
        <x:v>0.0625</x:v>
      </x:c>
      <x:c r="I563" s="121" t="n">
        <x:v>100</x:v>
      </x:c>
      <x:c r="J563" s="121" t="n">
        <x:v>88.405</x:v>
      </x:c>
      <x:c r="K563" s="121" t="n">
        <x:v>88.405</x:v>
      </x:c>
      <x:c r="L563" s="121" t="n">
        <x:v>10.89</x:v>
      </x:c>
      <x:c r="M563" s="121" t="n">
        <x:v>0</x:v>
      </x:c>
      <x:c r="N563" s="121" t="n">
        <x:v>0</x:v>
      </x:c>
      <x:c r="O563" s="121" t="n">
        <x:v>0</x:v>
      </x:c>
      <x:c r="P563" s="121" t="n">
        <x:v>0</x:v>
      </x:c>
      <x:c r="Q563" s="121" t="n">
        <x:v>0</x:v>
      </x:c>
    </x:row>
    <x:row r="564">
      <x:c r="A564" t="n">
        <x:v>100000</x:v>
      </x:c>
      <x:c r="B564" t="n">
        <x:v>20000</x:v>
      </x:c>
      <x:c r="C564" t="n">
        <x:v>20260707</x:v>
      </x:c>
      <x:c r="D564" t="str">
        <x:v>R10</x:v>
      </x:c>
      <x:c r="E564" t="str">
        <x:v>61–90</x:v>
      </x:c>
      <x:c r="F564" s="121" t="n">
        <x:v>2.5</x:v>
      </x:c>
      <x:c r="G564" s="121" t="n">
        <x:v>8</x:v>
      </x:c>
      <x:c r="H564" s="121" t="n">
        <x:v>0.125</x:v>
      </x:c>
      <x:c r="I564" s="121" t="n">
        <x:v>100</x:v>
      </x:c>
      <x:c r="J564" s="121" t="n">
        <x:v>88.405</x:v>
      </x:c>
      <x:c r="K564" s="121" t="n">
        <x:v>88.405</x:v>
      </x:c>
      <x:c r="L564" s="121" t="n">
        <x:v>10.89</x:v>
      </x:c>
      <x:c r="M564" s="121" t="n">
        <x:v>0</x:v>
      </x:c>
      <x:c r="N564" s="121" t="n">
        <x:v>0</x:v>
      </x:c>
      <x:c r="O564" s="121" t="n">
        <x:v>0</x:v>
      </x:c>
      <x:c r="P564" s="121" t="n">
        <x:v>0</x:v>
      </x:c>
      <x:c r="Q564" s="121" t="n">
        <x:v>0</x:v>
      </x:c>
    </x:row>
    <x:row r="565">
      <x:c r="A565" t="n">
        <x:v>100000</x:v>
      </x:c>
      <x:c r="B565" t="n">
        <x:v>20000</x:v>
      </x:c>
      <x:c r="C565" t="n">
        <x:v>20260707</x:v>
      </x:c>
      <x:c r="D565" t="str">
        <x:v>R10</x:v>
      </x:c>
      <x:c r="E565" t="str">
        <x:v>61–90</x:v>
      </x:c>
      <x:c r="F565" s="121" t="n">
        <x:v>2.5</x:v>
      </x:c>
      <x:c r="G565" s="121" t="n">
        <x:v>8</x:v>
      </x:c>
      <x:c r="H565" s="121" t="n">
        <x:v>0.25</x:v>
      </x:c>
      <x:c r="I565" s="121" t="n">
        <x:v>100</x:v>
      </x:c>
      <x:c r="J565" s="121" t="n">
        <x:v>88.405</x:v>
      </x:c>
      <x:c r="K565" s="121" t="n">
        <x:v>88.405</x:v>
      </x:c>
      <x:c r="L565" s="121" t="n">
        <x:v>10.89</x:v>
      </x:c>
      <x:c r="M565" s="121" t="n">
        <x:v>0</x:v>
      </x:c>
      <x:c r="N565" s="121" t="n">
        <x:v>0</x:v>
      </x:c>
      <x:c r="O565" s="121" t="n">
        <x:v>0</x:v>
      </x:c>
      <x:c r="P565" s="121" t="n">
        <x:v>0</x:v>
      </x:c>
      <x:c r="Q565" s="121" t="n">
        <x:v>0</x:v>
      </x:c>
    </x:row>
    <x:row r="566">
      <x:c r="A566" t="n">
        <x:v>100000</x:v>
      </x:c>
      <x:c r="B566" t="n">
        <x:v>20000</x:v>
      </x:c>
      <x:c r="C566" t="n">
        <x:v>20260707</x:v>
      </x:c>
      <x:c r="D566" t="str">
        <x:v>R10</x:v>
      </x:c>
      <x:c r="E566" t="str">
        <x:v>61–90</x:v>
      </x:c>
      <x:c r="F566" s="121" t="n">
        <x:v>2.5</x:v>
      </x:c>
      <x:c r="G566" s="121" t="n">
        <x:v>8</x:v>
      </x:c>
      <x:c r="H566" s="121" t="n">
        <x:v>0.5</x:v>
      </x:c>
      <x:c r="I566" s="121" t="n">
        <x:v>100</x:v>
      </x:c>
      <x:c r="J566" s="121" t="n">
        <x:v>88.405</x:v>
      </x:c>
      <x:c r="K566" s="121" t="n">
        <x:v>88.405</x:v>
      </x:c>
      <x:c r="L566" s="121" t="n">
        <x:v>10.89</x:v>
      </x:c>
      <x:c r="M566" s="121" t="n">
        <x:v>0</x:v>
      </x:c>
      <x:c r="N566" s="121" t="n">
        <x:v>0</x:v>
      </x:c>
      <x:c r="O566" s="121" t="n">
        <x:v>0</x:v>
      </x:c>
      <x:c r="P566" s="121" t="n">
        <x:v>0</x:v>
      </x:c>
      <x:c r="Q566" s="121" t="n">
        <x:v>0</x:v>
      </x:c>
    </x:row>
    <x:row r="567">
      <x:c r="A567" t="n">
        <x:v>100000</x:v>
      </x:c>
      <x:c r="B567" t="n">
        <x:v>20000</x:v>
      </x:c>
      <x:c r="C567" t="n">
        <x:v>20260707</x:v>
      </x:c>
      <x:c r="D567" t="str">
        <x:v>R10</x:v>
      </x:c>
      <x:c r="E567" t="str">
        <x:v>61–90</x:v>
      </x:c>
      <x:c r="F567" s="121" t="n">
        <x:v>2.5</x:v>
      </x:c>
      <x:c r="G567" s="121" t="n">
        <x:v>8</x:v>
      </x:c>
      <x:c r="H567" s="121" t="n">
        <x:v>1</x:v>
      </x:c>
      <x:c r="I567" s="121" t="n">
        <x:v>99.995</x:v>
      </x:c>
      <x:c r="J567" s="121" t="n">
        <x:v>88.405</x:v>
      </x:c>
      <x:c r="K567" s="121" t="n">
        <x:v>88.405</x:v>
      </x:c>
      <x:c r="L567" s="121" t="n">
        <x:v>10.89</x:v>
      </x:c>
      <x:c r="M567" s="121" t="n">
        <x:v>0</x:v>
      </x:c>
      <x:c r="N567" s="121" t="n">
        <x:v>0</x:v>
      </x:c>
      <x:c r="O567" s="121" t="n">
        <x:v>0</x:v>
      </x:c>
      <x:c r="P567" s="121" t="n">
        <x:v>0</x:v>
      </x:c>
      <x:c r="Q567" s="121" t="n">
        <x:v>0</x:v>
      </x:c>
    </x:row>
    <x:row r="568">
      <x:c r="A568" t="n">
        <x:v>100000</x:v>
      </x:c>
      <x:c r="B568" t="n">
        <x:v>20000</x:v>
      </x:c>
      <x:c r="C568" t="n">
        <x:v>20260707</x:v>
      </x:c>
      <x:c r="D568" t="str">
        <x:v>R10</x:v>
      </x:c>
      <x:c r="E568" t="str">
        <x:v>61–90</x:v>
      </x:c>
      <x:c r="F568" s="121" t="n">
        <x:v>2.5</x:v>
      </x:c>
      <x:c r="G568" s="121" t="n">
        <x:v>8</x:v>
      </x:c>
      <x:c r="H568" s="121" t="n">
        <x:v>2</x:v>
      </x:c>
      <x:c r="I568" s="121" t="n">
        <x:v>99.555</x:v>
      </x:c>
      <x:c r="J568" s="121" t="n">
        <x:v>88.405</x:v>
      </x:c>
      <x:c r="K568" s="121" t="n">
        <x:v>88.405</x:v>
      </x:c>
      <x:c r="L568" s="121" t="n">
        <x:v>10.89</x:v>
      </x:c>
      <x:c r="M568" s="121" t="n">
        <x:v>0</x:v>
      </x:c>
      <x:c r="N568" s="121" t="n">
        <x:v>0</x:v>
      </x:c>
      <x:c r="O568" s="121" t="n">
        <x:v>0</x:v>
      </x:c>
      <x:c r="P568" s="121" t="n">
        <x:v>0</x:v>
      </x:c>
      <x:c r="Q568" s="121" t="n">
        <x:v>0</x:v>
      </x:c>
    </x:row>
    <x:row r="569">
      <x:c r="A569" t="n">
        <x:v>100000</x:v>
      </x:c>
      <x:c r="B569" t="n">
        <x:v>20000</x:v>
      </x:c>
      <x:c r="C569" t="n">
        <x:v>20260707</x:v>
      </x:c>
      <x:c r="D569" t="str">
        <x:v>R10</x:v>
      </x:c>
      <x:c r="E569" t="str">
        <x:v>61–90</x:v>
      </x:c>
      <x:c r="F569" s="121" t="n">
        <x:v>2.5</x:v>
      </x:c>
      <x:c r="G569" s="121" t="n">
        <x:v>8</x:v>
      </x:c>
      <x:c r="H569" s="121" t="n">
        <x:v>4</x:v>
      </x:c>
      <x:c r="I569" s="121" t="n">
        <x:v>93.105</x:v>
      </x:c>
      <x:c r="J569" s="121" t="n">
        <x:v>88.405</x:v>
      </x:c>
      <x:c r="K569" s="121" t="n">
        <x:v>87.76</x:v>
      </x:c>
      <x:c r="L569" s="121" t="n">
        <x:v>10.89</x:v>
      </x:c>
      <x:c r="M569" s="121" t="n">
        <x:v>0</x:v>
      </x:c>
      <x:c r="N569" s="121" t="n">
        <x:v>0</x:v>
      </x:c>
      <x:c r="O569" s="121" t="n">
        <x:v>0</x:v>
      </x:c>
      <x:c r="P569" s="121" t="n">
        <x:v>0</x:v>
      </x:c>
      <x:c r="Q569" s="121" t="n">
        <x:v>0</x:v>
      </x:c>
    </x:row>
    <x:row r="570">
      <x:c r="A570" t="n">
        <x:v>100000</x:v>
      </x:c>
      <x:c r="B570" t="n">
        <x:v>20000</x:v>
      </x:c>
      <x:c r="C570" t="n">
        <x:v>20260707</x:v>
      </x:c>
      <x:c r="D570" t="str">
        <x:v>R10</x:v>
      </x:c>
      <x:c r="E570" t="str">
        <x:v>61–90</x:v>
      </x:c>
      <x:c r="F570" s="121" t="n">
        <x:v>2.5</x:v>
      </x:c>
      <x:c r="G570" s="121" t="n">
        <x:v>8</x:v>
      </x:c>
      <x:c r="H570" s="121" t="n">
        <x:v>8</x:v>
      </x:c>
      <x:c r="I570" s="121" t="n">
        <x:v>64.945</x:v>
      </x:c>
      <x:c r="J570" s="121" t="n">
        <x:v>88.405</x:v>
      </x:c>
      <x:c r="K570" s="121" t="n">
        <x:v>64.92999999999999</x:v>
      </x:c>
      <x:c r="L570" s="121" t="n">
        <x:v>10.89</x:v>
      </x:c>
      <x:c r="M570" s="121" t="n">
        <x:v>0</x:v>
      </x:c>
      <x:c r="N570" s="121" t="n">
        <x:v>0</x:v>
      </x:c>
      <x:c r="O570" s="121" t="n">
        <x:v>0</x:v>
      </x:c>
      <x:c r="P570" s="121" t="n">
        <x:v>0</x:v>
      </x:c>
      <x:c r="Q570" s="121" t="n">
        <x:v>0</x:v>
      </x:c>
    </x:row>
    <x:row r="571">
      <x:c r="A571" t="n">
        <x:v>100000</x:v>
      </x:c>
      <x:c r="B571" t="n">
        <x:v>20000</x:v>
      </x:c>
      <x:c r="C571" t="n">
        <x:v>20260707</x:v>
      </x:c>
      <x:c r="D571" t="str">
        <x:v>R10</x:v>
      </x:c>
      <x:c r="E571" t="str">
        <x:v>61–90</x:v>
      </x:c>
      <x:c r="F571" s="121" t="n">
        <x:v>2.5</x:v>
      </x:c>
      <x:c r="G571" s="121" t="n">
        <x:v>8</x:v>
      </x:c>
      <x:c r="H571" s="121" t="n">
        <x:v>16</x:v>
      </x:c>
      <x:c r="I571" s="121" t="n">
        <x:v>23.75</x:v>
      </x:c>
      <x:c r="J571" s="121" t="n">
        <x:v>88.405</x:v>
      </x:c>
      <x:c r="K571" s="121" t="n">
        <x:v>23.75</x:v>
      </x:c>
      <x:c r="L571" s="121" t="n">
        <x:v>10.89</x:v>
      </x:c>
      <x:c r="M571" s="121" t="n">
        <x:v>0</x:v>
      </x:c>
      <x:c r="N571" s="121" t="n">
        <x:v>0</x:v>
      </x:c>
      <x:c r="O571" s="121" t="n">
        <x:v>0</x:v>
      </x:c>
      <x:c r="P571" s="121" t="n">
        <x:v>0</x:v>
      </x:c>
      <x:c r="Q571" s="121" t="n">
        <x:v>0</x:v>
      </x:c>
    </x:row>
    <x:row r="572">
      <x:c r="A572" t="n">
        <x:v>100000</x:v>
      </x:c>
      <x:c r="B572" t="n">
        <x:v>20000</x:v>
      </x:c>
      <x:c r="C572" t="n">
        <x:v>20260707</x:v>
      </x:c>
      <x:c r="D572" t="str">
        <x:v>R10</x:v>
      </x:c>
      <x:c r="E572" t="str">
        <x:v>61–90</x:v>
      </x:c>
      <x:c r="F572" s="121" t="n">
        <x:v>2.5</x:v>
      </x:c>
      <x:c r="G572" s="121" t="n">
        <x:v>8</x:v>
      </x:c>
      <x:c r="H572" s="121" t="n">
        <x:v>32</x:v>
      </x:c>
      <x:c r="I572" s="121" t="n">
        <x:v>3.485</x:v>
      </x:c>
      <x:c r="J572" s="121" t="n">
        <x:v>88.405</x:v>
      </x:c>
      <x:c r="K572" s="121" t="n">
        <x:v>3.485</x:v>
      </x:c>
      <x:c r="L572" s="121" t="n">
        <x:v>10.89</x:v>
      </x:c>
      <x:c r="M572" s="121" t="n">
        <x:v>0</x:v>
      </x:c>
      <x:c r="N572" s="121" t="n">
        <x:v>0</x:v>
      </x:c>
      <x:c r="O572" s="121" t="n">
        <x:v>0</x:v>
      </x:c>
      <x:c r="P572" s="121" t="n">
        <x:v>0</x:v>
      </x:c>
      <x:c r="Q572" s="121" t="n">
        <x:v>0</x:v>
      </x:c>
    </x:row>
    <x:row r="573">
      <x:c r="A573" t="n">
        <x:v>100000</x:v>
      </x:c>
      <x:c r="B573" t="n">
        <x:v>20000</x:v>
      </x:c>
      <x:c r="C573" t="n">
        <x:v>20260707</x:v>
      </x:c>
      <x:c r="D573" t="str">
        <x:v>R10</x:v>
      </x:c>
      <x:c r="E573" t="str">
        <x:v>61–90</x:v>
      </x:c>
      <x:c r="F573" s="121" t="n">
        <x:v>2.5</x:v>
      </x:c>
      <x:c r="G573" s="121" t="n">
        <x:v>8</x:v>
      </x:c>
      <x:c r="H573" s="121" t="n">
        <x:v>64</x:v>
      </x:c>
      <x:c r="I573" s="121" t="n">
        <x:v>0.11499999999999999</x:v>
      </x:c>
      <x:c r="J573" s="121" t="n">
        <x:v>88.405</x:v>
      </x:c>
      <x:c r="K573" s="121" t="n">
        <x:v>0.11499999999999999</x:v>
      </x:c>
      <x:c r="L573" s="121" t="n">
        <x:v>10.89</x:v>
      </x:c>
      <x:c r="M573" s="121" t="n">
        <x:v>0</x:v>
      </x:c>
      <x:c r="N573" s="121" t="n">
        <x:v>0</x:v>
      </x:c>
      <x:c r="O573" s="121" t="n">
        <x:v>0</x:v>
      </x:c>
      <x:c r="P573" s="121" t="n">
        <x:v>0</x:v>
      </x:c>
      <x:c r="Q573" s="121" t="n">
        <x:v>0</x:v>
      </x:c>
    </x:row>
    <x:row r="574">
      <x:c r="A574" t="n">
        <x:v>100000</x:v>
      </x:c>
      <x:c r="B574" t="n">
        <x:v>20000</x:v>
      </x:c>
      <x:c r="C574" t="n">
        <x:v>20260707</x:v>
      </x:c>
      <x:c r="D574" t="str">
        <x:v>R11</x:v>
      </x:c>
      <x:c r="E574" t="str">
        <x:v>91–120</x:v>
      </x:c>
      <x:c r="F574" s="121" t="n">
        <x:v>2.5</x:v>
      </x:c>
      <x:c r="G574" s="121" t="n">
        <x:v>8</x:v>
      </x:c>
      <x:c r="H574" s="121" t="n">
        <x:v>0.0625</x:v>
      </x:c>
      <x:c r="I574" s="121" t="n">
        <x:v>100</x:v>
      </x:c>
      <x:c r="J574" s="121" t="n">
        <x:v>78.18</x:v>
      </x:c>
      <x:c r="K574" s="121" t="n">
        <x:v>78.18</x:v>
      </x:c>
      <x:c r="L574" s="121" t="n">
        <x:v>5.1499999999999995</x:v>
      </x:c>
      <x:c r="M574" s="121" t="n">
        <x:v>0</x:v>
      </x:c>
      <x:c r="N574" s="121" t="n">
        <x:v>0</x:v>
      </x:c>
      <x:c r="O574" s="121" t="n">
        <x:v>0</x:v>
      </x:c>
      <x:c r="P574" s="121" t="n">
        <x:v>0</x:v>
      </x:c>
      <x:c r="Q574" s="121" t="n">
        <x:v>0</x:v>
      </x:c>
    </x:row>
    <x:row r="575">
      <x:c r="A575" t="n">
        <x:v>100000</x:v>
      </x:c>
      <x:c r="B575" t="n">
        <x:v>20000</x:v>
      </x:c>
      <x:c r="C575" t="n">
        <x:v>20260707</x:v>
      </x:c>
      <x:c r="D575" t="str">
        <x:v>R11</x:v>
      </x:c>
      <x:c r="E575" t="str">
        <x:v>91–120</x:v>
      </x:c>
      <x:c r="F575" s="121" t="n">
        <x:v>2.5</x:v>
      </x:c>
      <x:c r="G575" s="121" t="n">
        <x:v>8</x:v>
      </x:c>
      <x:c r="H575" s="121" t="n">
        <x:v>0.125</x:v>
      </x:c>
      <x:c r="I575" s="121" t="n">
        <x:v>100</x:v>
      </x:c>
      <x:c r="J575" s="121" t="n">
        <x:v>78.18</x:v>
      </x:c>
      <x:c r="K575" s="121" t="n">
        <x:v>78.18</x:v>
      </x:c>
      <x:c r="L575" s="121" t="n">
        <x:v>5.1499999999999995</x:v>
      </x:c>
      <x:c r="M575" s="121" t="n">
        <x:v>0</x:v>
      </x:c>
      <x:c r="N575" s="121" t="n">
        <x:v>0</x:v>
      </x:c>
      <x:c r="O575" s="121" t="n">
        <x:v>0</x:v>
      </x:c>
      <x:c r="P575" s="121" t="n">
        <x:v>0</x:v>
      </x:c>
      <x:c r="Q575" s="121" t="n">
        <x:v>0</x:v>
      </x:c>
    </x:row>
    <x:row r="576">
      <x:c r="A576" t="n">
        <x:v>100000</x:v>
      </x:c>
      <x:c r="B576" t="n">
        <x:v>20000</x:v>
      </x:c>
      <x:c r="C576" t="n">
        <x:v>20260707</x:v>
      </x:c>
      <x:c r="D576" t="str">
        <x:v>R11</x:v>
      </x:c>
      <x:c r="E576" t="str">
        <x:v>91–120</x:v>
      </x:c>
      <x:c r="F576" s="121" t="n">
        <x:v>2.5</x:v>
      </x:c>
      <x:c r="G576" s="121" t="n">
        <x:v>8</x:v>
      </x:c>
      <x:c r="H576" s="121" t="n">
        <x:v>0.25</x:v>
      </x:c>
      <x:c r="I576" s="121" t="n">
        <x:v>100</x:v>
      </x:c>
      <x:c r="J576" s="121" t="n">
        <x:v>78.18</x:v>
      </x:c>
      <x:c r="K576" s="121" t="n">
        <x:v>78.18</x:v>
      </x:c>
      <x:c r="L576" s="121" t="n">
        <x:v>5.1499999999999995</x:v>
      </x:c>
      <x:c r="M576" s="121" t="n">
        <x:v>0</x:v>
      </x:c>
      <x:c r="N576" s="121" t="n">
        <x:v>0</x:v>
      </x:c>
      <x:c r="O576" s="121" t="n">
        <x:v>0</x:v>
      </x:c>
      <x:c r="P576" s="121" t="n">
        <x:v>0</x:v>
      </x:c>
      <x:c r="Q576" s="121" t="n">
        <x:v>0</x:v>
      </x:c>
    </x:row>
    <x:row r="577">
      <x:c r="A577" t="n">
        <x:v>100000</x:v>
      </x:c>
      <x:c r="B577" t="n">
        <x:v>20000</x:v>
      </x:c>
      <x:c r="C577" t="n">
        <x:v>20260707</x:v>
      </x:c>
      <x:c r="D577" t="str">
        <x:v>R11</x:v>
      </x:c>
      <x:c r="E577" t="str">
        <x:v>91–120</x:v>
      </x:c>
      <x:c r="F577" s="121" t="n">
        <x:v>2.5</x:v>
      </x:c>
      <x:c r="G577" s="121" t="n">
        <x:v>8</x:v>
      </x:c>
      <x:c r="H577" s="121" t="n">
        <x:v>0.5</x:v>
      </x:c>
      <x:c r="I577" s="121" t="n">
        <x:v>99.995</x:v>
      </x:c>
      <x:c r="J577" s="121" t="n">
        <x:v>78.18</x:v>
      </x:c>
      <x:c r="K577" s="121" t="n">
        <x:v>78.18</x:v>
      </x:c>
      <x:c r="L577" s="121" t="n">
        <x:v>5.1499999999999995</x:v>
      </x:c>
      <x:c r="M577" s="121" t="n">
        <x:v>0</x:v>
      </x:c>
      <x:c r="N577" s="121" t="n">
        <x:v>0</x:v>
      </x:c>
      <x:c r="O577" s="121" t="n">
        <x:v>0</x:v>
      </x:c>
      <x:c r="P577" s="121" t="n">
        <x:v>0</x:v>
      </x:c>
      <x:c r="Q577" s="121" t="n">
        <x:v>0</x:v>
      </x:c>
    </x:row>
    <x:row r="578">
      <x:c r="A578" t="n">
        <x:v>100000</x:v>
      </x:c>
      <x:c r="B578" t="n">
        <x:v>20000</x:v>
      </x:c>
      <x:c r="C578" t="n">
        <x:v>20260707</x:v>
      </x:c>
      <x:c r="D578" t="str">
        <x:v>R11</x:v>
      </x:c>
      <x:c r="E578" t="str">
        <x:v>91–120</x:v>
      </x:c>
      <x:c r="F578" s="121" t="n">
        <x:v>2.5</x:v>
      </x:c>
      <x:c r="G578" s="121" t="n">
        <x:v>8</x:v>
      </x:c>
      <x:c r="H578" s="121" t="n">
        <x:v>1</x:v>
      </x:c>
      <x:c r="I578" s="121" t="n">
        <x:v>99.95</x:v>
      </x:c>
      <x:c r="J578" s="121" t="n">
        <x:v>78.18</x:v>
      </x:c>
      <x:c r="K578" s="121" t="n">
        <x:v>78.18</x:v>
      </x:c>
      <x:c r="L578" s="121" t="n">
        <x:v>5.1499999999999995</x:v>
      </x:c>
      <x:c r="M578" s="121" t="n">
        <x:v>0</x:v>
      </x:c>
      <x:c r="N578" s="121" t="n">
        <x:v>0</x:v>
      </x:c>
      <x:c r="O578" s="121" t="n">
        <x:v>0</x:v>
      </x:c>
      <x:c r="P578" s="121" t="n">
        <x:v>0</x:v>
      </x:c>
      <x:c r="Q578" s="121" t="n">
        <x:v>0</x:v>
      </x:c>
    </x:row>
    <x:row r="579">
      <x:c r="A579" t="n">
        <x:v>100000</x:v>
      </x:c>
      <x:c r="B579" t="n">
        <x:v>20000</x:v>
      </x:c>
      <x:c r="C579" t="n">
        <x:v>20260707</x:v>
      </x:c>
      <x:c r="D579" t="str">
        <x:v>R11</x:v>
      </x:c>
      <x:c r="E579" t="str">
        <x:v>91–120</x:v>
      </x:c>
      <x:c r="F579" s="121" t="n">
        <x:v>2.5</x:v>
      </x:c>
      <x:c r="G579" s="121" t="n">
        <x:v>8</x:v>
      </x:c>
      <x:c r="H579" s="121" t="n">
        <x:v>2</x:v>
      </x:c>
      <x:c r="I579" s="121" t="n">
        <x:v>98.77</x:v>
      </x:c>
      <x:c r="J579" s="121" t="n">
        <x:v>78.18</x:v>
      </x:c>
      <x:c r="K579" s="121" t="n">
        <x:v>78.18</x:v>
      </x:c>
      <x:c r="L579" s="121" t="n">
        <x:v>5.1499999999999995</x:v>
      </x:c>
      <x:c r="M579" s="121" t="n">
        <x:v>0</x:v>
      </x:c>
      <x:c r="N579" s="121" t="n">
        <x:v>0</x:v>
      </x:c>
      <x:c r="O579" s="121" t="n">
        <x:v>0</x:v>
      </x:c>
      <x:c r="P579" s="121" t="n">
        <x:v>0</x:v>
      </x:c>
      <x:c r="Q579" s="121" t="n">
        <x:v>0</x:v>
      </x:c>
    </x:row>
    <x:row r="580">
      <x:c r="A580" t="n">
        <x:v>100000</x:v>
      </x:c>
      <x:c r="B580" t="n">
        <x:v>20000</x:v>
      </x:c>
      <x:c r="C580" t="n">
        <x:v>20260707</x:v>
      </x:c>
      <x:c r="D580" t="str">
        <x:v>R11</x:v>
      </x:c>
      <x:c r="E580" t="str">
        <x:v>91–120</x:v>
      </x:c>
      <x:c r="F580" s="121" t="n">
        <x:v>2.5</x:v>
      </x:c>
      <x:c r="G580" s="121" t="n">
        <x:v>8</x:v>
      </x:c>
      <x:c r="H580" s="121" t="n">
        <x:v>4</x:v>
      </x:c>
      <x:c r="I580" s="121" t="n">
        <x:v>86.905</x:v>
      </x:c>
      <x:c r="J580" s="121" t="n">
        <x:v>78.18</x:v>
      </x:c>
      <x:c r="K580" s="121" t="n">
        <x:v>77.46</x:v>
      </x:c>
      <x:c r="L580" s="121" t="n">
        <x:v>5.1499999999999995</x:v>
      </x:c>
      <x:c r="M580" s="121" t="n">
        <x:v>0</x:v>
      </x:c>
      <x:c r="N580" s="121" t="n">
        <x:v>0</x:v>
      </x:c>
      <x:c r="O580" s="121" t="n">
        <x:v>0</x:v>
      </x:c>
      <x:c r="P580" s="121" t="n">
        <x:v>0</x:v>
      </x:c>
      <x:c r="Q580" s="121" t="n">
        <x:v>0</x:v>
      </x:c>
    </x:row>
    <x:row r="581">
      <x:c r="A581" t="n">
        <x:v>100000</x:v>
      </x:c>
      <x:c r="B581" t="n">
        <x:v>20000</x:v>
      </x:c>
      <x:c r="C581" t="n">
        <x:v>20260707</x:v>
      </x:c>
      <x:c r="D581" t="str">
        <x:v>R11</x:v>
      </x:c>
      <x:c r="E581" t="str">
        <x:v>91–120</x:v>
      </x:c>
      <x:c r="F581" s="121" t="n">
        <x:v>2.5</x:v>
      </x:c>
      <x:c r="G581" s="121" t="n">
        <x:v>8</x:v>
      </x:c>
      <x:c r="H581" s="121" t="n">
        <x:v>8</x:v>
      </x:c>
      <x:c r="I581" s="121" t="n">
        <x:v>50.690000000000005</x:v>
      </x:c>
      <x:c r="J581" s="121" t="n">
        <x:v>78.18</x:v>
      </x:c>
      <x:c r="K581" s="121" t="n">
        <x:v>50.665000000000006</x:v>
      </x:c>
      <x:c r="L581" s="121" t="n">
        <x:v>5.1499999999999995</x:v>
      </x:c>
      <x:c r="M581" s="121" t="n">
        <x:v>0</x:v>
      </x:c>
      <x:c r="N581" s="121" t="n">
        <x:v>0</x:v>
      </x:c>
      <x:c r="O581" s="121" t="n">
        <x:v>0</x:v>
      </x:c>
      <x:c r="P581" s="121" t="n">
        <x:v>0</x:v>
      </x:c>
      <x:c r="Q581" s="121" t="n">
        <x:v>0</x:v>
      </x:c>
    </x:row>
    <x:row r="582">
      <x:c r="A582" t="n">
        <x:v>100000</x:v>
      </x:c>
      <x:c r="B582" t="n">
        <x:v>20000</x:v>
      </x:c>
      <x:c r="C582" t="n">
        <x:v>20260707</x:v>
      </x:c>
      <x:c r="D582" t="str">
        <x:v>R11</x:v>
      </x:c>
      <x:c r="E582" t="str">
        <x:v>91–120</x:v>
      </x:c>
      <x:c r="F582" s="121" t="n">
        <x:v>2.5</x:v>
      </x:c>
      <x:c r="G582" s="121" t="n">
        <x:v>8</x:v>
      </x:c>
      <x:c r="H582" s="121" t="n">
        <x:v>16</x:v>
      </x:c>
      <x:c r="I582" s="121" t="n">
        <x:v>13.469999999999999</x:v>
      </x:c>
      <x:c r="J582" s="121" t="n">
        <x:v>78.18</x:v>
      </x:c>
      <x:c r="K582" s="121" t="n">
        <x:v>13.469999999999999</x:v>
      </x:c>
      <x:c r="L582" s="121" t="n">
        <x:v>5.1499999999999995</x:v>
      </x:c>
      <x:c r="M582" s="121" t="n">
        <x:v>0</x:v>
      </x:c>
      <x:c r="N582" s="121" t="n">
        <x:v>0</x:v>
      </x:c>
      <x:c r="O582" s="121" t="n">
        <x:v>0</x:v>
      </x:c>
      <x:c r="P582" s="121" t="n">
        <x:v>0</x:v>
      </x:c>
      <x:c r="Q582" s="121" t="n">
        <x:v>0</x:v>
      </x:c>
    </x:row>
    <x:row r="583">
      <x:c r="A583" t="n">
        <x:v>100000</x:v>
      </x:c>
      <x:c r="B583" t="n">
        <x:v>20000</x:v>
      </x:c>
      <x:c r="C583" t="n">
        <x:v>20260707</x:v>
      </x:c>
      <x:c r="D583" t="str">
        <x:v>R11</x:v>
      </x:c>
      <x:c r="E583" t="str">
        <x:v>91–120</x:v>
      </x:c>
      <x:c r="F583" s="121" t="n">
        <x:v>2.5</x:v>
      </x:c>
      <x:c r="G583" s="121" t="n">
        <x:v>8</x:v>
      </x:c>
      <x:c r="H583" s="121" t="n">
        <x:v>32</x:v>
      </x:c>
      <x:c r="I583" s="121" t="n">
        <x:v>1.29</x:v>
      </x:c>
      <x:c r="J583" s="121" t="n">
        <x:v>78.18</x:v>
      </x:c>
      <x:c r="K583" s="121" t="n">
        <x:v>1.29</x:v>
      </x:c>
      <x:c r="L583" s="121" t="n">
        <x:v>5.1499999999999995</x:v>
      </x:c>
      <x:c r="M583" s="121" t="n">
        <x:v>0</x:v>
      </x:c>
      <x:c r="N583" s="121" t="n">
        <x:v>0</x:v>
      </x:c>
      <x:c r="O583" s="121" t="n">
        <x:v>0</x:v>
      </x:c>
      <x:c r="P583" s="121" t="n">
        <x:v>0</x:v>
      </x:c>
      <x:c r="Q583" s="121" t="n">
        <x:v>0</x:v>
      </x:c>
    </x:row>
    <x:row r="584">
      <x:c r="A584" t="n">
        <x:v>100000</x:v>
      </x:c>
      <x:c r="B584" t="n">
        <x:v>20000</x:v>
      </x:c>
      <x:c r="C584" t="n">
        <x:v>20260707</x:v>
      </x:c>
      <x:c r="D584" t="str">
        <x:v>R11</x:v>
      </x:c>
      <x:c r="E584" t="str">
        <x:v>91–120</x:v>
      </x:c>
      <x:c r="F584" s="121" t="n">
        <x:v>2.5</x:v>
      </x:c>
      <x:c r="G584" s="121" t="n">
        <x:v>8</x:v>
      </x:c>
      <x:c r="H584" s="121" t="n">
        <x:v>64</x:v>
      </x:c>
      <x:c r="I584" s="121" t="n">
        <x:v>0.015</x:v>
      </x:c>
      <x:c r="J584" s="121" t="n">
        <x:v>78.18</x:v>
      </x:c>
      <x:c r="K584" s="121" t="n">
        <x:v>0.015</x:v>
      </x:c>
      <x:c r="L584" s="121" t="n">
        <x:v>5.1499999999999995</x:v>
      </x:c>
      <x:c r="M584" s="121" t="n">
        <x:v>0</x:v>
      </x:c>
      <x:c r="N584" s="121" t="n">
        <x:v>0</x:v>
      </x:c>
      <x:c r="O584" s="121" t="n">
        <x:v>0</x:v>
      </x:c>
      <x:c r="P584" s="121" t="n">
        <x:v>0</x:v>
      </x:c>
      <x:c r="Q584" s="121" t="n">
        <x:v>0</x:v>
      </x:c>
    </x:row>
    <x:row r="585">
      <x:c r="A585" t="n">
        <x:v>100000</x:v>
      </x:c>
      <x:c r="B585" t="n">
        <x:v>20000</x:v>
      </x:c>
      <x:c r="C585" t="n">
        <x:v>20260707</x:v>
      </x:c>
      <x:c r="D585" t="str">
        <x:v>R12</x:v>
      </x:c>
      <x:c r="E585" t="str">
        <x:v>91–120</x:v>
      </x:c>
      <x:c r="F585" s="121" t="n">
        <x:v>2.5</x:v>
      </x:c>
      <x:c r="G585" s="121" t="n">
        <x:v>6</x:v>
      </x:c>
      <x:c r="H585" s="121" t="n">
        <x:v>0.0625</x:v>
      </x:c>
      <x:c r="I585" s="121" t="n">
        <x:v>100</x:v>
      </x:c>
      <x:c r="J585" s="121" t="n">
        <x:v>88.46000000000001</x:v>
      </x:c>
      <x:c r="K585" s="121" t="n">
        <x:v>88.46000000000001</x:v>
      </x:c>
      <x:c r="L585" s="121" t="n">
        <x:v>12.32</x:v>
      </x:c>
      <x:c r="M585" s="121" t="n">
        <x:v>0</x:v>
      </x:c>
      <x:c r="N585" s="121" t="n">
        <x:v>0</x:v>
      </x:c>
      <x:c r="O585" s="121" t="n">
        <x:v>0</x:v>
      </x:c>
      <x:c r="P585" s="121" t="n">
        <x:v>0</x:v>
      </x:c>
      <x:c r="Q585" s="121" t="n">
        <x:v>0</x:v>
      </x:c>
    </x:row>
    <x:row r="586">
      <x:c r="A586" t="n">
        <x:v>100000</x:v>
      </x:c>
      <x:c r="B586" t="n">
        <x:v>20000</x:v>
      </x:c>
      <x:c r="C586" t="n">
        <x:v>20260707</x:v>
      </x:c>
      <x:c r="D586" t="str">
        <x:v>R12</x:v>
      </x:c>
      <x:c r="E586" t="str">
        <x:v>91–120</x:v>
      </x:c>
      <x:c r="F586" s="121" t="n">
        <x:v>2.5</x:v>
      </x:c>
      <x:c r="G586" s="121" t="n">
        <x:v>6</x:v>
      </x:c>
      <x:c r="H586" s="121" t="n">
        <x:v>0.125</x:v>
      </x:c>
      <x:c r="I586" s="121" t="n">
        <x:v>100</x:v>
      </x:c>
      <x:c r="J586" s="121" t="n">
        <x:v>88.46000000000001</x:v>
      </x:c>
      <x:c r="K586" s="121" t="n">
        <x:v>88.46000000000001</x:v>
      </x:c>
      <x:c r="L586" s="121" t="n">
        <x:v>12.32</x:v>
      </x:c>
      <x:c r="M586" s="121" t="n">
        <x:v>0</x:v>
      </x:c>
      <x:c r="N586" s="121" t="n">
        <x:v>0</x:v>
      </x:c>
      <x:c r="O586" s="121" t="n">
        <x:v>0</x:v>
      </x:c>
      <x:c r="P586" s="121" t="n">
        <x:v>0</x:v>
      </x:c>
      <x:c r="Q586" s="121" t="n">
        <x:v>0</x:v>
      </x:c>
    </x:row>
    <x:row r="587">
      <x:c r="A587" t="n">
        <x:v>100000</x:v>
      </x:c>
      <x:c r="B587" t="n">
        <x:v>20000</x:v>
      </x:c>
      <x:c r="C587" t="n">
        <x:v>20260707</x:v>
      </x:c>
      <x:c r="D587" t="str">
        <x:v>R12</x:v>
      </x:c>
      <x:c r="E587" t="str">
        <x:v>91–120</x:v>
      </x:c>
      <x:c r="F587" s="121" t="n">
        <x:v>2.5</x:v>
      </x:c>
      <x:c r="G587" s="121" t="n">
        <x:v>6</x:v>
      </x:c>
      <x:c r="H587" s="121" t="n">
        <x:v>0.25</x:v>
      </x:c>
      <x:c r="I587" s="121" t="n">
        <x:v>100</x:v>
      </x:c>
      <x:c r="J587" s="121" t="n">
        <x:v>88.46000000000001</x:v>
      </x:c>
      <x:c r="K587" s="121" t="n">
        <x:v>88.46000000000001</x:v>
      </x:c>
      <x:c r="L587" s="121" t="n">
        <x:v>12.32</x:v>
      </x:c>
      <x:c r="M587" s="121" t="n">
        <x:v>0</x:v>
      </x:c>
      <x:c r="N587" s="121" t="n">
        <x:v>0</x:v>
      </x:c>
      <x:c r="O587" s="121" t="n">
        <x:v>0</x:v>
      </x:c>
      <x:c r="P587" s="121" t="n">
        <x:v>0</x:v>
      </x:c>
      <x:c r="Q587" s="121" t="n">
        <x:v>0</x:v>
      </x:c>
    </x:row>
    <x:row r="588">
      <x:c r="A588" t="n">
        <x:v>100000</x:v>
      </x:c>
      <x:c r="B588" t="n">
        <x:v>20000</x:v>
      </x:c>
      <x:c r="C588" t="n">
        <x:v>20260707</x:v>
      </x:c>
      <x:c r="D588" t="str">
        <x:v>R12</x:v>
      </x:c>
      <x:c r="E588" t="str">
        <x:v>91–120</x:v>
      </x:c>
      <x:c r="F588" s="121" t="n">
        <x:v>2.5</x:v>
      </x:c>
      <x:c r="G588" s="121" t="n">
        <x:v>6</x:v>
      </x:c>
      <x:c r="H588" s="121" t="n">
        <x:v>0.5</x:v>
      </x:c>
      <x:c r="I588" s="121" t="n">
        <x:v>100</x:v>
      </x:c>
      <x:c r="J588" s="121" t="n">
        <x:v>88.46000000000001</x:v>
      </x:c>
      <x:c r="K588" s="121" t="n">
        <x:v>88.46000000000001</x:v>
      </x:c>
      <x:c r="L588" s="121" t="n">
        <x:v>12.32</x:v>
      </x:c>
      <x:c r="M588" s="121" t="n">
        <x:v>0</x:v>
      </x:c>
      <x:c r="N588" s="121" t="n">
        <x:v>0</x:v>
      </x:c>
      <x:c r="O588" s="121" t="n">
        <x:v>0</x:v>
      </x:c>
      <x:c r="P588" s="121" t="n">
        <x:v>0</x:v>
      </x:c>
      <x:c r="Q588" s="121" t="n">
        <x:v>0</x:v>
      </x:c>
    </x:row>
    <x:row r="589">
      <x:c r="A589" t="n">
        <x:v>100000</x:v>
      </x:c>
      <x:c r="B589" t="n">
        <x:v>20000</x:v>
      </x:c>
      <x:c r="C589" t="n">
        <x:v>20260707</x:v>
      </x:c>
      <x:c r="D589" t="str">
        <x:v>R12</x:v>
      </x:c>
      <x:c r="E589" t="str">
        <x:v>91–120</x:v>
      </x:c>
      <x:c r="F589" s="121" t="n">
        <x:v>2.5</x:v>
      </x:c>
      <x:c r="G589" s="121" t="n">
        <x:v>6</x:v>
      </x:c>
      <x:c r="H589" s="121" t="n">
        <x:v>1</x:v>
      </x:c>
      <x:c r="I589" s="121" t="n">
        <x:v>99.99</x:v>
      </x:c>
      <x:c r="J589" s="121" t="n">
        <x:v>88.46000000000001</x:v>
      </x:c>
      <x:c r="K589" s="121" t="n">
        <x:v>88.46000000000001</x:v>
      </x:c>
      <x:c r="L589" s="121" t="n">
        <x:v>12.32</x:v>
      </x:c>
      <x:c r="M589" s="121" t="n">
        <x:v>0</x:v>
      </x:c>
      <x:c r="N589" s="121" t="n">
        <x:v>0</x:v>
      </x:c>
      <x:c r="O589" s="121" t="n">
        <x:v>0</x:v>
      </x:c>
      <x:c r="P589" s="121" t="n">
        <x:v>0</x:v>
      </x:c>
      <x:c r="Q589" s="121" t="n">
        <x:v>0</x:v>
      </x:c>
    </x:row>
    <x:row r="590">
      <x:c r="A590" t="n">
        <x:v>100000</x:v>
      </x:c>
      <x:c r="B590" t="n">
        <x:v>20000</x:v>
      </x:c>
      <x:c r="C590" t="n">
        <x:v>20260707</x:v>
      </x:c>
      <x:c r="D590" t="str">
        <x:v>R12</x:v>
      </x:c>
      <x:c r="E590" t="str">
        <x:v>91–120</x:v>
      </x:c>
      <x:c r="F590" s="121" t="n">
        <x:v>2.5</x:v>
      </x:c>
      <x:c r="G590" s="121" t="n">
        <x:v>6</x:v>
      </x:c>
      <x:c r="H590" s="121" t="n">
        <x:v>2</x:v>
      </x:c>
      <x:c r="I590" s="121" t="n">
        <x:v>99.68</x:v>
      </x:c>
      <x:c r="J590" s="121" t="n">
        <x:v>88.46000000000001</x:v>
      </x:c>
      <x:c r="K590" s="121" t="n">
        <x:v>88.46000000000001</x:v>
      </x:c>
      <x:c r="L590" s="121" t="n">
        <x:v>12.32</x:v>
      </x:c>
      <x:c r="M590" s="121" t="n">
        <x:v>0</x:v>
      </x:c>
      <x:c r="N590" s="121" t="n">
        <x:v>0</x:v>
      </x:c>
      <x:c r="O590" s="121" t="n">
        <x:v>0</x:v>
      </x:c>
      <x:c r="P590" s="121" t="n">
        <x:v>0</x:v>
      </x:c>
      <x:c r="Q590" s="121" t="n">
        <x:v>0</x:v>
      </x:c>
    </x:row>
    <x:row r="591">
      <x:c r="A591" t="n">
        <x:v>100000</x:v>
      </x:c>
      <x:c r="B591" t="n">
        <x:v>20000</x:v>
      </x:c>
      <x:c r="C591" t="n">
        <x:v>20260707</x:v>
      </x:c>
      <x:c r="D591" t="str">
        <x:v>R12</x:v>
      </x:c>
      <x:c r="E591" t="str">
        <x:v>91–120</x:v>
      </x:c>
      <x:c r="F591" s="121" t="n">
        <x:v>2.5</x:v>
      </x:c>
      <x:c r="G591" s="121" t="n">
        <x:v>6</x:v>
      </x:c>
      <x:c r="H591" s="121" t="n">
        <x:v>4</x:v>
      </x:c>
      <x:c r="I591" s="121" t="n">
        <x:v>94.405</x:v>
      </x:c>
      <x:c r="J591" s="121" t="n">
        <x:v>88.46000000000001</x:v>
      </x:c>
      <x:c r="K591" s="121" t="n">
        <x:v>88.07000000000001</x:v>
      </x:c>
      <x:c r="L591" s="121" t="n">
        <x:v>12.32</x:v>
      </x:c>
      <x:c r="M591" s="121" t="n">
        <x:v>0</x:v>
      </x:c>
      <x:c r="N591" s="121" t="n">
        <x:v>0</x:v>
      </x:c>
      <x:c r="O591" s="121" t="n">
        <x:v>0</x:v>
      </x:c>
      <x:c r="P591" s="121" t="n">
        <x:v>0</x:v>
      </x:c>
      <x:c r="Q591" s="121" t="n">
        <x:v>0</x:v>
      </x:c>
    </x:row>
    <x:row r="592">
      <x:c r="A592" t="n">
        <x:v>100000</x:v>
      </x:c>
      <x:c r="B592" t="n">
        <x:v>20000</x:v>
      </x:c>
      <x:c r="C592" t="n">
        <x:v>20260707</x:v>
      </x:c>
      <x:c r="D592" t="str">
        <x:v>R12</x:v>
      </x:c>
      <x:c r="E592" t="str">
        <x:v>91–120</x:v>
      </x:c>
      <x:c r="F592" s="121" t="n">
        <x:v>2.5</x:v>
      </x:c>
      <x:c r="G592" s="121" t="n">
        <x:v>6</x:v>
      </x:c>
      <x:c r="H592" s="121" t="n">
        <x:v>8</x:v>
      </x:c>
      <x:c r="I592" s="121" t="n">
        <x:v>68.11500000000001</x:v>
      </x:c>
      <x:c r="J592" s="121" t="n">
        <x:v>88.46000000000001</x:v>
      </x:c>
      <x:c r="K592" s="121" t="n">
        <x:v>68.045</x:v>
      </x:c>
      <x:c r="L592" s="121" t="n">
        <x:v>12.32</x:v>
      </x:c>
      <x:c r="M592" s="121" t="n">
        <x:v>0</x:v>
      </x:c>
      <x:c r="N592" s="121" t="n">
        <x:v>0</x:v>
      </x:c>
      <x:c r="O592" s="121" t="n">
        <x:v>0</x:v>
      </x:c>
      <x:c r="P592" s="121" t="n">
        <x:v>0</x:v>
      </x:c>
      <x:c r="Q592" s="121" t="n">
        <x:v>0</x:v>
      </x:c>
    </x:row>
    <x:row r="593">
      <x:c r="A593" t="n">
        <x:v>100000</x:v>
      </x:c>
      <x:c r="B593" t="n">
        <x:v>20000</x:v>
      </x:c>
      <x:c r="C593" t="n">
        <x:v>20260707</x:v>
      </x:c>
      <x:c r="D593" t="str">
        <x:v>R12</x:v>
      </x:c>
      <x:c r="E593" t="str">
        <x:v>91–120</x:v>
      </x:c>
      <x:c r="F593" s="121" t="n">
        <x:v>2.5</x:v>
      </x:c>
      <x:c r="G593" s="121" t="n">
        <x:v>6</x:v>
      </x:c>
      <x:c r="H593" s="121" t="n">
        <x:v>16</x:v>
      </x:c>
      <x:c r="I593" s="121" t="n">
        <x:v>26.174999999999997</x:v>
      </x:c>
      <x:c r="J593" s="121" t="n">
        <x:v>88.46000000000001</x:v>
      </x:c>
      <x:c r="K593" s="121" t="n">
        <x:v>26.174999999999997</x:v>
      </x:c>
      <x:c r="L593" s="121" t="n">
        <x:v>12.32</x:v>
      </x:c>
      <x:c r="M593" s="121" t="n">
        <x:v>0</x:v>
      </x:c>
      <x:c r="N593" s="121" t="n">
        <x:v>0</x:v>
      </x:c>
      <x:c r="O593" s="121" t="n">
        <x:v>0</x:v>
      </x:c>
      <x:c r="P593" s="121" t="n">
        <x:v>0</x:v>
      </x:c>
      <x:c r="Q593" s="121" t="n">
        <x:v>0</x:v>
      </x:c>
    </x:row>
    <x:row r="594">
      <x:c r="A594" t="n">
        <x:v>100000</x:v>
      </x:c>
      <x:c r="B594" t="n">
        <x:v>20000</x:v>
      </x:c>
      <x:c r="C594" t="n">
        <x:v>20260707</x:v>
      </x:c>
      <x:c r="D594" t="str">
        <x:v>R12</x:v>
      </x:c>
      <x:c r="E594" t="str">
        <x:v>91–120</x:v>
      </x:c>
      <x:c r="F594" s="121" t="n">
        <x:v>2.5</x:v>
      </x:c>
      <x:c r="G594" s="121" t="n">
        <x:v>6</x:v>
      </x:c>
      <x:c r="H594" s="121" t="n">
        <x:v>32</x:v>
      </x:c>
      <x:c r="I594" s="121" t="n">
        <x:v>3.7800000000000002</x:v>
      </x:c>
      <x:c r="J594" s="121" t="n">
        <x:v>88.46000000000001</x:v>
      </x:c>
      <x:c r="K594" s="121" t="n">
        <x:v>3.7800000000000002</x:v>
      </x:c>
      <x:c r="L594" s="121" t="n">
        <x:v>12.32</x:v>
      </x:c>
      <x:c r="M594" s="121" t="n">
        <x:v>0</x:v>
      </x:c>
      <x:c r="N594" s="121" t="n">
        <x:v>0</x:v>
      </x:c>
      <x:c r="O594" s="121" t="n">
        <x:v>0</x:v>
      </x:c>
      <x:c r="P594" s="121" t="n">
        <x:v>0</x:v>
      </x:c>
      <x:c r="Q594" s="121" t="n">
        <x:v>0</x:v>
      </x:c>
    </x:row>
    <x:row r="595">
      <x:c r="A595" t="n">
        <x:v>100000</x:v>
      </x:c>
      <x:c r="B595" t="n">
        <x:v>20000</x:v>
      </x:c>
      <x:c r="C595" t="n">
        <x:v>20260707</x:v>
      </x:c>
      <x:c r="D595" t="str">
        <x:v>R12</x:v>
      </x:c>
      <x:c r="E595" t="str">
        <x:v>91–120</x:v>
      </x:c>
      <x:c r="F595" s="121" t="n">
        <x:v>2.5</x:v>
      </x:c>
      <x:c r="G595" s="121" t="n">
        <x:v>6</x:v>
      </x:c>
      <x:c r="H595" s="121" t="n">
        <x:v>64</x:v>
      </x:c>
      <x:c r="I595" s="121" t="n">
        <x:v>0.2</x:v>
      </x:c>
      <x:c r="J595" s="121" t="n">
        <x:v>88.46000000000001</x:v>
      </x:c>
      <x:c r="K595" s="121" t="n">
        <x:v>0.2</x:v>
      </x:c>
      <x:c r="L595" s="121" t="n">
        <x:v>12.32</x:v>
      </x:c>
      <x:c r="M595" s="121" t="n">
        <x:v>0</x:v>
      </x:c>
      <x:c r="N595" s="121" t="n">
        <x:v>0</x:v>
      </x:c>
      <x:c r="O595" s="121" t="n">
        <x:v>0</x:v>
      </x:c>
      <x:c r="P595" s="121" t="n">
        <x:v>0</x:v>
      </x:c>
      <x:c r="Q595" s="121" t="n">
        <x:v>0</x:v>
      </x:c>
    </x:row>
    <x:row r="596">
      <x:c r="A596" t="n">
        <x:v>100000</x:v>
      </x:c>
      <x:c r="B596" t="n">
        <x:v>20000</x:v>
      </x:c>
      <x:c r="C596" t="n">
        <x:v>20260707</x:v>
      </x:c>
      <x:c r="D596" t="str">
        <x:v>R13</x:v>
      </x:c>
      <x:c r="E596" t="str">
        <x:v>121–150</x:v>
      </x:c>
      <x:c r="F596" s="121" t="n">
        <x:v>2.5</x:v>
      </x:c>
      <x:c r="G596" s="121" t="n">
        <x:v>6</x:v>
      </x:c>
      <x:c r="H596" s="121" t="n">
        <x:v>0.0625</x:v>
      </x:c>
      <x:c r="I596" s="121" t="n">
        <x:v>100</x:v>
      </x:c>
      <x:c r="J596" s="121" t="n">
        <x:v>81.245</x:v>
      </x:c>
      <x:c r="K596" s="121" t="n">
        <x:v>81.245</x:v>
      </x:c>
      <x:c r="L596" s="121" t="n">
        <x:v>7.33</x:v>
      </x:c>
      <x:c r="M596" s="121" t="n">
        <x:v>0</x:v>
      </x:c>
      <x:c r="N596" s="121" t="n">
        <x:v>0</x:v>
      </x:c>
      <x:c r="O596" s="121" t="n">
        <x:v>0</x:v>
      </x:c>
      <x:c r="P596" s="121" t="n">
        <x:v>0</x:v>
      </x:c>
      <x:c r="Q596" s="121" t="n">
        <x:v>0</x:v>
      </x:c>
    </x:row>
    <x:row r="597">
      <x:c r="A597" t="n">
        <x:v>100000</x:v>
      </x:c>
      <x:c r="B597" t="n">
        <x:v>20000</x:v>
      </x:c>
      <x:c r="C597" t="n">
        <x:v>20260707</x:v>
      </x:c>
      <x:c r="D597" t="str">
        <x:v>R13</x:v>
      </x:c>
      <x:c r="E597" t="str">
        <x:v>121–150</x:v>
      </x:c>
      <x:c r="F597" s="121" t="n">
        <x:v>2.5</x:v>
      </x:c>
      <x:c r="G597" s="121" t="n">
        <x:v>6</x:v>
      </x:c>
      <x:c r="H597" s="121" t="n">
        <x:v>0.125</x:v>
      </x:c>
      <x:c r="I597" s="121" t="n">
        <x:v>100</x:v>
      </x:c>
      <x:c r="J597" s="121" t="n">
        <x:v>81.245</x:v>
      </x:c>
      <x:c r="K597" s="121" t="n">
        <x:v>81.245</x:v>
      </x:c>
      <x:c r="L597" s="121" t="n">
        <x:v>7.33</x:v>
      </x:c>
      <x:c r="M597" s="121" t="n">
        <x:v>0</x:v>
      </x:c>
      <x:c r="N597" s="121" t="n">
        <x:v>0</x:v>
      </x:c>
      <x:c r="O597" s="121" t="n">
        <x:v>0</x:v>
      </x:c>
      <x:c r="P597" s="121" t="n">
        <x:v>0</x:v>
      </x:c>
      <x:c r="Q597" s="121" t="n">
        <x:v>0</x:v>
      </x:c>
    </x:row>
    <x:row r="598">
      <x:c r="A598" t="n">
        <x:v>100000</x:v>
      </x:c>
      <x:c r="B598" t="n">
        <x:v>20000</x:v>
      </x:c>
      <x:c r="C598" t="n">
        <x:v>20260707</x:v>
      </x:c>
      <x:c r="D598" t="str">
        <x:v>R13</x:v>
      </x:c>
      <x:c r="E598" t="str">
        <x:v>121–150</x:v>
      </x:c>
      <x:c r="F598" s="121" t="n">
        <x:v>2.5</x:v>
      </x:c>
      <x:c r="G598" s="121" t="n">
        <x:v>6</x:v>
      </x:c>
      <x:c r="H598" s="121" t="n">
        <x:v>0.25</x:v>
      </x:c>
      <x:c r="I598" s="121" t="n">
        <x:v>100</x:v>
      </x:c>
      <x:c r="J598" s="121" t="n">
        <x:v>81.245</x:v>
      </x:c>
      <x:c r="K598" s="121" t="n">
        <x:v>81.245</x:v>
      </x:c>
      <x:c r="L598" s="121" t="n">
        <x:v>7.33</x:v>
      </x:c>
      <x:c r="M598" s="121" t="n">
        <x:v>0</x:v>
      </x:c>
      <x:c r="N598" s="121" t="n">
        <x:v>0</x:v>
      </x:c>
      <x:c r="O598" s="121" t="n">
        <x:v>0</x:v>
      </x:c>
      <x:c r="P598" s="121" t="n">
        <x:v>0</x:v>
      </x:c>
      <x:c r="Q598" s="121" t="n">
        <x:v>0</x:v>
      </x:c>
    </x:row>
    <x:row r="599">
      <x:c r="A599" t="n">
        <x:v>100000</x:v>
      </x:c>
      <x:c r="B599" t="n">
        <x:v>20000</x:v>
      </x:c>
      <x:c r="C599" t="n">
        <x:v>20260707</x:v>
      </x:c>
      <x:c r="D599" t="str">
        <x:v>R13</x:v>
      </x:c>
      <x:c r="E599" t="str">
        <x:v>121–150</x:v>
      </x:c>
      <x:c r="F599" s="121" t="n">
        <x:v>2.5</x:v>
      </x:c>
      <x:c r="G599" s="121" t="n">
        <x:v>6</x:v>
      </x:c>
      <x:c r="H599" s="121" t="n">
        <x:v>0.5</x:v>
      </x:c>
      <x:c r="I599" s="121" t="n">
        <x:v>100</x:v>
      </x:c>
      <x:c r="J599" s="121" t="n">
        <x:v>81.245</x:v>
      </x:c>
      <x:c r="K599" s="121" t="n">
        <x:v>81.245</x:v>
      </x:c>
      <x:c r="L599" s="121" t="n">
        <x:v>7.33</x:v>
      </x:c>
      <x:c r="M599" s="121" t="n">
        <x:v>0</x:v>
      </x:c>
      <x:c r="N599" s="121" t="n">
        <x:v>0</x:v>
      </x:c>
      <x:c r="O599" s="121" t="n">
        <x:v>0</x:v>
      </x:c>
      <x:c r="P599" s="121" t="n">
        <x:v>0</x:v>
      </x:c>
      <x:c r="Q599" s="121" t="n">
        <x:v>0</x:v>
      </x:c>
    </x:row>
    <x:row r="600">
      <x:c r="A600" t="n">
        <x:v>100000</x:v>
      </x:c>
      <x:c r="B600" t="n">
        <x:v>20000</x:v>
      </x:c>
      <x:c r="C600" t="n">
        <x:v>20260707</x:v>
      </x:c>
      <x:c r="D600" t="str">
        <x:v>R13</x:v>
      </x:c>
      <x:c r="E600" t="str">
        <x:v>121–150</x:v>
      </x:c>
      <x:c r="F600" s="121" t="n">
        <x:v>2.5</x:v>
      </x:c>
      <x:c r="G600" s="121" t="n">
        <x:v>6</x:v>
      </x:c>
      <x:c r="H600" s="121" t="n">
        <x:v>1</x:v>
      </x:c>
      <x:c r="I600" s="121" t="n">
        <x:v>99.985</x:v>
      </x:c>
      <x:c r="J600" s="121" t="n">
        <x:v>81.245</x:v>
      </x:c>
      <x:c r="K600" s="121" t="n">
        <x:v>81.245</x:v>
      </x:c>
      <x:c r="L600" s="121" t="n">
        <x:v>7.33</x:v>
      </x:c>
      <x:c r="M600" s="121" t="n">
        <x:v>0</x:v>
      </x:c>
      <x:c r="N600" s="121" t="n">
        <x:v>0</x:v>
      </x:c>
      <x:c r="O600" s="121" t="n">
        <x:v>0</x:v>
      </x:c>
      <x:c r="P600" s="121" t="n">
        <x:v>0</x:v>
      </x:c>
      <x:c r="Q600" s="121" t="n">
        <x:v>0</x:v>
      </x:c>
    </x:row>
    <x:row r="601">
      <x:c r="A601" t="n">
        <x:v>100000</x:v>
      </x:c>
      <x:c r="B601" t="n">
        <x:v>20000</x:v>
      </x:c>
      <x:c r="C601" t="n">
        <x:v>20260707</x:v>
      </x:c>
      <x:c r="D601" t="str">
        <x:v>R13</x:v>
      </x:c>
      <x:c r="E601" t="str">
        <x:v>121–150</x:v>
      </x:c>
      <x:c r="F601" s="121" t="n">
        <x:v>2.5</x:v>
      </x:c>
      <x:c r="G601" s="121" t="n">
        <x:v>6</x:v>
      </x:c>
      <x:c r="H601" s="121" t="n">
        <x:v>2</x:v>
      </x:c>
      <x:c r="I601" s="121" t="n">
        <x:v>99.18</x:v>
      </x:c>
      <x:c r="J601" s="121" t="n">
        <x:v>81.245</x:v>
      </x:c>
      <x:c r="K601" s="121" t="n">
        <x:v>81.245</x:v>
      </x:c>
      <x:c r="L601" s="121" t="n">
        <x:v>7.33</x:v>
      </x:c>
      <x:c r="M601" s="121" t="n">
        <x:v>0</x:v>
      </x:c>
      <x:c r="N601" s="121" t="n">
        <x:v>0</x:v>
      </x:c>
      <x:c r="O601" s="121" t="n">
        <x:v>0</x:v>
      </x:c>
      <x:c r="P601" s="121" t="n">
        <x:v>0</x:v>
      </x:c>
      <x:c r="Q601" s="121" t="n">
        <x:v>0</x:v>
      </x:c>
    </x:row>
    <x:row r="602">
      <x:c r="A602" t="n">
        <x:v>100000</x:v>
      </x:c>
      <x:c r="B602" t="n">
        <x:v>20000</x:v>
      </x:c>
      <x:c r="C602" t="n">
        <x:v>20260707</x:v>
      </x:c>
      <x:c r="D602" t="str">
        <x:v>R13</x:v>
      </x:c>
      <x:c r="E602" t="str">
        <x:v>121–150</x:v>
      </x:c>
      <x:c r="F602" s="121" t="n">
        <x:v>2.5</x:v>
      </x:c>
      <x:c r="G602" s="121" t="n">
        <x:v>6</x:v>
      </x:c>
      <x:c r="H602" s="121" t="n">
        <x:v>4</x:v>
      </x:c>
      <x:c r="I602" s="121" t="n">
        <x:v>90.425</x:v>
      </x:c>
      <x:c r="J602" s="121" t="n">
        <x:v>81.245</x:v>
      </x:c>
      <x:c r="K602" s="121" t="n">
        <x:v>80.805</x:v>
      </x:c>
      <x:c r="L602" s="121" t="n">
        <x:v>7.33</x:v>
      </x:c>
      <x:c r="M602" s="121" t="n">
        <x:v>0</x:v>
      </x:c>
      <x:c r="N602" s="121" t="n">
        <x:v>0</x:v>
      </x:c>
      <x:c r="O602" s="121" t="n">
        <x:v>0</x:v>
      </x:c>
      <x:c r="P602" s="121" t="n">
        <x:v>0</x:v>
      </x:c>
      <x:c r="Q602" s="121" t="n">
        <x:v>0</x:v>
      </x:c>
    </x:row>
    <x:row r="603">
      <x:c r="A603" t="n">
        <x:v>100000</x:v>
      </x:c>
      <x:c r="B603" t="n">
        <x:v>20000</x:v>
      </x:c>
      <x:c r="C603" t="n">
        <x:v>20260707</x:v>
      </x:c>
      <x:c r="D603" t="str">
        <x:v>R13</x:v>
      </x:c>
      <x:c r="E603" t="str">
        <x:v>121–150</x:v>
      </x:c>
      <x:c r="F603" s="121" t="n">
        <x:v>2.5</x:v>
      </x:c>
      <x:c r="G603" s="121" t="n">
        <x:v>6</x:v>
      </x:c>
      <x:c r="H603" s="121" t="n">
        <x:v>8</x:v>
      </x:c>
      <x:c r="I603" s="121" t="n">
        <x:v>57.30499999999999</x:v>
      </x:c>
      <x:c r="J603" s="121" t="n">
        <x:v>81.245</x:v>
      </x:c>
      <x:c r="K603" s="121" t="n">
        <x:v>57.205</x:v>
      </x:c>
      <x:c r="L603" s="121" t="n">
        <x:v>7.33</x:v>
      </x:c>
      <x:c r="M603" s="121" t="n">
        <x:v>0</x:v>
      </x:c>
      <x:c r="N603" s="121" t="n">
        <x:v>0</x:v>
      </x:c>
      <x:c r="O603" s="121" t="n">
        <x:v>0</x:v>
      </x:c>
      <x:c r="P603" s="121" t="n">
        <x:v>0</x:v>
      </x:c>
      <x:c r="Q603" s="121" t="n">
        <x:v>0</x:v>
      </x:c>
    </x:row>
    <x:row r="604">
      <x:c r="A604" t="n">
        <x:v>100000</x:v>
      </x:c>
      <x:c r="B604" t="n">
        <x:v>20000</x:v>
      </x:c>
      <x:c r="C604" t="n">
        <x:v>20260707</x:v>
      </x:c>
      <x:c r="D604" t="str">
        <x:v>R13</x:v>
      </x:c>
      <x:c r="E604" t="str">
        <x:v>121–150</x:v>
      </x:c>
      <x:c r="F604" s="121" t="n">
        <x:v>2.5</x:v>
      </x:c>
      <x:c r="G604" s="121" t="n">
        <x:v>6</x:v>
      </x:c>
      <x:c r="H604" s="121" t="n">
        <x:v>16</x:v>
      </x:c>
      <x:c r="I604" s="121" t="n">
        <x:v>17.7</x:v>
      </x:c>
      <x:c r="J604" s="121" t="n">
        <x:v>81.245</x:v>
      </x:c>
      <x:c r="K604" s="121" t="n">
        <x:v>17.7</x:v>
      </x:c>
      <x:c r="L604" s="121" t="n">
        <x:v>7.33</x:v>
      </x:c>
      <x:c r="M604" s="121" t="n">
        <x:v>0</x:v>
      </x:c>
      <x:c r="N604" s="121" t="n">
        <x:v>0</x:v>
      </x:c>
      <x:c r="O604" s="121" t="n">
        <x:v>0</x:v>
      </x:c>
      <x:c r="P604" s="121" t="n">
        <x:v>0</x:v>
      </x:c>
      <x:c r="Q604" s="121" t="n">
        <x:v>0</x:v>
      </x:c>
    </x:row>
    <x:row r="605">
      <x:c r="A605" t="n">
        <x:v>100000</x:v>
      </x:c>
      <x:c r="B605" t="n">
        <x:v>20000</x:v>
      </x:c>
      <x:c r="C605" t="n">
        <x:v>20260707</x:v>
      </x:c>
      <x:c r="D605" t="str">
        <x:v>R13</x:v>
      </x:c>
      <x:c r="E605" t="str">
        <x:v>121–150</x:v>
      </x:c>
      <x:c r="F605" s="121" t="n">
        <x:v>2.5</x:v>
      </x:c>
      <x:c r="G605" s="121" t="n">
        <x:v>6</x:v>
      </x:c>
      <x:c r="H605" s="121" t="n">
        <x:v>32</x:v>
      </x:c>
      <x:c r="I605" s="121" t="n">
        <x:v>2.105</x:v>
      </x:c>
      <x:c r="J605" s="121" t="n">
        <x:v>81.245</x:v>
      </x:c>
      <x:c r="K605" s="121" t="n">
        <x:v>2.105</x:v>
      </x:c>
      <x:c r="L605" s="121" t="n">
        <x:v>7.33</x:v>
      </x:c>
      <x:c r="M605" s="121" t="n">
        <x:v>0</x:v>
      </x:c>
      <x:c r="N605" s="121" t="n">
        <x:v>0</x:v>
      </x:c>
      <x:c r="O605" s="121" t="n">
        <x:v>0</x:v>
      </x:c>
      <x:c r="P605" s="121" t="n">
        <x:v>0</x:v>
      </x:c>
      <x:c r="Q605" s="121" t="n">
        <x:v>0</x:v>
      </x:c>
    </x:row>
    <x:row r="606">
      <x:c r="A606" t="n">
        <x:v>100000</x:v>
      </x:c>
      <x:c r="B606" t="n">
        <x:v>20000</x:v>
      </x:c>
      <x:c r="C606" t="n">
        <x:v>20260707</x:v>
      </x:c>
      <x:c r="D606" t="str">
        <x:v>R13</x:v>
      </x:c>
      <x:c r="E606" t="str">
        <x:v>121–150</x:v>
      </x:c>
      <x:c r="F606" s="121" t="n">
        <x:v>2.5</x:v>
      </x:c>
      <x:c r="G606" s="121" t="n">
        <x:v>6</x:v>
      </x:c>
      <x:c r="H606" s="121" t="n">
        <x:v>64</x:v>
      </x:c>
      <x:c r="I606" s="121" t="n">
        <x:v>0.06</x:v>
      </x:c>
      <x:c r="J606" s="121" t="n">
        <x:v>81.245</x:v>
      </x:c>
      <x:c r="K606" s="121" t="n">
        <x:v>0.06</x:v>
      </x:c>
      <x:c r="L606" s="121" t="n">
        <x:v>7.33</x:v>
      </x:c>
      <x:c r="M606" s="121" t="n">
        <x:v>0</x:v>
      </x:c>
      <x:c r="N606" s="121" t="n">
        <x:v>0</x:v>
      </x:c>
      <x:c r="O606" s="121" t="n">
        <x:v>0</x:v>
      </x:c>
      <x:c r="P606" s="121" t="n">
        <x:v>0</x:v>
      </x:c>
      <x:c r="Q606" s="121" t="n">
        <x:v>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115" t="str">
        <x:v>Selected Regimens at MIC 4 mg/L — Convergence</x:v>
      </x:c>
      <x:c r="B1" s="115"/>
      <x:c r="C1" s="115"/>
      <x:c r="D1" s="115"/>
      <x:c r="E1" s="115"/>
      <x:c r="F1" s="115"/>
      <x:c r="G1" s="115"/>
      <x:c r="H1" s="115"/>
      <x:c r="I1" s="115"/>
    </x:row>
    <x:row r="3">
      <x:c r="A3" s="120" t="str">
        <x:v>EKFC</x:v>
      </x:c>
      <x:c r="B3" s="120" t="str">
        <x:v>Regimen</x:v>
      </x:c>
      <x:c r="C3" s="120" t="str">
        <x:v>Total N</x:v>
      </x:c>
      <x:c r="D3" s="120" t="str">
        <x:v>N/class</x:v>
      </x:c>
      <x:c r="E3" s="120" t="str">
        <x:v>Joint PTA</x:v>
      </x:c>
      <x:c r="F3" s="120" t="str">
        <x:v>Δ from 100k</x:v>
      </x:c>
      <x:c r="G3" s="120" t="str">
        <x:v>|Δ|</x:v>
      </x:c>
      <x:c r="H3" s="120" t="str">
        <x:v>Monte Carlo SE (pp)</x:v>
      </x:c>
      <x:c r="I3" s="120" t="str">
        <x:v>Status</x:v>
      </x:c>
    </x:row>
    <x:row r="4">
      <x:c r="A4" t="str">
        <x:v>0–30</x:v>
      </x:c>
      <x:c r="B4" t="str">
        <x:v>R1</x:v>
      </x:c>
      <x:c r="C4" t="n">
        <x:v>1000</x:v>
      </x:c>
      <x:c r="D4" t="n">
        <x:v>200</x:v>
      </x:c>
      <x:c r="E4" s="121" t="n">
        <x:v>63.5</x:v>
      </x:c>
      <x:c r="F4" s="121" t="n">
        <x:v>-3.6599999999999966</x:v>
      </x:c>
      <x:c r="G4" s="121" t="n">
        <x:v>3.6599999999999966</x:v>
      </x:c>
      <x:c r="H4" s="121" t="n">
        <x:v>3.4042253156922495</x:v>
      </x:c>
      <x:c r="I4" t="str">
        <x:v>PASS</x:v>
      </x:c>
    </x:row>
    <x:row r="5">
      <x:c r="A5" t="str">
        <x:v>31–60</x:v>
      </x:c>
      <x:c r="B5" t="str">
        <x:v>R8</x:v>
      </x:c>
      <x:c r="C5" t="n">
        <x:v>1000</x:v>
      </x:c>
      <x:c r="D5" t="n">
        <x:v>200</x:v>
      </x:c>
      <x:c r="E5" s="121" t="n">
        <x:v>86.5</x:v>
      </x:c>
      <x:c r="F5" s="121" t="n">
        <x:v>-1.7800000000000011</x:v>
      </x:c>
      <x:c r="G5" s="121" t="n">
        <x:v>1.7800000000000011</x:v>
      </x:c>
      <x:c r="H5" s="121" t="n">
        <x:v>2.4163505540380514</x:v>
      </x:c>
      <x:c r="I5" t="str">
        <x:v>PASS</x:v>
      </x:c>
    </x:row>
    <x:row r="6">
      <x:c r="A6" t="str">
        <x:v>61–90</x:v>
      </x:c>
      <x:c r="B6" t="str">
        <x:v>R10</x:v>
      </x:c>
      <x:c r="C6" t="n">
        <x:v>1000</x:v>
      </x:c>
      <x:c r="D6" t="n">
        <x:v>200</x:v>
      </x:c>
      <x:c r="E6" s="121" t="n">
        <x:v>88</x:v>
      </x:c>
      <x:c r="F6" s="121" t="n">
        <x:v>0.23999999999999488</x:v>
      </x:c>
      <x:c r="G6" s="121" t="n">
        <x:v>0.23999999999999488</x:v>
      </x:c>
      <x:c r="H6" s="121" t="n">
        <x:v>2.2978250586152114</x:v>
      </x:c>
      <x:c r="I6" t="str">
        <x:v>PASS</x:v>
      </x:c>
    </x:row>
    <x:row r="7">
      <x:c r="A7" t="str">
        <x:v>91–120</x:v>
      </x:c>
      <x:c r="B7" t="str">
        <x:v>R12</x:v>
      </x:c>
      <x:c r="C7" t="n">
        <x:v>1000</x:v>
      </x:c>
      <x:c r="D7" t="n">
        <x:v>200</x:v>
      </x:c>
      <x:c r="E7" s="121" t="n">
        <x:v>86</x:v>
      </x:c>
      <x:c r="F7" s="121" t="n">
        <x:v>-2.0700000000000074</x:v>
      </x:c>
      <x:c r="G7" s="121" t="n">
        <x:v>2.0700000000000074</x:v>
      </x:c>
      <x:c r="H7" s="121" t="n">
        <x:v>2.4535688292770597</x:v>
      </x:c>
      <x:c r="I7" t="str">
        <x:v>PASS</x:v>
      </x:c>
    </x:row>
    <x:row r="8">
      <x:c r="A8" t="str">
        <x:v>121–150</x:v>
      </x:c>
      <x:c r="B8" t="str">
        <x:v>R13</x:v>
      </x:c>
      <x:c r="C8" t="n">
        <x:v>1000</x:v>
      </x:c>
      <x:c r="D8" t="n">
        <x:v>200</x:v>
      </x:c>
      <x:c r="E8" s="121" t="n">
        <x:v>75.5</x:v>
      </x:c>
      <x:c r="F8" s="121" t="n">
        <x:v>-5.305000000000007</x:v>
      </x:c>
      <x:c r="G8" s="121" t="n">
        <x:v>5.305000000000007</x:v>
      </x:c>
      <x:c r="H8" s="121" t="n">
        <x:v>3.0411757594719844</x:v>
      </x:c>
      <x:c r="I8" t="str">
        <x:v>PASS</x:v>
      </x:c>
    </x:row>
    <x:row r="9">
      <x:c r="A9" t="str">
        <x:v>0–30</x:v>
      </x:c>
      <x:c r="B9" t="str">
        <x:v>R1</x:v>
      </x:c>
      <x:c r="C9" t="n">
        <x:v>5000</x:v>
      </x:c>
      <x:c r="D9" t="n">
        <x:v>1000</x:v>
      </x:c>
      <x:c r="E9" s="121" t="n">
        <x:v>66.10000000000001</x:v>
      </x:c>
      <x:c r="F9" s="121" t="n">
        <x:v>-1.059999999999988</x:v>
      </x:c>
      <x:c r="G9" s="121" t="n">
        <x:v>1.059999999999988</x:v>
      </x:c>
      <x:c r="H9" s="121" t="n">
        <x:v>1.4969268519202934</x:v>
      </x:c>
      <x:c r="I9" t="str">
        <x:v>PASS</x:v>
      </x:c>
    </x:row>
    <x:row r="10">
      <x:c r="A10" t="str">
        <x:v>31–60</x:v>
      </x:c>
      <x:c r="B10" t="str">
        <x:v>R8</x:v>
      </x:c>
      <x:c r="C10" t="n">
        <x:v>5000</x:v>
      </x:c>
      <x:c r="D10" t="n">
        <x:v>1000</x:v>
      </x:c>
      <x:c r="E10" s="121" t="n">
        <x:v>86.9</x:v>
      </x:c>
      <x:c r="F10" s="121" t="n">
        <x:v>-1.3799999999999955</x:v>
      </x:c>
      <x:c r="G10" s="121" t="n">
        <x:v>1.3799999999999955</x:v>
      </x:c>
      <x:c r="H10" s="121" t="n">
        <x:v>1.0669536072388524</x:v>
      </x:c>
      <x:c r="I10" t="str">
        <x:v>PASS</x:v>
      </x:c>
    </x:row>
    <x:row r="11">
      <x:c r="A11" t="str">
        <x:v>61–90</x:v>
      </x:c>
      <x:c r="B11" t="str">
        <x:v>R10</x:v>
      </x:c>
      <x:c r="C11" t="n">
        <x:v>5000</x:v>
      </x:c>
      <x:c r="D11" t="n">
        <x:v>1000</x:v>
      </x:c>
      <x:c r="E11" s="121" t="n">
        <x:v>88.2</x:v>
      </x:c>
      <x:c r="F11" s="121" t="n">
        <x:v>0.4399999999999977</x:v>
      </x:c>
      <x:c r="G11" s="121" t="n">
        <x:v>0.4399999999999977</x:v>
      </x:c>
      <x:c r="H11" s="121" t="n">
        <x:v>1.020176455325254</x:v>
      </x:c>
      <x:c r="I11" t="str">
        <x:v>PASS</x:v>
      </x:c>
    </x:row>
    <x:row r="12">
      <x:c r="A12" t="str">
        <x:v>91–120</x:v>
      </x:c>
      <x:c r="B12" t="str">
        <x:v>R12</x:v>
      </x:c>
      <x:c r="C12" t="n">
        <x:v>5000</x:v>
      </x:c>
      <x:c r="D12" t="n">
        <x:v>1000</x:v>
      </x:c>
      <x:c r="E12" s="121" t="n">
        <x:v>87.9</x:v>
      </x:c>
      <x:c r="F12" s="121" t="n">
        <x:v>-0.1700000000000017</x:v>
      </x:c>
      <x:c r="G12" s="121" t="n">
        <x:v>0.1700000000000017</x:v>
      </x:c>
      <x:c r="H12" s="121" t="n">
        <x:v>1.0313049985334115</x:v>
      </x:c>
      <x:c r="I12" t="str">
        <x:v>PASS</x:v>
      </x:c>
    </x:row>
    <x:row r="13">
      <x:c r="A13" t="str">
        <x:v>121–150</x:v>
      </x:c>
      <x:c r="B13" t="str">
        <x:v>R13</x:v>
      </x:c>
      <x:c r="C13" t="n">
        <x:v>5000</x:v>
      </x:c>
      <x:c r="D13" t="n">
        <x:v>1000</x:v>
      </x:c>
      <x:c r="E13" s="121" t="n">
        <x:v>79.9</x:v>
      </x:c>
      <x:c r="F13" s="121" t="n">
        <x:v>-0.9050000000000011</x:v>
      </x:c>
      <x:c r="G13" s="121" t="n">
        <x:v>0.9050000000000011</x:v>
      </x:c>
      <x:c r="H13" s="121" t="n">
        <x:v>1.267276607532862</x:v>
      </x:c>
      <x:c r="I13" t="str">
        <x:v>PASS</x:v>
      </x:c>
    </x:row>
    <x:row r="14">
      <x:c r="A14" t="str">
        <x:v>0–30</x:v>
      </x:c>
      <x:c r="B14" t="str">
        <x:v>R1</x:v>
      </x:c>
      <x:c r="C14" t="n">
        <x:v>10000</x:v>
      </x:c>
      <x:c r="D14" t="n">
        <x:v>2000</x:v>
      </x:c>
      <x:c r="E14" s="121" t="n">
        <x:v>66.85</x:v>
      </x:c>
      <x:c r="F14" s="121" t="n">
        <x:v>-0.3100000000000023</x:v>
      </x:c>
      <x:c r="G14" s="121" t="n">
        <x:v>0.3100000000000023</x:v>
      </x:c>
      <x:c r="H14" s="121" t="n">
        <x:v>1.0526341957204315</x:v>
      </x:c>
      <x:c r="I14" t="str">
        <x:v>PASS</x:v>
      </x:c>
    </x:row>
    <x:row r="15">
      <x:c r="A15" t="str">
        <x:v>31–60</x:v>
      </x:c>
      <x:c r="B15" t="str">
        <x:v>R8</x:v>
      </x:c>
      <x:c r="C15" t="n">
        <x:v>10000</x:v>
      </x:c>
      <x:c r="D15" t="n">
        <x:v>2000</x:v>
      </x:c>
      <x:c r="E15" s="121" t="n">
        <x:v>87.5</x:v>
      </x:c>
      <x:c r="F15" s="121" t="n">
        <x:v>-0.7800000000000011</x:v>
      </x:c>
      <x:c r="G15" s="121" t="n">
        <x:v>0.7800000000000011</x:v>
      </x:c>
      <x:c r="H15" s="121" t="n">
        <x:v>0.739509972887452</x:v>
      </x:c>
      <x:c r="I15" t="str">
        <x:v>PASS</x:v>
      </x:c>
    </x:row>
    <x:row r="16">
      <x:c r="A16" t="str">
        <x:v>61–90</x:v>
      </x:c>
      <x:c r="B16" t="str">
        <x:v>R10</x:v>
      </x:c>
      <x:c r="C16" t="n">
        <x:v>10000</x:v>
      </x:c>
      <x:c r="D16" t="n">
        <x:v>2000</x:v>
      </x:c>
      <x:c r="E16" s="121" t="n">
        <x:v>88.5</x:v>
      </x:c>
      <x:c r="F16" s="121" t="n">
        <x:v>0.7399999999999949</x:v>
      </x:c>
      <x:c r="G16" s="121" t="n">
        <x:v>0.7399999999999949</x:v>
      </x:c>
      <x:c r="H16" s="121" t="n">
        <x:v>0.7133547504573022</x:v>
      </x:c>
      <x:c r="I16" t="str">
        <x:v>PASS</x:v>
      </x:c>
    </x:row>
    <x:row r="17">
      <x:c r="A17" t="str">
        <x:v>91–120</x:v>
      </x:c>
      <x:c r="B17" t="str">
        <x:v>R12</x:v>
      </x:c>
      <x:c r="C17" t="n">
        <x:v>10000</x:v>
      </x:c>
      <x:c r="D17" t="n">
        <x:v>2000</x:v>
      </x:c>
      <x:c r="E17" s="121" t="n">
        <x:v>87.94999999999999</x:v>
      </x:c>
      <x:c r="F17" s="121" t="n">
        <x:v>-0.12000000000001876</x:v>
      </x:c>
      <x:c r="G17" s="121" t="n">
        <x:v>0.12000000000001876</x:v>
      </x:c>
      <x:c r="H17" s="121" t="n">
        <x:v>0.7279414468211028</x:v>
      </x:c>
      <x:c r="I17" t="str">
        <x:v>PASS</x:v>
      </x:c>
    </x:row>
    <x:row r="18">
      <x:c r="A18" t="str">
        <x:v>121–150</x:v>
      </x:c>
      <x:c r="B18" t="str">
        <x:v>R13</x:v>
      </x:c>
      <x:c r="C18" t="n">
        <x:v>10000</x:v>
      </x:c>
      <x:c r="D18" t="n">
        <x:v>2000</x:v>
      </x:c>
      <x:c r="E18" s="121" t="n">
        <x:v>80</x:v>
      </x:c>
      <x:c r="F18" s="121" t="n">
        <x:v>-0.8050000000000068</x:v>
      </x:c>
      <x:c r="G18" s="121" t="n">
        <x:v>0.8050000000000068</x:v>
      </x:c>
      <x:c r="H18" s="121" t="n">
        <x:v>0.8944271909999157</x:v>
      </x:c>
      <x:c r="I18" t="str">
        <x:v>PASS</x:v>
      </x:c>
    </x:row>
    <x:row r="19">
      <x:c r="A19" t="str">
        <x:v>0–30</x:v>
      </x:c>
      <x:c r="B19" t="str">
        <x:v>R1</x:v>
      </x:c>
      <x:c r="C19" t="n">
        <x:v>50000</x:v>
      </x:c>
      <x:c r="D19" t="n">
        <x:v>10000</x:v>
      </x:c>
      <x:c r="E19" s="121" t="n">
        <x:v>67.57</x:v>
      </x:c>
      <x:c r="F19" s="121" t="n">
        <x:v>0.4099999999999966</x:v>
      </x:c>
      <x:c r="G19" s="121" t="n">
        <x:v>0.4099999999999966</x:v>
      </x:c>
      <x:c r="H19" s="121" t="n">
        <x:v>0.4681127107866224</x:v>
      </x:c>
      <x:c r="I19" t="str">
        <x:v>PASS</x:v>
      </x:c>
    </x:row>
    <x:row r="20">
      <x:c r="A20" t="str">
        <x:v>31–60</x:v>
      </x:c>
      <x:c r="B20" t="str">
        <x:v>R8</x:v>
      </x:c>
      <x:c r="C20" t="n">
        <x:v>50000</x:v>
      </x:c>
      <x:c r="D20" t="n">
        <x:v>10000</x:v>
      </x:c>
      <x:c r="E20" s="121" t="n">
        <x:v>88.58</x:v>
      </x:c>
      <x:c r="F20" s="121" t="n">
        <x:v>0.29999999999999716</x:v>
      </x:c>
      <x:c r="G20" s="121" t="n">
        <x:v>0.29999999999999716</x:v>
      </x:c>
      <x:c r="H20" s="121" t="n">
        <x:v>0.31805402056883353</x:v>
      </x:c>
      <x:c r="I20" t="str">
        <x:v>PASS</x:v>
      </x:c>
    </x:row>
    <x:row r="21">
      <x:c r="A21" t="str">
        <x:v>61–90</x:v>
      </x:c>
      <x:c r="B21" t="str">
        <x:v>R10</x:v>
      </x:c>
      <x:c r="C21" t="n">
        <x:v>50000</x:v>
      </x:c>
      <x:c r="D21" t="n">
        <x:v>10000</x:v>
      </x:c>
      <x:c r="E21" s="121" t="n">
        <x:v>87.72</x:v>
      </x:c>
      <x:c r="F21" s="121" t="n">
        <x:v>-0.04000000000000625</x:v>
      </x:c>
      <x:c r="G21" s="121" t="n">
        <x:v>0.04000000000000625</x:v>
      </x:c>
      <x:c r="H21" s="121" t="n">
        <x:v>0.3282074953440278</x:v>
      </x:c>
      <x:c r="I21" t="str">
        <x:v>PASS</x:v>
      </x:c>
    </x:row>
    <x:row r="22">
      <x:c r="A22" t="str">
        <x:v>91–120</x:v>
      </x:c>
      <x:c r="B22" t="str">
        <x:v>R12</x:v>
      </x:c>
      <x:c r="C22" t="n">
        <x:v>50000</x:v>
      </x:c>
      <x:c r="D22" t="n">
        <x:v>10000</x:v>
      </x:c>
      <x:c r="E22" s="121" t="n">
        <x:v>87.98</x:v>
      </x:c>
      <x:c r="F22" s="121" t="n">
        <x:v>-0.09000000000000341</x:v>
      </x:c>
      <x:c r="G22" s="121" t="n">
        <x:v>0.09000000000000341</x:v>
      </x:c>
      <x:c r="H22" s="121" t="n">
        <x:v>0.3251952644181646</x:v>
      </x:c>
      <x:c r="I22" t="str">
        <x:v>PASS</x:v>
      </x:c>
    </x:row>
    <x:row r="23">
      <x:c r="A23" t="str">
        <x:v>121–150</x:v>
      </x:c>
      <x:c r="B23" t="str">
        <x:v>R13</x:v>
      </x:c>
      <x:c r="C23" t="n">
        <x:v>50000</x:v>
      </x:c>
      <x:c r="D23" t="n">
        <x:v>10000</x:v>
      </x:c>
      <x:c r="E23" s="121" t="n">
        <x:v>80.93</x:v>
      </x:c>
      <x:c r="F23" s="121" t="n">
        <x:v>0.125</x:v>
      </x:c>
      <x:c r="G23" s="121" t="n">
        <x:v>0.125</x:v>
      </x:c>
      <x:c r="H23" s="121" t="n">
        <x:v>0.39285303867986054</x:v>
      </x:c>
      <x:c r="I23" t="str">
        <x:v>PASS</x:v>
      </x:c>
    </x:row>
    <x:row r="24">
      <x:c r="A24" t="str">
        <x:v>0–30</x:v>
      </x:c>
      <x:c r="B24" t="str">
        <x:v>R1</x:v>
      </x:c>
      <x:c r="C24" t="n">
        <x:v>100000</x:v>
      </x:c>
      <x:c r="D24" t="n">
        <x:v>20000</x:v>
      </x:c>
      <x:c r="E24" s="121" t="n">
        <x:v>67.16</x:v>
      </x:c>
      <x:c r="F24" s="121" t="n">
        <x:v>0</x:v>
      </x:c>
      <x:c r="G24" s="121" t="n">
        <x:v>0</x:v>
      </x:c>
      <x:c r="H24" s="121" t="n">
        <x:v>0.3320793880986894</x:v>
      </x:c>
      <x:c r="I24" t="str">
        <x:v>PASS</x:v>
      </x:c>
    </x:row>
    <x:row r="25">
      <x:c r="A25" t="str">
        <x:v>31–60</x:v>
      </x:c>
      <x:c r="B25" t="str">
        <x:v>R8</x:v>
      </x:c>
      <x:c r="C25" t="n">
        <x:v>100000</x:v>
      </x:c>
      <x:c r="D25" t="n">
        <x:v>20000</x:v>
      </x:c>
      <x:c r="E25" s="121" t="n">
        <x:v>88.28</x:v>
      </x:c>
      <x:c r="F25" s="121" t="n">
        <x:v>0</x:v>
      </x:c>
      <x:c r="G25" s="121" t="n">
        <x:v>0</x:v>
      </x:c>
      <x:c r="H25" s="121" t="n">
        <x:v>0.22744687291761123</x:v>
      </x:c>
      <x:c r="I25" t="str">
        <x:v>PASS</x:v>
      </x:c>
    </x:row>
    <x:row r="26">
      <x:c r="A26" t="str">
        <x:v>61–90</x:v>
      </x:c>
      <x:c r="B26" t="str">
        <x:v>R10</x:v>
      </x:c>
      <x:c r="C26" t="n">
        <x:v>100000</x:v>
      </x:c>
      <x:c r="D26" t="n">
        <x:v>20000</x:v>
      </x:c>
      <x:c r="E26" s="121" t="n">
        <x:v>87.76</x:v>
      </x:c>
      <x:c r="F26" s="121" t="n">
        <x:v>0</x:v>
      </x:c>
      <x:c r="G26" s="121" t="n">
        <x:v>0</x:v>
      </x:c>
      <x:c r="H26" s="121" t="n">
        <x:v>0.23175228154216732</x:v>
      </x:c>
      <x:c r="I26" t="str">
        <x:v>PASS</x:v>
      </x:c>
    </x:row>
    <x:row r="27">
      <x:c r="A27" t="str">
        <x:v>91–120</x:v>
      </x:c>
      <x:c r="B27" t="str">
        <x:v>R12</x:v>
      </x:c>
      <x:c r="C27" t="n">
        <x:v>100000</x:v>
      </x:c>
      <x:c r="D27" t="n">
        <x:v>20000</x:v>
      </x:c>
      <x:c r="E27" s="121" t="n">
        <x:v>88.07000000000001</x:v>
      </x:c>
      <x:c r="F27" s="121" t="n">
        <x:v>0</x:v>
      </x:c>
      <x:c r="G27" s="121" t="n">
        <x:v>0</x:v>
      </x:c>
      <x:c r="H27" s="121" t="n">
        <x:v>0.2292024323605663</x:v>
      </x:c>
      <x:c r="I27" t="str">
        <x:v>PASS</x:v>
      </x:c>
    </x:row>
    <x:row r="28">
      <x:c r="A28" t="str">
        <x:v>121–150</x:v>
      </x:c>
      <x:c r="B28" t="str">
        <x:v>R13</x:v>
      </x:c>
      <x:c r="C28" t="n">
        <x:v>100000</x:v>
      </x:c>
      <x:c r="D28" t="n">
        <x:v>20000</x:v>
      </x:c>
      <x:c r="E28" s="121" t="n">
        <x:v>80.805</x:v>
      </x:c>
      <x:c r="F28" s="121" t="n">
        <x:v>0</x:v>
      </x:c>
      <x:c r="G28" s="121" t="n">
        <x:v>0</x:v>
      </x:c>
      <x:c r="H28" s="121" t="n">
        <x:v>0.2784826722616687</x:v>
      </x:c>
      <x:c r="I28" t="str">
        <x:v>PASS</x:v>
      </x:c>
    </x:row>
  </x:sheetData>
  <x:mergeCells>
    <x:mergeCell ref="A1:I1"/>
  </x:mergeCells>
  <x:conditionalFormatting sqref="I4:I28">
    <x:cfRule type="expression" dxfId="9" priority="1">
      <x:formula>I4="PASS"</x:formula>
    </x:cfRule>
    <x:cfRule type="expression" dxfId="10" priority="2">
      <x:formula>I4="REVIEW"</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120" t="str">
        <x:v>Seed</x:v>
      </x:c>
      <x:c r="B1" s="120" t="str">
        <x:v>EKFC</x:v>
      </x:c>
      <x:c r="C1" s="120" t="str">
        <x:v>Regimen</x:v>
      </x:c>
      <x:c r="D1" s="120" t="str">
        <x:v>MIC</x:v>
      </x:c>
      <x:c r="E1" s="120" t="str">
        <x:v>CAZ PTA</x:v>
      </x:c>
      <x:c r="F1" s="120" t="str">
        <x:v>AVI attainment</x:v>
      </x:c>
      <x:c r="G1" s="120" t="str">
        <x:v>Joint PTA</x:v>
      </x:c>
      <x:c r="H1" s="120" t="str">
        <x:v>Toxicity</x:v>
      </x:c>
    </x:row>
    <x:row r="2">
      <x:c r="A2" t="n">
        <x:v>20260707</x:v>
      </x:c>
      <x:c r="B2" t="str">
        <x:v>0–30</x:v>
      </x:c>
      <x:c r="C2" t="str">
        <x:v>R1</x:v>
      </x:c>
      <x:c r="D2" s="121" t="n">
        <x:v>4</x:v>
      </x:c>
      <x:c r="E2" s="121" t="n">
        <x:v>68.7</x:v>
      </x:c>
      <x:c r="F2" s="121" t="n">
        <x:v>74.94</x:v>
      </x:c>
      <x:c r="G2" s="121" t="n">
        <x:v>67.16</x:v>
      </x:c>
      <x:c r="H2" s="121" t="n">
        <x:v>9.31</x:v>
      </x:c>
    </x:row>
    <x:row r="3">
      <x:c r="A3" t="n">
        <x:v>20260707</x:v>
      </x:c>
      <x:c r="B3" t="str">
        <x:v>0–30</x:v>
      </x:c>
      <x:c r="C3" t="str">
        <x:v>R1</x:v>
      </x:c>
      <x:c r="D3" s="121" t="n">
        <x:v>8</x:v>
      </x:c>
      <x:c r="E3" s="121" t="n">
        <x:v>35.985</x:v>
      </x:c>
      <x:c r="F3" s="121" t="n">
        <x:v>74.94</x:v>
      </x:c>
      <x:c r="G3" s="121" t="n">
        <x:v>35.985</x:v>
      </x:c>
      <x:c r="H3" s="121" t="n">
        <x:v>9.31</x:v>
      </x:c>
    </x:row>
    <x:row r="4">
      <x:c r="A4" t="n">
        <x:v>20260707</x:v>
      </x:c>
      <x:c r="B4" t="str">
        <x:v>31–60</x:v>
      </x:c>
      <x:c r="C4" t="str">
        <x:v>R8</x:v>
      </x:c>
      <x:c r="D4" s="121" t="n">
        <x:v>4</x:v>
      </x:c>
      <x:c r="E4" s="121" t="n">
        <x:v>91.82000000000001</x:v>
      </x:c>
      <x:c r="F4" s="121" t="n">
        <x:v>89.45</x:v>
      </x:c>
      <x:c r="G4" s="121" t="n">
        <x:v>88.28</x:v>
      </x:c>
      <x:c r="H4" s="121" t="n">
        <x:v>9.335</x:v>
      </x:c>
    </x:row>
    <x:row r="5">
      <x:c r="A5" t="n">
        <x:v>20260707</x:v>
      </x:c>
      <x:c r="B5" t="str">
        <x:v>31–60</x:v>
      </x:c>
      <x:c r="C5" t="str">
        <x:v>R8</x:v>
      </x:c>
      <x:c r="D5" s="121" t="n">
        <x:v>8</x:v>
      </x:c>
      <x:c r="E5" s="121" t="n">
        <x:v>62.11</x:v>
      </x:c>
      <x:c r="F5" s="121" t="n">
        <x:v>89.45</x:v>
      </x:c>
      <x:c r="G5" s="121" t="n">
        <x:v>62.09</x:v>
      </x:c>
      <x:c r="H5" s="121" t="n">
        <x:v>9.335</x:v>
      </x:c>
    </x:row>
    <x:row r="6">
      <x:c r="A6" t="n">
        <x:v>20260707</x:v>
      </x:c>
      <x:c r="B6" t="str">
        <x:v>61–90</x:v>
      </x:c>
      <x:c r="C6" t="str">
        <x:v>R10</x:v>
      </x:c>
      <x:c r="D6" s="121" t="n">
        <x:v>4</x:v>
      </x:c>
      <x:c r="E6" s="121" t="n">
        <x:v>93.105</x:v>
      </x:c>
      <x:c r="F6" s="121" t="n">
        <x:v>88.405</x:v>
      </x:c>
      <x:c r="G6" s="121" t="n">
        <x:v>87.76</x:v>
      </x:c>
      <x:c r="H6" s="121" t="n">
        <x:v>10.89</x:v>
      </x:c>
    </x:row>
    <x:row r="7">
      <x:c r="A7" t="n">
        <x:v>20260707</x:v>
      </x:c>
      <x:c r="B7" t="str">
        <x:v>61–90</x:v>
      </x:c>
      <x:c r="C7" t="str">
        <x:v>R10</x:v>
      </x:c>
      <x:c r="D7" s="121" t="n">
        <x:v>8</x:v>
      </x:c>
      <x:c r="E7" s="121" t="n">
        <x:v>64.945</x:v>
      </x:c>
      <x:c r="F7" s="121" t="n">
        <x:v>88.405</x:v>
      </x:c>
      <x:c r="G7" s="121" t="n">
        <x:v>64.92999999999999</x:v>
      </x:c>
      <x:c r="H7" s="121" t="n">
        <x:v>10.89</x:v>
      </x:c>
    </x:row>
    <x:row r="8">
      <x:c r="A8" t="n">
        <x:v>20260707</x:v>
      </x:c>
      <x:c r="B8" t="str">
        <x:v>91–120</x:v>
      </x:c>
      <x:c r="C8" t="str">
        <x:v>R12</x:v>
      </x:c>
      <x:c r="D8" s="121" t="n">
        <x:v>4</x:v>
      </x:c>
      <x:c r="E8" s="121" t="n">
        <x:v>94.405</x:v>
      </x:c>
      <x:c r="F8" s="121" t="n">
        <x:v>88.46000000000001</x:v>
      </x:c>
      <x:c r="G8" s="121" t="n">
        <x:v>88.07000000000001</x:v>
      </x:c>
      <x:c r="H8" s="121" t="n">
        <x:v>12.32</x:v>
      </x:c>
    </x:row>
    <x:row r="9">
      <x:c r="A9" t="n">
        <x:v>20260707</x:v>
      </x:c>
      <x:c r="B9" t="str">
        <x:v>91–120</x:v>
      </x:c>
      <x:c r="C9" t="str">
        <x:v>R12</x:v>
      </x:c>
      <x:c r="D9" s="121" t="n">
        <x:v>8</x:v>
      </x:c>
      <x:c r="E9" s="121" t="n">
        <x:v>68.11500000000001</x:v>
      </x:c>
      <x:c r="F9" s="121" t="n">
        <x:v>88.46000000000001</x:v>
      </x:c>
      <x:c r="G9" s="121" t="n">
        <x:v>68.045</x:v>
      </x:c>
      <x:c r="H9" s="121" t="n">
        <x:v>12.32</x:v>
      </x:c>
    </x:row>
    <x:row r="10">
      <x:c r="A10" t="n">
        <x:v>20260707</x:v>
      </x:c>
      <x:c r="B10" t="str">
        <x:v>121–150</x:v>
      </x:c>
      <x:c r="C10" t="str">
        <x:v>R13</x:v>
      </x:c>
      <x:c r="D10" s="121" t="n">
        <x:v>4</x:v>
      </x:c>
      <x:c r="E10" s="121" t="n">
        <x:v>90.425</x:v>
      </x:c>
      <x:c r="F10" s="121" t="n">
        <x:v>81.245</x:v>
      </x:c>
      <x:c r="G10" s="121" t="n">
        <x:v>80.805</x:v>
      </x:c>
      <x:c r="H10" s="121" t="n">
        <x:v>7.33</x:v>
      </x:c>
    </x:row>
    <x:row r="11">
      <x:c r="A11" t="n">
        <x:v>20260707</x:v>
      </x:c>
      <x:c r="B11" t="str">
        <x:v>121–150</x:v>
      </x:c>
      <x:c r="C11" t="str">
        <x:v>R13</x:v>
      </x:c>
      <x:c r="D11" s="121" t="n">
        <x:v>8</x:v>
      </x:c>
      <x:c r="E11" s="121" t="n">
        <x:v>57.30499999999999</x:v>
      </x:c>
      <x:c r="F11" s="121" t="n">
        <x:v>81.245</x:v>
      </x:c>
      <x:c r="G11" s="121" t="n">
        <x:v>57.205</x:v>
      </x:c>
      <x:c r="H11" s="121" t="n">
        <x:v>7.33</x:v>
      </x:c>
    </x:row>
    <x:row r="12">
      <x:c r="A12" t="n">
        <x:v>20260708</x:v>
      </x:c>
      <x:c r="B12" t="str">
        <x:v>0–30</x:v>
      </x:c>
      <x:c r="C12" t="str">
        <x:v>R1</x:v>
      </x:c>
      <x:c r="D12" s="121" t="n">
        <x:v>4</x:v>
      </x:c>
      <x:c r="E12" s="121" t="n">
        <x:v>68.705</x:v>
      </x:c>
      <x:c r="F12" s="121" t="n">
        <x:v>74.86500000000001</x:v>
      </x:c>
      <x:c r="G12" s="121" t="n">
        <x:v>67.32000000000001</x:v>
      </x:c>
      <x:c r="H12" s="121" t="n">
        <x:v>9.545</x:v>
      </x:c>
    </x:row>
    <x:row r="13">
      <x:c r="A13" t="n">
        <x:v>20260708</x:v>
      </x:c>
      <x:c r="B13" t="str">
        <x:v>0–30</x:v>
      </x:c>
      <x:c r="C13" t="str">
        <x:v>R1</x:v>
      </x:c>
      <x:c r="D13" s="121" t="n">
        <x:v>8</x:v>
      </x:c>
      <x:c r="E13" s="121" t="n">
        <x:v>36.51</x:v>
      </x:c>
      <x:c r="F13" s="121" t="n">
        <x:v>74.86500000000001</x:v>
      </x:c>
      <x:c r="G13" s="121" t="n">
        <x:v>36.51</x:v>
      </x:c>
      <x:c r="H13" s="121" t="n">
        <x:v>9.545</x:v>
      </x:c>
    </x:row>
    <x:row r="14">
      <x:c r="A14" t="n">
        <x:v>20260708</x:v>
      </x:c>
      <x:c r="B14" t="str">
        <x:v>31–60</x:v>
      </x:c>
      <x:c r="C14" t="str">
        <x:v>R8</x:v>
      </x:c>
      <x:c r="D14" s="121" t="n">
        <x:v>4</x:v>
      </x:c>
      <x:c r="E14" s="121" t="n">
        <x:v>91.82000000000001</x:v>
      </x:c>
      <x:c r="F14" s="121" t="n">
        <x:v>89.55</x:v>
      </x:c>
      <x:c r="G14" s="121" t="n">
        <x:v>88.125</x:v>
      </x:c>
      <x:c r="H14" s="121" t="n">
        <x:v>9.685</x:v>
      </x:c>
    </x:row>
    <x:row r="15">
      <x:c r="A15" t="n">
        <x:v>20260708</x:v>
      </x:c>
      <x:c r="B15" t="str">
        <x:v>31–60</x:v>
      </x:c>
      <x:c r="C15" t="str">
        <x:v>R8</x:v>
      </x:c>
      <x:c r="D15" s="121" t="n">
        <x:v>8</x:v>
      </x:c>
      <x:c r="E15" s="121" t="n">
        <x:v>61.695</x:v>
      </x:c>
      <x:c r="F15" s="121" t="n">
        <x:v>89.55</x:v>
      </x:c>
      <x:c r="G15" s="121" t="n">
        <x:v>61.685</x:v>
      </x:c>
      <x:c r="H15" s="121" t="n">
        <x:v>9.685</x:v>
      </x:c>
    </x:row>
    <x:row r="16">
      <x:c r="A16" t="n">
        <x:v>20260708</x:v>
      </x:c>
      <x:c r="B16" t="str">
        <x:v>61–90</x:v>
      </x:c>
      <x:c r="C16" t="str">
        <x:v>R10</x:v>
      </x:c>
      <x:c r="D16" s="121" t="n">
        <x:v>4</x:v>
      </x:c>
      <x:c r="E16" s="121" t="n">
        <x:v>93.075</x:v>
      </x:c>
      <x:c r="F16" s="121" t="n">
        <x:v>88.265</x:v>
      </x:c>
      <x:c r="G16" s="121" t="n">
        <x:v>87.665</x:v>
      </x:c>
      <x:c r="H16" s="121" t="n">
        <x:v>10.615</x:v>
      </x:c>
    </x:row>
    <x:row r="17">
      <x:c r="A17" t="n">
        <x:v>20260708</x:v>
      </x:c>
      <x:c r="B17" t="str">
        <x:v>61–90</x:v>
      </x:c>
      <x:c r="C17" t="str">
        <x:v>R10</x:v>
      </x:c>
      <x:c r="D17" s="121" t="n">
        <x:v>8</x:v>
      </x:c>
      <x:c r="E17" s="121" t="n">
        <x:v>64.575</x:v>
      </x:c>
      <x:c r="F17" s="121" t="n">
        <x:v>88.265</x:v>
      </x:c>
      <x:c r="G17" s="121" t="n">
        <x:v>64.55499999999999</x:v>
      </x:c>
      <x:c r="H17" s="121" t="n">
        <x:v>10.615</x:v>
      </x:c>
    </x:row>
    <x:row r="18">
      <x:c r="A18" t="n">
        <x:v>20260708</x:v>
      </x:c>
      <x:c r="B18" t="str">
        <x:v>91–120</x:v>
      </x:c>
      <x:c r="C18" t="str">
        <x:v>R12</x:v>
      </x:c>
      <x:c r="D18" s="121" t="n">
        <x:v>4</x:v>
      </x:c>
      <x:c r="E18" s="121" t="n">
        <x:v>94.24</x:v>
      </x:c>
      <x:c r="F18" s="121" t="n">
        <x:v>88.435</x:v>
      </x:c>
      <x:c r="G18" s="121" t="n">
        <x:v>88.14</x:v>
      </x:c>
      <x:c r="H18" s="121" t="n">
        <x:v>12.295</x:v>
      </x:c>
    </x:row>
    <x:row r="19">
      <x:c r="A19" t="n">
        <x:v>20260708</x:v>
      </x:c>
      <x:c r="B19" t="str">
        <x:v>91–120</x:v>
      </x:c>
      <x:c r="C19" t="str">
        <x:v>R12</x:v>
      </x:c>
      <x:c r="D19" s="121" t="n">
        <x:v>8</x:v>
      </x:c>
      <x:c r="E19" s="121" t="n">
        <x:v>67.585</x:v>
      </x:c>
      <x:c r="F19" s="121" t="n">
        <x:v>88.435</x:v>
      </x:c>
      <x:c r="G19" s="121" t="n">
        <x:v>67.535</x:v>
      </x:c>
      <x:c r="H19" s="121" t="n">
        <x:v>12.295</x:v>
      </x:c>
    </x:row>
    <x:row r="20">
      <x:c r="A20" t="n">
        <x:v>20260708</x:v>
      </x:c>
      <x:c r="B20" t="str">
        <x:v>121–150</x:v>
      </x:c>
      <x:c r="C20" t="str">
        <x:v>R13</x:v>
      </x:c>
      <x:c r="D20" s="121" t="n">
        <x:v>4</x:v>
      </x:c>
      <x:c r="E20" s="121" t="n">
        <x:v>90.19</x:v>
      </x:c>
      <x:c r="F20" s="121" t="n">
        <x:v>80.575</x:v>
      </x:c>
      <x:c r="G20" s="121" t="n">
        <x:v>80.17999999999999</x:v>
      </x:c>
      <x:c r="H20" s="121" t="n">
        <x:v>7.3</x:v>
      </x:c>
    </x:row>
    <x:row r="21">
      <x:c r="A21" t="n">
        <x:v>20260708</x:v>
      </x:c>
      <x:c r="B21" t="str">
        <x:v>121–150</x:v>
      </x:c>
      <x:c r="C21" t="str">
        <x:v>R13</x:v>
      </x:c>
      <x:c r="D21" s="121" t="n">
        <x:v>8</x:v>
      </x:c>
      <x:c r="E21" s="121" t="n">
        <x:v>56.76</x:v>
      </x:c>
      <x:c r="F21" s="121" t="n">
        <x:v>80.575</x:v>
      </x:c>
      <x:c r="G21" s="121" t="n">
        <x:v>56.67</x:v>
      </x:c>
      <x:c r="H21" s="121" t="n">
        <x:v>7.3</x:v>
      </x:c>
    </x:row>
    <x:row r="22">
      <x:c r="A22" t="n">
        <x:v>20260709</x:v>
      </x:c>
      <x:c r="B22" t="str">
        <x:v>0–30</x:v>
      </x:c>
      <x:c r="C22" t="str">
        <x:v>R1</x:v>
      </x:c>
      <x:c r="D22" s="121" t="n">
        <x:v>4</x:v>
      </x:c>
      <x:c r="E22" s="121" t="n">
        <x:v>67.65</x:v>
      </x:c>
      <x:c r="F22" s="121" t="n">
        <x:v>74.16</x:v>
      </x:c>
      <x:c r="G22" s="121" t="n">
        <x:v>66.10000000000001</x:v>
      </x:c>
      <x:c r="H22" s="121" t="n">
        <x:v>9.01</x:v>
      </x:c>
    </x:row>
    <x:row r="23">
      <x:c r="A23" t="n">
        <x:v>20260709</x:v>
      </x:c>
      <x:c r="B23" t="str">
        <x:v>0–30</x:v>
      </x:c>
      <x:c r="C23" t="str">
        <x:v>R1</x:v>
      </x:c>
      <x:c r="D23" s="121" t="n">
        <x:v>8</x:v>
      </x:c>
      <x:c r="E23" s="121" t="n">
        <x:v>35.245</x:v>
      </x:c>
      <x:c r="F23" s="121" t="n">
        <x:v>74.16</x:v>
      </x:c>
      <x:c r="G23" s="121" t="n">
        <x:v>35.245</x:v>
      </x:c>
      <x:c r="H23" s="121" t="n">
        <x:v>9.01</x:v>
      </x:c>
    </x:row>
    <x:row r="24">
      <x:c r="A24" t="n">
        <x:v>20260709</x:v>
      </x:c>
      <x:c r="B24" t="str">
        <x:v>31–60</x:v>
      </x:c>
      <x:c r="C24" t="str">
        <x:v>R8</x:v>
      </x:c>
      <x:c r="D24" s="121" t="n">
        <x:v>4</x:v>
      </x:c>
      <x:c r="E24" s="121" t="n">
        <x:v>92.225</x:v>
      </x:c>
      <x:c r="F24" s="121" t="n">
        <x:v>90.03999999999999</x:v>
      </x:c>
      <x:c r="G24" s="121" t="n">
        <x:v>88.755</x:v>
      </x:c>
      <x:c r="H24" s="121" t="n">
        <x:v>9.71</x:v>
      </x:c>
    </x:row>
    <x:row r="25">
      <x:c r="A25" t="n">
        <x:v>20260709</x:v>
      </x:c>
      <x:c r="B25" t="str">
        <x:v>31–60</x:v>
      </x:c>
      <x:c r="C25" t="str">
        <x:v>R8</x:v>
      </x:c>
      <x:c r="D25" s="121" t="n">
        <x:v>8</x:v>
      </x:c>
      <x:c r="E25" s="121" t="n">
        <x:v>62.2</x:v>
      </x:c>
      <x:c r="F25" s="121" t="n">
        <x:v>90.03999999999999</x:v>
      </x:c>
      <x:c r="G25" s="121" t="n">
        <x:v>62.195</x:v>
      </x:c>
      <x:c r="H25" s="121" t="n">
        <x:v>9.71</x:v>
      </x:c>
    </x:row>
    <x:row r="26">
      <x:c r="A26" t="n">
        <x:v>20260709</x:v>
      </x:c>
      <x:c r="B26" t="str">
        <x:v>61–90</x:v>
      </x:c>
      <x:c r="C26" t="str">
        <x:v>R10</x:v>
      </x:c>
      <x:c r="D26" s="121" t="n">
        <x:v>4</x:v>
      </x:c>
      <x:c r="E26" s="121" t="n">
        <x:v>93.185</x:v>
      </x:c>
      <x:c r="F26" s="121" t="n">
        <x:v>88.77000000000001</x:v>
      </x:c>
      <x:c r="G26" s="121" t="n">
        <x:v>88.29</x:v>
      </x:c>
      <x:c r="H26" s="121" t="n">
        <x:v>10.775</x:v>
      </x:c>
    </x:row>
    <x:row r="27">
      <x:c r="A27" t="n">
        <x:v>20260709</x:v>
      </x:c>
      <x:c r="B27" t="str">
        <x:v>61–90</x:v>
      </x:c>
      <x:c r="C27" t="str">
        <x:v>R10</x:v>
      </x:c>
      <x:c r="D27" s="121" t="n">
        <x:v>8</x:v>
      </x:c>
      <x:c r="E27" s="121" t="n">
        <x:v>65.515</x:v>
      </x:c>
      <x:c r="F27" s="121" t="n">
        <x:v>88.77000000000001</x:v>
      </x:c>
      <x:c r="G27" s="121" t="n">
        <x:v>65.495</x:v>
      </x:c>
      <x:c r="H27" s="121" t="n">
        <x:v>10.775</x:v>
      </x:c>
    </x:row>
    <x:row r="28">
      <x:c r="A28" t="n">
        <x:v>20260709</x:v>
      </x:c>
      <x:c r="B28" t="str">
        <x:v>91–120</x:v>
      </x:c>
      <x:c r="C28" t="str">
        <x:v>R12</x:v>
      </x:c>
      <x:c r="D28" s="121" t="n">
        <x:v>4</x:v>
      </x:c>
      <x:c r="E28" s="121" t="n">
        <x:v>93.955</x:v>
      </x:c>
      <x:c r="F28" s="121" t="n">
        <x:v>88.255</x:v>
      </x:c>
      <x:c r="G28" s="121" t="n">
        <x:v>87.86500000000001</x:v>
      </x:c>
      <x:c r="H28" s="121" t="n">
        <x:v>12.049999999999999</x:v>
      </x:c>
    </x:row>
    <x:row r="29">
      <x:c r="A29" t="n">
        <x:v>20260709</x:v>
      </x:c>
      <x:c r="B29" t="str">
        <x:v>91–120</x:v>
      </x:c>
      <x:c r="C29" t="str">
        <x:v>R12</x:v>
      </x:c>
      <x:c r="D29" s="121" t="n">
        <x:v>8</x:v>
      </x:c>
      <x:c r="E29" s="121" t="n">
        <x:v>67.415</x:v>
      </x:c>
      <x:c r="F29" s="121" t="n">
        <x:v>88.255</x:v>
      </x:c>
      <x:c r="G29" s="121" t="n">
        <x:v>67.35</x:v>
      </x:c>
      <x:c r="H29" s="121" t="n">
        <x:v>12.049999999999999</x:v>
      </x:c>
    </x:row>
    <x:row r="30">
      <x:c r="A30" t="n">
        <x:v>20260709</x:v>
      </x:c>
      <x:c r="B30" t="str">
        <x:v>121–150</x:v>
      </x:c>
      <x:c r="C30" t="str">
        <x:v>R13</x:v>
      </x:c>
      <x:c r="D30" s="121" t="n">
        <x:v>4</x:v>
      </x:c>
      <x:c r="E30" s="121" t="n">
        <x:v>90.185</x:v>
      </x:c>
      <x:c r="F30" s="121" t="n">
        <x:v>80.52</x:v>
      </x:c>
      <x:c r="G30" s="121" t="n">
        <x:v>80.12</x:v>
      </x:c>
      <x:c r="H30" s="121" t="n">
        <x:v>7.305000000000001</x:v>
      </x:c>
    </x:row>
    <x:row r="31">
      <x:c r="A31" t="n">
        <x:v>20260709</x:v>
      </x:c>
      <x:c r="B31" t="str">
        <x:v>121–150</x:v>
      </x:c>
      <x:c r="C31" t="str">
        <x:v>R13</x:v>
      </x:c>
      <x:c r="D31" s="121" t="n">
        <x:v>8</x:v>
      </x:c>
      <x:c r="E31" s="121" t="n">
        <x:v>57.074999999999996</x:v>
      </x:c>
      <x:c r="F31" s="121" t="n">
        <x:v>80.52</x:v>
      </x:c>
      <x:c r="G31" s="121" t="n">
        <x:v>56.96</x:v>
      </x:c>
      <x:c r="H31" s="121" t="n">
        <x:v>7.305000000000001</x:v>
      </x:c>
    </x:row>
    <x:row r="32">
      <x:c r="A32" t="n">
        <x:v>20260710</x:v>
      </x:c>
      <x:c r="B32" t="str">
        <x:v>0–30</x:v>
      </x:c>
      <x:c r="C32" t="str">
        <x:v>R1</x:v>
      </x:c>
      <x:c r="D32" s="121" t="n">
        <x:v>4</x:v>
      </x:c>
      <x:c r="E32" s="121" t="n">
        <x:v>67.645</x:v>
      </x:c>
      <x:c r="F32" s="121" t="n">
        <x:v>74.325</x:v>
      </x:c>
      <x:c r="G32" s="121" t="n">
        <x:v>66.34</x:v>
      </x:c>
      <x:c r="H32" s="121" t="n">
        <x:v>9.19</x:v>
      </x:c>
    </x:row>
    <x:row r="33">
      <x:c r="A33" t="n">
        <x:v>20260710</x:v>
      </x:c>
      <x:c r="B33" t="str">
        <x:v>0–30</x:v>
      </x:c>
      <x:c r="C33" t="str">
        <x:v>R1</x:v>
      </x:c>
      <x:c r="D33" s="121" t="n">
        <x:v>8</x:v>
      </x:c>
      <x:c r="E33" s="121" t="n">
        <x:v>35.745</x:v>
      </x:c>
      <x:c r="F33" s="121" t="n">
        <x:v>74.325</x:v>
      </x:c>
      <x:c r="G33" s="121" t="n">
        <x:v>35.745</x:v>
      </x:c>
      <x:c r="H33" s="121" t="n">
        <x:v>9.19</x:v>
      </x:c>
    </x:row>
    <x:row r="34">
      <x:c r="A34" t="n">
        <x:v>20260710</x:v>
      </x:c>
      <x:c r="B34" t="str">
        <x:v>31–60</x:v>
      </x:c>
      <x:c r="C34" t="str">
        <x:v>R8</x:v>
      </x:c>
      <x:c r="D34" s="121" t="n">
        <x:v>4</x:v>
      </x:c>
      <x:c r="E34" s="121" t="n">
        <x:v>91.82000000000001</x:v>
      </x:c>
      <x:c r="F34" s="121" t="n">
        <x:v>89.91</x:v>
      </x:c>
      <x:c r="G34" s="121" t="n">
        <x:v>88.645</x:v>
      </x:c>
      <x:c r="H34" s="121" t="n">
        <x:v>9.719999999999999</x:v>
      </x:c>
    </x:row>
    <x:row r="35">
      <x:c r="A35" t="n">
        <x:v>20260710</x:v>
      </x:c>
      <x:c r="B35" t="str">
        <x:v>31–60</x:v>
      </x:c>
      <x:c r="C35" t="str">
        <x:v>R8</x:v>
      </x:c>
      <x:c r="D35" s="121" t="n">
        <x:v>8</x:v>
      </x:c>
      <x:c r="E35" s="121" t="n">
        <x:v>61.86000000000001</x:v>
      </x:c>
      <x:c r="F35" s="121" t="n">
        <x:v>89.91</x:v>
      </x:c>
      <x:c r="G35" s="121" t="n">
        <x:v>61.85000000000001</x:v>
      </x:c>
      <x:c r="H35" s="121" t="n">
        <x:v>9.719999999999999</x:v>
      </x:c>
    </x:row>
    <x:row r="36">
      <x:c r="A36" t="n">
        <x:v>20260710</x:v>
      </x:c>
      <x:c r="B36" t="str">
        <x:v>61–90</x:v>
      </x:c>
      <x:c r="C36" t="str">
        <x:v>R10</x:v>
      </x:c>
      <x:c r="D36" s="121" t="n">
        <x:v>4</x:v>
      </x:c>
      <x:c r="E36" s="121" t="n">
        <x:v>93.195</x:v>
      </x:c>
      <x:c r="F36" s="121" t="n">
        <x:v>88.775</x:v>
      </x:c>
      <x:c r="G36" s="121" t="n">
        <x:v>88.105</x:v>
      </x:c>
      <x:c r="H36" s="121" t="n">
        <x:v>10.67</x:v>
      </x:c>
    </x:row>
    <x:row r="37">
      <x:c r="A37" t="n">
        <x:v>20260710</x:v>
      </x:c>
      <x:c r="B37" t="str">
        <x:v>61–90</x:v>
      </x:c>
      <x:c r="C37" t="str">
        <x:v>R10</x:v>
      </x:c>
      <x:c r="D37" s="121" t="n">
        <x:v>8</x:v>
      </x:c>
      <x:c r="E37" s="121" t="n">
        <x:v>64.59</x:v>
      </x:c>
      <x:c r="F37" s="121" t="n">
        <x:v>88.775</x:v>
      </x:c>
      <x:c r="G37" s="121" t="n">
        <x:v>64.575</x:v>
      </x:c>
      <x:c r="H37" s="121" t="n">
        <x:v>10.67</x:v>
      </x:c>
    </x:row>
    <x:row r="38">
      <x:c r="A38" t="n">
        <x:v>20260710</x:v>
      </x:c>
      <x:c r="B38" t="str">
        <x:v>91–120</x:v>
      </x:c>
      <x:c r="C38" t="str">
        <x:v>R12</x:v>
      </x:c>
      <x:c r="D38" s="121" t="n">
        <x:v>4</x:v>
      </x:c>
      <x:c r="E38" s="121" t="n">
        <x:v>94.02000000000001</x:v>
      </x:c>
      <x:c r="F38" s="121" t="n">
        <x:v>87.91499999999999</x:v>
      </x:c>
      <x:c r="G38" s="121" t="n">
        <x:v>87.63499999999999</x:v>
      </x:c>
      <x:c r="H38" s="121" t="n">
        <x:v>11.675</x:v>
      </x:c>
    </x:row>
    <x:row r="39">
      <x:c r="A39" t="n">
        <x:v>20260710</x:v>
      </x:c>
      <x:c r="B39" t="str">
        <x:v>91–120</x:v>
      </x:c>
      <x:c r="C39" t="str">
        <x:v>R12</x:v>
      </x:c>
      <x:c r="D39" s="121" t="n">
        <x:v>8</x:v>
      </x:c>
      <x:c r="E39" s="121" t="n">
        <x:v>67.53</x:v>
      </x:c>
      <x:c r="F39" s="121" t="n">
        <x:v>87.91499999999999</x:v>
      </x:c>
      <x:c r="G39" s="121" t="n">
        <x:v>67.495</x:v>
      </x:c>
      <x:c r="H39" s="121" t="n">
        <x:v>11.675</x:v>
      </x:c>
    </x:row>
    <x:row r="40">
      <x:c r="A40" t="n">
        <x:v>20260710</x:v>
      </x:c>
      <x:c r="B40" t="str">
        <x:v>121–150</x:v>
      </x:c>
      <x:c r="C40" t="str">
        <x:v>R13</x:v>
      </x:c>
      <x:c r="D40" s="121" t="n">
        <x:v>4</x:v>
      </x:c>
      <x:c r="E40" s="121" t="n">
        <x:v>89.925</x:v>
      </x:c>
      <x:c r="F40" s="121" t="n">
        <x:v>80.12</x:v>
      </x:c>
      <x:c r="G40" s="121" t="n">
        <x:v>79.78</x:v>
      </x:c>
      <x:c r="H40" s="121" t="n">
        <x:v>6.93</x:v>
      </x:c>
    </x:row>
    <x:row r="41">
      <x:c r="A41" t="n">
        <x:v>20260710</x:v>
      </x:c>
      <x:c r="B41" t="str">
        <x:v>121–150</x:v>
      </x:c>
      <x:c r="C41" t="str">
        <x:v>R13</x:v>
      </x:c>
      <x:c r="D41" s="121" t="n">
        <x:v>8</x:v>
      </x:c>
      <x:c r="E41" s="121" t="n">
        <x:v>56.425000000000004</x:v>
      </x:c>
      <x:c r="F41" s="121" t="n">
        <x:v>80.12</x:v>
      </x:c>
      <x:c r="G41" s="121" t="n">
        <x:v>56.30500000000001</x:v>
      </x:c>
      <x:c r="H41" s="121" t="n">
        <x:v>6.93</x:v>
      </x:c>
    </x:row>
    <x:row r="42">
      <x:c r="A42" t="n">
        <x:v>20260711</x:v>
      </x:c>
      <x:c r="B42" t="str">
        <x:v>0–30</x:v>
      </x:c>
      <x:c r="C42" t="str">
        <x:v>R1</x:v>
      </x:c>
      <x:c r="D42" s="121" t="n">
        <x:v>4</x:v>
      </x:c>
      <x:c r="E42" s="121" t="n">
        <x:v>68.17999999999999</x:v>
      </x:c>
      <x:c r="F42" s="121" t="n">
        <x:v>74.535</x:v>
      </x:c>
      <x:c r="G42" s="121" t="n">
        <x:v>66.59</x:v>
      </x:c>
      <x:c r="H42" s="121" t="n">
        <x:v>9.735000000000001</x:v>
      </x:c>
    </x:row>
    <x:row r="43">
      <x:c r="A43" t="n">
        <x:v>20260711</x:v>
      </x:c>
      <x:c r="B43" t="str">
        <x:v>0–30</x:v>
      </x:c>
      <x:c r="C43" t="str">
        <x:v>R1</x:v>
      </x:c>
      <x:c r="D43" s="121" t="n">
        <x:v>8</x:v>
      </x:c>
      <x:c r="E43" s="121" t="n">
        <x:v>36.18</x:v>
      </x:c>
      <x:c r="F43" s="121" t="n">
        <x:v>74.535</x:v>
      </x:c>
      <x:c r="G43" s="121" t="n">
        <x:v>36.18</x:v>
      </x:c>
      <x:c r="H43" s="121" t="n">
        <x:v>9.735000000000001</x:v>
      </x:c>
    </x:row>
    <x:row r="44">
      <x:c r="A44" t="n">
        <x:v>20260711</x:v>
      </x:c>
      <x:c r="B44" t="str">
        <x:v>31–60</x:v>
      </x:c>
      <x:c r="C44" t="str">
        <x:v>R8</x:v>
      </x:c>
      <x:c r="D44" s="121" t="n">
        <x:v>4</x:v>
      </x:c>
      <x:c r="E44" s="121" t="n">
        <x:v>91.995</x:v>
      </x:c>
      <x:c r="F44" s="121" t="n">
        <x:v>89.82</x:v>
      </x:c>
      <x:c r="G44" s="121" t="n">
        <x:v>88.58500000000001</x:v>
      </x:c>
      <x:c r="H44" s="121" t="n">
        <x:v>9.64</x:v>
      </x:c>
    </x:row>
    <x:row r="45">
      <x:c r="A45" t="n">
        <x:v>20260711</x:v>
      </x:c>
      <x:c r="B45" t="str">
        <x:v>31–60</x:v>
      </x:c>
      <x:c r="C45" t="str">
        <x:v>R8</x:v>
      </x:c>
      <x:c r="D45" s="121" t="n">
        <x:v>8</x:v>
      </x:c>
      <x:c r="E45" s="121" t="n">
        <x:v>62.480000000000004</x:v>
      </x:c>
      <x:c r="F45" s="121" t="n">
        <x:v>89.82</x:v>
      </x:c>
      <x:c r="G45" s="121" t="n">
        <x:v>62.470000000000006</x:v>
      </x:c>
      <x:c r="H45" s="121" t="n">
        <x:v>9.64</x:v>
      </x:c>
    </x:row>
    <x:row r="46">
      <x:c r="A46" t="n">
        <x:v>20260711</x:v>
      </x:c>
      <x:c r="B46" t="str">
        <x:v>61–90</x:v>
      </x:c>
      <x:c r="C46" t="str">
        <x:v>R10</x:v>
      </x:c>
      <x:c r="D46" s="121" t="n">
        <x:v>4</x:v>
      </x:c>
      <x:c r="E46" s="121" t="n">
        <x:v>93.16499999999999</x:v>
      </x:c>
      <x:c r="F46" s="121" t="n">
        <x:v>88.67</x:v>
      </x:c>
      <x:c r="G46" s="121" t="n">
        <x:v>88.045</x:v>
      </x:c>
      <x:c r="H46" s="121" t="n">
        <x:v>10.345</x:v>
      </x:c>
    </x:row>
    <x:row r="47">
      <x:c r="A47" t="n">
        <x:v>20260711</x:v>
      </x:c>
      <x:c r="B47" t="str">
        <x:v>61–90</x:v>
      </x:c>
      <x:c r="C47" t="str">
        <x:v>R10</x:v>
      </x:c>
      <x:c r="D47" s="121" t="n">
        <x:v>8</x:v>
      </x:c>
      <x:c r="E47" s="121" t="n">
        <x:v>64.425</x:v>
      </x:c>
      <x:c r="F47" s="121" t="n">
        <x:v>88.67</x:v>
      </x:c>
      <x:c r="G47" s="121" t="n">
        <x:v>64.395</x:v>
      </x:c>
      <x:c r="H47" s="121" t="n">
        <x:v>10.345</x:v>
      </x:c>
    </x:row>
    <x:row r="48">
      <x:c r="A48" t="n">
        <x:v>20260711</x:v>
      </x:c>
      <x:c r="B48" t="str">
        <x:v>91–120</x:v>
      </x:c>
      <x:c r="C48" t="str">
        <x:v>R12</x:v>
      </x:c>
      <x:c r="D48" s="121" t="n">
        <x:v>4</x:v>
      </x:c>
      <x:c r="E48" s="121" t="n">
        <x:v>94.255</x:v>
      </x:c>
      <x:c r="F48" s="121" t="n">
        <x:v>88.535</x:v>
      </x:c>
      <x:c r="G48" s="121" t="n">
        <x:v>88.19</x:v>
      </x:c>
      <x:c r="H48" s="121" t="n">
        <x:v>12.504999999999999</x:v>
      </x:c>
    </x:row>
    <x:row r="49">
      <x:c r="A49" t="n">
        <x:v>20260711</x:v>
      </x:c>
      <x:c r="B49" t="str">
        <x:v>91–120</x:v>
      </x:c>
      <x:c r="C49" t="str">
        <x:v>R12</x:v>
      </x:c>
      <x:c r="D49" s="121" t="n">
        <x:v>8</x:v>
      </x:c>
      <x:c r="E49" s="121" t="n">
        <x:v>67.85</x:v>
      </x:c>
      <x:c r="F49" s="121" t="n">
        <x:v>88.535</x:v>
      </x:c>
      <x:c r="G49" s="121" t="n">
        <x:v>67.785</x:v>
      </x:c>
      <x:c r="H49" s="121" t="n">
        <x:v>12.504999999999999</x:v>
      </x:c>
    </x:row>
    <x:row r="50">
      <x:c r="A50" t="n">
        <x:v>20260711</x:v>
      </x:c>
      <x:c r="B50" t="str">
        <x:v>121–150</x:v>
      </x:c>
      <x:c r="C50" t="str">
        <x:v>R13</x:v>
      </x:c>
      <x:c r="D50" s="121" t="n">
        <x:v>4</x:v>
      </x:c>
      <x:c r="E50" s="121" t="n">
        <x:v>90.61</x:v>
      </x:c>
      <x:c r="F50" s="121" t="n">
        <x:v>81.485</x:v>
      </x:c>
      <x:c r="G50" s="121" t="n">
        <x:v>81.13</x:v>
      </x:c>
      <x:c r="H50" s="121" t="n">
        <x:v>7.074999999999999</x:v>
      </x:c>
    </x:row>
    <x:row r="51">
      <x:c r="A51" t="n">
        <x:v>20260711</x:v>
      </x:c>
      <x:c r="B51" t="str">
        <x:v>121–150</x:v>
      </x:c>
      <x:c r="C51" t="str">
        <x:v>R13</x:v>
      </x:c>
      <x:c r="D51" s="121" t="n">
        <x:v>8</x:v>
      </x:c>
      <x:c r="E51" s="121" t="n">
        <x:v>57.815000000000005</x:v>
      </x:c>
      <x:c r="F51" s="121" t="n">
        <x:v>81.485</x:v>
      </x:c>
      <x:c r="G51" s="121" t="n">
        <x:v>57.74</x:v>
      </x:c>
      <x:c r="H51" s="121" t="n">
        <x:v>7.074999999999999</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115" t="str">
        <x:v>Five-Seed Robustness at 100,000 Virtual Subjects</x:v>
      </x:c>
      <x:c r="B1" s="115"/>
      <x:c r="C1" s="115"/>
      <x:c r="D1" s="115"/>
      <x:c r="E1" s="115"/>
      <x:c r="F1" s="115"/>
      <x:c r="G1" s="115"/>
      <x:c r="H1" s="115"/>
      <x:c r="I1" s="115"/>
      <x:c r="J1" s="115"/>
    </x:row>
    <x:row r="3">
      <x:c r="A3" s="120" t="str">
        <x:v>EKFC</x:v>
      </x:c>
      <x:c r="B3" s="120" t="str">
        <x:v>Regimen</x:v>
      </x:c>
      <x:c r="C3" s="120" t="str">
        <x:v>MIC</x:v>
      </x:c>
      <x:c r="D3" s="120" t="str">
        <x:v>Metric</x:v>
      </x:c>
      <x:c r="E3" s="120" t="str">
        <x:v>Mean</x:v>
      </x:c>
      <x:c r="F3" s="120" t="str">
        <x:v>SD</x:v>
      </x:c>
      <x:c r="G3" s="120" t="str">
        <x:v>Min</x:v>
      </x:c>
      <x:c r="H3" s="120" t="str">
        <x:v>Max</x:v>
      </x:c>
      <x:c r="I3" s="120" t="str">
        <x:v>Range</x:v>
      </x:c>
      <x:c r="J3" s="120" t="str">
        <x:v>Status</x:v>
      </x:c>
    </x:row>
    <x:row r="4">
      <x:c r="A4" t="str">
        <x:v>0–30</x:v>
      </x:c>
      <x:c r="B4" t="str">
        <x:v>R1</x:v>
      </x:c>
      <x:c r="C4" t="n">
        <x:v>4</x:v>
      </x:c>
      <x:c r="D4" t="str">
        <x:v>CAZ PTA</x:v>
      </x:c>
      <x:c r="E4" s="121" t="n">
        <x:v>68.176</x:v>
      </x:c>
      <x:c r="F4" s="121" t="n">
        <x:v>0.5275106633993287</x:v>
      </x:c>
      <x:c r="G4" s="121" t="n">
        <x:v>67.645</x:v>
      </x:c>
      <x:c r="H4" s="121" t="n">
        <x:v>68.705</x:v>
      </x:c>
      <x:c r="I4" s="121" t="n">
        <x:v>1.0600000000000023</x:v>
      </x:c>
      <x:c r="J4" t="str">
        <x:v>REVIEW</x:v>
      </x:c>
    </x:row>
    <x:row r="5">
      <x:c r="A5" t="str">
        <x:v>0–30</x:v>
      </x:c>
      <x:c r="B5" t="str">
        <x:v>R1</x:v>
      </x:c>
      <x:c r="C5" t="n">
        <x:v>4</x:v>
      </x:c>
      <x:c r="D5" t="str">
        <x:v>AVI attainment</x:v>
      </x:c>
      <x:c r="E5" s="121" t="n">
        <x:v>74.56500000000001</x:v>
      </x:c>
      <x:c r="F5" s="121" t="n">
        <x:v>0.3365820850847551</x:v>
      </x:c>
      <x:c r="G5" s="121" t="n">
        <x:v>74.16</x:v>
      </x:c>
      <x:c r="H5" s="121" t="n">
        <x:v>74.94</x:v>
      </x:c>
      <x:c r="I5" s="121" t="n">
        <x:v>0.7800000000000011</x:v>
      </x:c>
      <x:c r="J5" t="str">
        <x:v>PASS</x:v>
      </x:c>
    </x:row>
    <x:row r="6">
      <x:c r="A6" t="str">
        <x:v>0–30</x:v>
      </x:c>
      <x:c r="B6" t="str">
        <x:v>R1</x:v>
      </x:c>
      <x:c r="C6" t="n">
        <x:v>4</x:v>
      </x:c>
      <x:c r="D6" t="str">
        <x:v>Joint PTA</x:v>
      </x:c>
      <x:c r="E6" s="121" t="n">
        <x:v>66.70200000000003</x:v>
      </x:c>
      <x:c r="F6" s="121" t="n">
        <x:v>0.5238511238892192</x:v>
      </x:c>
      <x:c r="G6" s="121" t="n">
        <x:v>66.10000000000001</x:v>
      </x:c>
      <x:c r="H6" s="121" t="n">
        <x:v>67.32000000000001</x:v>
      </x:c>
      <x:c r="I6" s="121" t="n">
        <x:v>1.2199999999999989</x:v>
      </x:c>
      <x:c r="J6" t="str">
        <x:v>REVIEW</x:v>
      </x:c>
    </x:row>
    <x:row r="7">
      <x:c r="A7" t="str">
        <x:v>0–30</x:v>
      </x:c>
      <x:c r="B7" t="str">
        <x:v>R1</x:v>
      </x:c>
      <x:c r="C7" t="n">
        <x:v>4</x:v>
      </x:c>
      <x:c r="D7" t="str">
        <x:v>Toxicity</x:v>
      </x:c>
      <x:c r="E7" s="121" t="n">
        <x:v>9.358</x:v>
      </x:c>
      <x:c r="F7" s="121" t="n">
        <x:v>0.2866749029824555</x:v>
      </x:c>
      <x:c r="G7" s="121" t="n">
        <x:v>9.01</x:v>
      </x:c>
      <x:c r="H7" s="121" t="n">
        <x:v>9.735000000000001</x:v>
      </x:c>
      <x:c r="I7" s="121" t="n">
        <x:v>0.7250000000000014</x:v>
      </x:c>
      <x:c r="J7" t="str">
        <x:v>PASS</x:v>
      </x:c>
    </x:row>
    <x:row r="8">
      <x:c r="A8" t="str">
        <x:v>0–30</x:v>
      </x:c>
      <x:c r="B8" t="str">
        <x:v>R1</x:v>
      </x:c>
      <x:c r="C8" t="n">
        <x:v>8</x:v>
      </x:c>
      <x:c r="D8" t="str">
        <x:v>CAZ PTA</x:v>
      </x:c>
      <x:c r="E8" s="121" t="n">
        <x:v>35.93300000000001</x:v>
      </x:c>
      <x:c r="F8" s="121" t="n">
        <x:v>0.4757441539315018</x:v>
      </x:c>
      <x:c r="G8" s="121" t="n">
        <x:v>35.245</x:v>
      </x:c>
      <x:c r="H8" s="121" t="n">
        <x:v>36.51</x:v>
      </x:c>
      <x:c r="I8" s="121" t="n">
        <x:v>1.2650000000000006</x:v>
      </x:c>
      <x:c r="J8" t="str">
        <x:v>REVIEW</x:v>
      </x:c>
    </x:row>
    <x:row r="9">
      <x:c r="A9" t="str">
        <x:v>0–30</x:v>
      </x:c>
      <x:c r="B9" t="str">
        <x:v>R1</x:v>
      </x:c>
      <x:c r="C9" t="n">
        <x:v>8</x:v>
      </x:c>
      <x:c r="D9" t="str">
        <x:v>AVI attainment</x:v>
      </x:c>
      <x:c r="E9" s="121" t="n">
        <x:v>74.56500000000001</x:v>
      </x:c>
      <x:c r="F9" s="121" t="n">
        <x:v>0.3365820850847551</x:v>
      </x:c>
      <x:c r="G9" s="121" t="n">
        <x:v>74.16</x:v>
      </x:c>
      <x:c r="H9" s="121" t="n">
        <x:v>74.94</x:v>
      </x:c>
      <x:c r="I9" s="121" t="n">
        <x:v>0.7800000000000011</x:v>
      </x:c>
      <x:c r="J9" t="str">
        <x:v>PASS</x:v>
      </x:c>
    </x:row>
    <x:row r="10">
      <x:c r="A10" t="str">
        <x:v>0–30</x:v>
      </x:c>
      <x:c r="B10" t="str">
        <x:v>R1</x:v>
      </x:c>
      <x:c r="C10" t="n">
        <x:v>8</x:v>
      </x:c>
      <x:c r="D10" t="str">
        <x:v>Joint PTA</x:v>
      </x:c>
      <x:c r="E10" s="121" t="n">
        <x:v>35.93300000000001</x:v>
      </x:c>
      <x:c r="F10" s="121" t="n">
        <x:v>0.4757441539315018</x:v>
      </x:c>
      <x:c r="G10" s="121" t="n">
        <x:v>35.245</x:v>
      </x:c>
      <x:c r="H10" s="121" t="n">
        <x:v>36.51</x:v>
      </x:c>
      <x:c r="I10" s="121" t="n">
        <x:v>1.2650000000000006</x:v>
      </x:c>
      <x:c r="J10" t="str">
        <x:v>REVIEW</x:v>
      </x:c>
    </x:row>
    <x:row r="11">
      <x:c r="A11" t="str">
        <x:v>0–30</x:v>
      </x:c>
      <x:c r="B11" t="str">
        <x:v>R1</x:v>
      </x:c>
      <x:c r="C11" t="n">
        <x:v>8</x:v>
      </x:c>
      <x:c r="D11" t="str">
        <x:v>Toxicity</x:v>
      </x:c>
      <x:c r="E11" s="121" t="n">
        <x:v>9.358</x:v>
      </x:c>
      <x:c r="F11" s="121" t="n">
        <x:v>0.2866749029824555</x:v>
      </x:c>
      <x:c r="G11" s="121" t="n">
        <x:v>9.01</x:v>
      </x:c>
      <x:c r="H11" s="121" t="n">
        <x:v>9.735000000000001</x:v>
      </x:c>
      <x:c r="I11" s="121" t="n">
        <x:v>0.7250000000000014</x:v>
      </x:c>
      <x:c r="J11" t="str">
        <x:v>PASS</x:v>
      </x:c>
    </x:row>
    <x:row r="12">
      <x:c r="A12" t="str">
        <x:v>31–60</x:v>
      </x:c>
      <x:c r="B12" t="str">
        <x:v>R8</x:v>
      </x:c>
      <x:c r="C12" t="n">
        <x:v>4</x:v>
      </x:c>
      <x:c r="D12" t="str">
        <x:v>CAZ PTA</x:v>
      </x:c>
      <x:c r="E12" s="121" t="n">
        <x:v>91.936</x:v>
      </x:c>
      <x:c r="F12" s="121" t="n">
        <x:v>0.1784446692955495</x:v>
      </x:c>
      <x:c r="G12" s="121" t="n">
        <x:v>91.82000000000001</x:v>
      </x:c>
      <x:c r="H12" s="121" t="n">
        <x:v>92.225</x:v>
      </x:c>
      <x:c r="I12" s="121" t="n">
        <x:v>0.4049999999999869</x:v>
      </x:c>
      <x:c r="J12" t="str">
        <x:v>PASS</x:v>
      </x:c>
    </x:row>
    <x:row r="13">
      <x:c r="A13" t="str">
        <x:v>31–60</x:v>
      </x:c>
      <x:c r="B13" t="str">
        <x:v>R8</x:v>
      </x:c>
      <x:c r="C13" t="n">
        <x:v>4</x:v>
      </x:c>
      <x:c r="D13" t="str">
        <x:v>AVI attainment</x:v>
      </x:c>
      <x:c r="E13" s="121" t="n">
        <x:v>89.75399999999999</x:v>
      </x:c>
      <x:c r="F13" s="121" t="n">
        <x:v>0.24724481794366943</x:v>
      </x:c>
      <x:c r="G13" s="121" t="n">
        <x:v>89.45</x:v>
      </x:c>
      <x:c r="H13" s="121" t="n">
        <x:v>90.03999999999999</x:v>
      </x:c>
      <x:c r="I13" s="121" t="n">
        <x:v>0.5899999999999892</x:v>
      </x:c>
      <x:c r="J13" t="str">
        <x:v>PASS</x:v>
      </x:c>
    </x:row>
    <x:row r="14">
      <x:c r="A14" t="str">
        <x:v>31–60</x:v>
      </x:c>
      <x:c r="B14" t="str">
        <x:v>R8</x:v>
      </x:c>
      <x:c r="C14" t="n">
        <x:v>4</x:v>
      </x:c>
      <x:c r="D14" t="str">
        <x:v>Joint PTA</x:v>
      </x:c>
      <x:c r="E14" s="121" t="n">
        <x:v>88.478</x:v>
      </x:c>
      <x:c r="F14" s="121" t="n">
        <x:v>0.2645184303597754</x:v>
      </x:c>
      <x:c r="G14" s="121" t="n">
        <x:v>88.125</x:v>
      </x:c>
      <x:c r="H14" s="121" t="n">
        <x:v>88.755</x:v>
      </x:c>
      <x:c r="I14" s="121" t="n">
        <x:v>0.6299999999999955</x:v>
      </x:c>
      <x:c r="J14" t="str">
        <x:v>PASS</x:v>
      </x:c>
    </x:row>
    <x:row r="15">
      <x:c r="A15" t="str">
        <x:v>31–60</x:v>
      </x:c>
      <x:c r="B15" t="str">
        <x:v>R8</x:v>
      </x:c>
      <x:c r="C15" t="n">
        <x:v>4</x:v>
      </x:c>
      <x:c r="D15" t="str">
        <x:v>Toxicity</x:v>
      </x:c>
      <x:c r="E15" s="121" t="n">
        <x:v>9.618</x:v>
      </x:c>
      <x:c r="F15" s="121" t="n">
        <x:v>0.16119088063535073</x:v>
      </x:c>
      <x:c r="G15" s="121" t="n">
        <x:v>9.335</x:v>
      </x:c>
      <x:c r="H15" s="121" t="n">
        <x:v>9.719999999999999</x:v>
      </x:c>
      <x:c r="I15" s="121" t="n">
        <x:v>0.384999999999998</x:v>
      </x:c>
      <x:c r="J15" t="str">
        <x:v>PASS</x:v>
      </x:c>
    </x:row>
    <x:row r="16">
      <x:c r="A16" t="str">
        <x:v>31–60</x:v>
      </x:c>
      <x:c r="B16" t="str">
        <x:v>R8</x:v>
      </x:c>
      <x:c r="C16" t="n">
        <x:v>8</x:v>
      </x:c>
      <x:c r="D16" t="str">
        <x:v>CAZ PTA</x:v>
      </x:c>
      <x:c r="E16" s="121" t="n">
        <x:v>62.069</x:v>
      </x:c>
      <x:c r="F16" s="121" t="n">
        <x:v>0.3046801601680035</x:v>
      </x:c>
      <x:c r="G16" s="121" t="n">
        <x:v>61.695</x:v>
      </x:c>
      <x:c r="H16" s="121" t="n">
        <x:v>62.480000000000004</x:v>
      </x:c>
      <x:c r="I16" s="121" t="n">
        <x:v>0.7850000000000037</x:v>
      </x:c>
      <x:c r="J16" t="str">
        <x:v>PASS</x:v>
      </x:c>
    </x:row>
    <x:row r="17">
      <x:c r="A17" t="str">
        <x:v>31–60</x:v>
      </x:c>
      <x:c r="B17" t="str">
        <x:v>R8</x:v>
      </x:c>
      <x:c r="C17" t="n">
        <x:v>8</x:v>
      </x:c>
      <x:c r="D17" t="str">
        <x:v>AVI attainment</x:v>
      </x:c>
      <x:c r="E17" s="121" t="n">
        <x:v>89.75399999999999</x:v>
      </x:c>
      <x:c r="F17" s="121" t="n">
        <x:v>0.24724481794366943</x:v>
      </x:c>
      <x:c r="G17" s="121" t="n">
        <x:v>89.45</x:v>
      </x:c>
      <x:c r="H17" s="121" t="n">
        <x:v>90.03999999999999</x:v>
      </x:c>
      <x:c r="I17" s="121" t="n">
        <x:v>0.5899999999999892</x:v>
      </x:c>
      <x:c r="J17" t="str">
        <x:v>PASS</x:v>
      </x:c>
    </x:row>
    <x:row r="18">
      <x:c r="A18" t="str">
        <x:v>31–60</x:v>
      </x:c>
      <x:c r="B18" t="str">
        <x:v>R8</x:v>
      </x:c>
      <x:c r="C18" t="n">
        <x:v>8</x:v>
      </x:c>
      <x:c r="D18" t="str">
        <x:v>Joint PTA</x:v>
      </x:c>
      <x:c r="E18" s="121" t="n">
        <x:v>62.05800000000001</x:v>
      </x:c>
      <x:c r="F18" s="121" t="n">
        <x:v>0.3049303199093196</x:v>
      </x:c>
      <x:c r="G18" s="121" t="n">
        <x:v>61.685</x:v>
      </x:c>
      <x:c r="H18" s="121" t="n">
        <x:v>62.470000000000006</x:v>
      </x:c>
      <x:c r="I18" s="121" t="n">
        <x:v>0.7850000000000037</x:v>
      </x:c>
      <x:c r="J18" t="str">
        <x:v>PASS</x:v>
      </x:c>
    </x:row>
    <x:row r="19">
      <x:c r="A19" t="str">
        <x:v>31–60</x:v>
      </x:c>
      <x:c r="B19" t="str">
        <x:v>R8</x:v>
      </x:c>
      <x:c r="C19" t="n">
        <x:v>8</x:v>
      </x:c>
      <x:c r="D19" t="str">
        <x:v>Toxicity</x:v>
      </x:c>
      <x:c r="E19" s="121" t="n">
        <x:v>9.618</x:v>
      </x:c>
      <x:c r="F19" s="121" t="n">
        <x:v>0.16119088063535073</x:v>
      </x:c>
      <x:c r="G19" s="121" t="n">
        <x:v>9.335</x:v>
      </x:c>
      <x:c r="H19" s="121" t="n">
        <x:v>9.719999999999999</x:v>
      </x:c>
      <x:c r="I19" s="121" t="n">
        <x:v>0.384999999999998</x:v>
      </x:c>
      <x:c r="J19" t="str">
        <x:v>PASS</x:v>
      </x:c>
    </x:row>
    <x:row r="20">
      <x:c r="A20" t="str">
        <x:v>61–90</x:v>
      </x:c>
      <x:c r="B20" t="str">
        <x:v>R10</x:v>
      </x:c>
      <x:c r="C20" t="n">
        <x:v>4</x:v>
      </x:c>
      <x:c r="D20" t="str">
        <x:v>CAZ PTA</x:v>
      </x:c>
      <x:c r="E20" s="121" t="n">
        <x:v>93.14500000000001</x:v>
      </x:c>
      <x:c r="F20" s="121" t="n">
        <x:v>0.05244044240850392</x:v>
      </x:c>
      <x:c r="G20" s="121" t="n">
        <x:v>93.075</x:v>
      </x:c>
      <x:c r="H20" s="121" t="n">
        <x:v>93.195</x:v>
      </x:c>
      <x:c r="I20" s="121" t="n">
        <x:v>0.11999999999999034</x:v>
      </x:c>
      <x:c r="J20" t="str">
        <x:v>PASS</x:v>
      </x:c>
    </x:row>
    <x:row r="21">
      <x:c r="A21" t="str">
        <x:v>61–90</x:v>
      </x:c>
      <x:c r="B21" t="str">
        <x:v>R10</x:v>
      </x:c>
      <x:c r="C21" t="n">
        <x:v>4</x:v>
      </x:c>
      <x:c r="D21" t="str">
        <x:v>AVI attainment</x:v>
      </x:c>
      <x:c r="E21" s="121" t="n">
        <x:v>88.57700000000001</x:v>
      </x:c>
      <x:c r="F21" s="121" t="n">
        <x:v>0.23023357704731395</x:v>
      </x:c>
      <x:c r="G21" s="121" t="n">
        <x:v>88.265</x:v>
      </x:c>
      <x:c r="H21" s="121" t="n">
        <x:v>88.775</x:v>
      </x:c>
      <x:c r="I21" s="121" t="n">
        <x:v>0.5100000000000051</x:v>
      </x:c>
      <x:c r="J21" t="str">
        <x:v>PASS</x:v>
      </x:c>
    </x:row>
    <x:row r="22">
      <x:c r="A22" t="str">
        <x:v>61–90</x:v>
      </x:c>
      <x:c r="B22" t="str">
        <x:v>R10</x:v>
      </x:c>
      <x:c r="C22" t="n">
        <x:v>4</x:v>
      </x:c>
      <x:c r="D22" t="str">
        <x:v>Joint PTA</x:v>
      </x:c>
      <x:c r="E22" s="121" t="n">
        <x:v>87.97300000000001</x:v>
      </x:c>
      <x:c r="F22" s="121" t="n">
        <x:v>0.25657844804269864</x:v>
      </x:c>
      <x:c r="G22" s="121" t="n">
        <x:v>87.665</x:v>
      </x:c>
      <x:c r="H22" s="121" t="n">
        <x:v>88.29</x:v>
      </x:c>
      <x:c r="I22" s="121" t="n">
        <x:v>0.625</x:v>
      </x:c>
      <x:c r="J22" t="str">
        <x:v>PASS</x:v>
      </x:c>
    </x:row>
    <x:row r="23">
      <x:c r="A23" t="str">
        <x:v>61–90</x:v>
      </x:c>
      <x:c r="B23" t="str">
        <x:v>R10</x:v>
      </x:c>
      <x:c r="C23" t="n">
        <x:v>4</x:v>
      </x:c>
      <x:c r="D23" t="str">
        <x:v>Toxicity</x:v>
      </x:c>
      <x:c r="E23" s="121" t="n">
        <x:v>10.659</x:v>
      </x:c>
      <x:c r="F23" s="121" t="n">
        <x:v>0.2046154930595432</x:v>
      </x:c>
      <x:c r="G23" s="121" t="n">
        <x:v>10.345</x:v>
      </x:c>
      <x:c r="H23" s="121" t="n">
        <x:v>10.89</x:v>
      </x:c>
      <x:c r="I23" s="121" t="n">
        <x:v>0.5449999999999999</x:v>
      </x:c>
      <x:c r="J23" t="str">
        <x:v>PASS</x:v>
      </x:c>
    </x:row>
    <x:row r="24">
      <x:c r="A24" t="str">
        <x:v>61–90</x:v>
      </x:c>
      <x:c r="B24" t="str">
        <x:v>R10</x:v>
      </x:c>
      <x:c r="C24" t="n">
        <x:v>8</x:v>
      </x:c>
      <x:c r="D24" t="str">
        <x:v>CAZ PTA</x:v>
      </x:c>
      <x:c r="E24" s="121" t="n">
        <x:v>64.81</x:v>
      </x:c>
      <x:c r="F24" s="121" t="n">
        <x:v>0.4379212257929496</x:v>
      </x:c>
      <x:c r="G24" s="121" t="n">
        <x:v>64.425</x:v>
      </x:c>
      <x:c r="H24" s="121" t="n">
        <x:v>65.515</x:v>
      </x:c>
      <x:c r="I24" s="121" t="n">
        <x:v>1.0900000000000034</x:v>
      </x:c>
      <x:c r="J24" t="str">
        <x:v>REVIEW</x:v>
      </x:c>
    </x:row>
    <x:row r="25">
      <x:c r="A25" t="str">
        <x:v>61–90</x:v>
      </x:c>
      <x:c r="B25" t="str">
        <x:v>R10</x:v>
      </x:c>
      <x:c r="C25" t="n">
        <x:v>8</x:v>
      </x:c>
      <x:c r="D25" t="str">
        <x:v>AVI attainment</x:v>
      </x:c>
      <x:c r="E25" s="121" t="n">
        <x:v>88.57700000000001</x:v>
      </x:c>
      <x:c r="F25" s="121" t="n">
        <x:v>0.23023357704731395</x:v>
      </x:c>
      <x:c r="G25" s="121" t="n">
        <x:v>88.265</x:v>
      </x:c>
      <x:c r="H25" s="121" t="n">
        <x:v>88.775</x:v>
      </x:c>
      <x:c r="I25" s="121" t="n">
        <x:v>0.5100000000000051</x:v>
      </x:c>
      <x:c r="J25" t="str">
        <x:v>PASS</x:v>
      </x:c>
    </x:row>
    <x:row r="26">
      <x:c r="A26" t="str">
        <x:v>61–90</x:v>
      </x:c>
      <x:c r="B26" t="str">
        <x:v>R10</x:v>
      </x:c>
      <x:c r="C26" t="n">
        <x:v>8</x:v>
      </x:c>
      <x:c r="D26" t="str">
        <x:v>Joint PTA</x:v>
      </x:c>
      <x:c r="E26" s="121" t="n">
        <x:v>64.78999999999999</x:v>
      </x:c>
      <x:c r="F26" s="121" t="n">
        <x:v>0.4399147644714853</x:v>
      </x:c>
      <x:c r="G26" s="121" t="n">
        <x:v>64.395</x:v>
      </x:c>
      <x:c r="H26" s="121" t="n">
        <x:v>65.495</x:v>
      </x:c>
      <x:c r="I26" s="121" t="n">
        <x:v>1.1000000000000085</x:v>
      </x:c>
      <x:c r="J26" t="str">
        <x:v>REVIEW</x:v>
      </x:c>
    </x:row>
    <x:row r="27">
      <x:c r="A27" t="str">
        <x:v>61–90</x:v>
      </x:c>
      <x:c r="B27" t="str">
        <x:v>R10</x:v>
      </x:c>
      <x:c r="C27" t="n">
        <x:v>8</x:v>
      </x:c>
      <x:c r="D27" t="str">
        <x:v>Toxicity</x:v>
      </x:c>
      <x:c r="E27" s="121" t="n">
        <x:v>10.659</x:v>
      </x:c>
      <x:c r="F27" s="121" t="n">
        <x:v>0.2046154930595432</x:v>
      </x:c>
      <x:c r="G27" s="121" t="n">
        <x:v>10.345</x:v>
      </x:c>
      <x:c r="H27" s="121" t="n">
        <x:v>10.89</x:v>
      </x:c>
      <x:c r="I27" s="121" t="n">
        <x:v>0.5449999999999999</x:v>
      </x:c>
      <x:c r="J27" t="str">
        <x:v>PASS</x:v>
      </x:c>
    </x:row>
    <x:row r="28">
      <x:c r="A28" t="str">
        <x:v>91–120</x:v>
      </x:c>
      <x:c r="B28" t="str">
        <x:v>R12</x:v>
      </x:c>
      <x:c r="C28" t="n">
        <x:v>4</x:v>
      </x:c>
      <x:c r="D28" t="str">
        <x:v>CAZ PTA</x:v>
      </x:c>
      <x:c r="E28" s="121" t="n">
        <x:v>94.175</x:v>
      </x:c>
      <x:c r="F28" s="121" t="n">
        <x:v>0.18435699064586397</x:v>
      </x:c>
      <x:c r="G28" s="121" t="n">
        <x:v>93.955</x:v>
      </x:c>
      <x:c r="H28" s="121" t="n">
        <x:v>94.405</x:v>
      </x:c>
      <x:c r="I28" s="121" t="n">
        <x:v>0.45000000000000284</x:v>
      </x:c>
      <x:c r="J28" t="str">
        <x:v>PASS</x:v>
      </x:c>
    </x:row>
    <x:row r="29">
      <x:c r="A29" t="str">
        <x:v>91–120</x:v>
      </x:c>
      <x:c r="B29" t="str">
        <x:v>R12</x:v>
      </x:c>
      <x:c r="C29" t="n">
        <x:v>4</x:v>
      </x:c>
      <x:c r="D29" t="str">
        <x:v>AVI attainment</x:v>
      </x:c>
      <x:c r="E29" s="121" t="n">
        <x:v>88.31999999999998</x:v>
      </x:c>
      <x:c r="F29" s="121" t="n">
        <x:v>0.24864633518313128</x:v>
      </x:c>
      <x:c r="G29" s="121" t="n">
        <x:v>87.91499999999999</x:v>
      </x:c>
      <x:c r="H29" s="121" t="n">
        <x:v>88.535</x:v>
      </x:c>
      <x:c r="I29" s="121" t="n">
        <x:v>0.6200000000000045</x:v>
      </x:c>
      <x:c r="J29" t="str">
        <x:v>PASS</x:v>
      </x:c>
    </x:row>
    <x:row r="30">
      <x:c r="A30" t="str">
        <x:v>91–120</x:v>
      </x:c>
      <x:c r="B30" t="str">
        <x:v>R12</x:v>
      </x:c>
      <x:c r="C30" t="n">
        <x:v>4</x:v>
      </x:c>
      <x:c r="D30" t="str">
        <x:v>Joint PTA</x:v>
      </x:c>
      <x:c r="E30" s="121" t="n">
        <x:v>87.98</x:v>
      </x:c>
      <x:c r="F30" s="121" t="n">
        <x:v>0.22915606036062233</x:v>
      </x:c>
      <x:c r="G30" s="121" t="n">
        <x:v>87.63499999999999</x:v>
      </x:c>
      <x:c r="H30" s="121" t="n">
        <x:v>88.19</x:v>
      </x:c>
      <x:c r="I30" s="121" t="n">
        <x:v>0.5550000000000068</x:v>
      </x:c>
      <x:c r="J30" t="str">
        <x:v>PASS</x:v>
      </x:c>
    </x:row>
    <x:row r="31">
      <x:c r="A31" t="str">
        <x:v>91–120</x:v>
      </x:c>
      <x:c r="B31" t="str">
        <x:v>R12</x:v>
      </x:c>
      <x:c r="C31" t="n">
        <x:v>4</x:v>
      </x:c>
      <x:c r="D31" t="str">
        <x:v>Toxicity</x:v>
      </x:c>
      <x:c r="E31" s="121" t="n">
        <x:v>12.169</x:v>
      </x:c>
      <x:c r="F31" s="121" t="n">
        <x:v>0.3200663993611322</x:v>
      </x:c>
      <x:c r="G31" s="121" t="n">
        <x:v>11.675</x:v>
      </x:c>
      <x:c r="H31" s="121" t="n">
        <x:v>12.504999999999999</x:v>
      </x:c>
      <x:c r="I31" s="121" t="n">
        <x:v>0.8299999999999983</x:v>
      </x:c>
      <x:c r="J31" t="str">
        <x:v>PASS</x:v>
      </x:c>
    </x:row>
    <x:row r="32">
      <x:c r="A32" t="str">
        <x:v>91–120</x:v>
      </x:c>
      <x:c r="B32" t="str">
        <x:v>R12</x:v>
      </x:c>
      <x:c r="C32" t="n">
        <x:v>8</x:v>
      </x:c>
      <x:c r="D32" t="str">
        <x:v>CAZ PTA</x:v>
      </x:c>
      <x:c r="E32" s="121" t="n">
        <x:v>67.699</x:v>
      </x:c>
      <x:c r="F32" s="121" t="n">
        <x:v>0.28198847494179763</x:v>
      </x:c>
      <x:c r="G32" s="121" t="n">
        <x:v>67.415</x:v>
      </x:c>
      <x:c r="H32" s="121" t="n">
        <x:v>68.11500000000001</x:v>
      </x:c>
      <x:c r="I32" s="121" t="n">
        <x:v>0.7000000000000028</x:v>
      </x:c>
      <x:c r="J32" t="str">
        <x:v>PASS</x:v>
      </x:c>
    </x:row>
    <x:row r="33">
      <x:c r="A33" t="str">
        <x:v>91–120</x:v>
      </x:c>
      <x:c r="B33" t="str">
        <x:v>R12</x:v>
      </x:c>
      <x:c r="C33" t="n">
        <x:v>8</x:v>
      </x:c>
      <x:c r="D33" t="str">
        <x:v>AVI attainment</x:v>
      </x:c>
      <x:c r="E33" s="121" t="n">
        <x:v>88.31999999999998</x:v>
      </x:c>
      <x:c r="F33" s="121" t="n">
        <x:v>0.24864633518313128</x:v>
      </x:c>
      <x:c r="G33" s="121" t="n">
        <x:v>87.91499999999999</x:v>
      </x:c>
      <x:c r="H33" s="121" t="n">
        <x:v>88.535</x:v>
      </x:c>
      <x:c r="I33" s="121" t="n">
        <x:v>0.6200000000000045</x:v>
      </x:c>
      <x:c r="J33" t="str">
        <x:v>PASS</x:v>
      </x:c>
    </x:row>
    <x:row r="34">
      <x:c r="A34" t="str">
        <x:v>91–120</x:v>
      </x:c>
      <x:c r="B34" t="str">
        <x:v>R12</x:v>
      </x:c>
      <x:c r="C34" t="n">
        <x:v>8</x:v>
      </x:c>
      <x:c r="D34" t="str">
        <x:v>Joint PTA</x:v>
      </x:c>
      <x:c r="E34" s="121" t="n">
        <x:v>67.64199999999998</x:v>
      </x:c>
      <x:c r="F34" s="121" t="n">
        <x:v>0.27439934402254096</x:v>
      </x:c>
      <x:c r="G34" s="121" t="n">
        <x:v>67.35</x:v>
      </x:c>
      <x:c r="H34" s="121" t="n">
        <x:v>68.045</x:v>
      </x:c>
      <x:c r="I34" s="121" t="n">
        <x:v>0.6950000000000074</x:v>
      </x:c>
      <x:c r="J34" t="str">
        <x:v>PASS</x:v>
      </x:c>
    </x:row>
    <x:row r="35">
      <x:c r="A35" t="str">
        <x:v>91–120</x:v>
      </x:c>
      <x:c r="B35" t="str">
        <x:v>R12</x:v>
      </x:c>
      <x:c r="C35" t="n">
        <x:v>8</x:v>
      </x:c>
      <x:c r="D35" t="str">
        <x:v>Toxicity</x:v>
      </x:c>
      <x:c r="E35" s="121" t="n">
        <x:v>12.169</x:v>
      </x:c>
      <x:c r="F35" s="121" t="n">
        <x:v>0.3200663993611322</x:v>
      </x:c>
      <x:c r="G35" s="121" t="n">
        <x:v>11.675</x:v>
      </x:c>
      <x:c r="H35" s="121" t="n">
        <x:v>12.504999999999999</x:v>
      </x:c>
      <x:c r="I35" s="121" t="n">
        <x:v>0.8299999999999983</x:v>
      </x:c>
      <x:c r="J35" t="str">
        <x:v>PASS</x:v>
      </x:c>
    </x:row>
    <x:row r="36">
      <x:c r="A36" t="str">
        <x:v>121–150</x:v>
      </x:c>
      <x:c r="B36" t="str">
        <x:v>R13</x:v>
      </x:c>
      <x:c r="C36" t="n">
        <x:v>4</x:v>
      </x:c>
      <x:c r="D36" t="str">
        <x:v>CAZ PTA</x:v>
      </x:c>
      <x:c r="E36" s="121" t="n">
        <x:v>90.26700000000001</x:v>
      </x:c>
      <x:c r="F36" s="121" t="n">
        <x:v>0.2608783241283188</x:v>
      </x:c>
      <x:c r="G36" s="121" t="n">
        <x:v>89.925</x:v>
      </x:c>
      <x:c r="H36" s="121" t="n">
        <x:v>90.61</x:v>
      </x:c>
      <x:c r="I36" s="121" t="n">
        <x:v>0.6850000000000023</x:v>
      </x:c>
      <x:c r="J36" t="str">
        <x:v>PASS</x:v>
      </x:c>
    </x:row>
    <x:row r="37">
      <x:c r="A37" t="str">
        <x:v>121–150</x:v>
      </x:c>
      <x:c r="B37" t="str">
        <x:v>R13</x:v>
      </x:c>
      <x:c r="C37" t="n">
        <x:v>4</x:v>
      </x:c>
      <x:c r="D37" t="str">
        <x:v>AVI attainment</x:v>
      </x:c>
      <x:c r="E37" s="121" t="n">
        <x:v>80.789</x:v>
      </x:c>
      <x:c r="F37" s="121" t="n">
        <x:v>0.5608185981224227</x:v>
      </x:c>
      <x:c r="G37" s="121" t="n">
        <x:v>80.12</x:v>
      </x:c>
      <x:c r="H37" s="121" t="n">
        <x:v>81.485</x:v>
      </x:c>
      <x:c r="I37" s="121" t="n">
        <x:v>1.3649999999999949</x:v>
      </x:c>
      <x:c r="J37" t="str">
        <x:v>REVIEW</x:v>
      </x:c>
    </x:row>
    <x:row r="38">
      <x:c r="A38" t="str">
        <x:v>121–150</x:v>
      </x:c>
      <x:c r="B38" t="str">
        <x:v>R13</x:v>
      </x:c>
      <x:c r="C38" t="n">
        <x:v>4</x:v>
      </x:c>
      <x:c r="D38" t="str">
        <x:v>Joint PTA</x:v>
      </x:c>
      <x:c r="E38" s="121" t="n">
        <x:v>80.40299999999999</x:v>
      </x:c>
      <x:c r="F38" s="121" t="n">
        <x:v>0.5495634631232316</x:v>
      </x:c>
      <x:c r="G38" s="121" t="n">
        <x:v>79.78</x:v>
      </x:c>
      <x:c r="H38" s="121" t="n">
        <x:v>81.13</x:v>
      </x:c>
      <x:c r="I38" s="121" t="n">
        <x:v>1.3499999999999943</x:v>
      </x:c>
      <x:c r="J38" t="str">
        <x:v>REVIEW</x:v>
      </x:c>
    </x:row>
    <x:row r="39">
      <x:c r="A39" t="str">
        <x:v>121–150</x:v>
      </x:c>
      <x:c r="B39" t="str">
        <x:v>R13</x:v>
      </x:c>
      <x:c r="C39" t="n">
        <x:v>4</x:v>
      </x:c>
      <x:c r="D39" t="str">
        <x:v>Toxicity</x:v>
      </x:c>
      <x:c r="E39" s="121" t="n">
        <x:v>7.188</x:v>
      </x:c>
      <x:c r="F39" s="121" t="n">
        <x:v>0.1772921318051089</x:v>
      </x:c>
      <x:c r="G39" s="121" t="n">
        <x:v>6.93</x:v>
      </x:c>
      <x:c r="H39" s="121" t="n">
        <x:v>7.33</x:v>
      </x:c>
      <x:c r="I39" s="121" t="n">
        <x:v>0.40000000000000036</x:v>
      </x:c>
      <x:c r="J39" t="str">
        <x:v>PASS</x:v>
      </x:c>
    </x:row>
    <x:row r="40">
      <x:c r="A40" t="str">
        <x:v>121–150</x:v>
      </x:c>
      <x:c r="B40" t="str">
        <x:v>R13</x:v>
      </x:c>
      <x:c r="C40" t="n">
        <x:v>8</x:v>
      </x:c>
      <x:c r="D40" t="str">
        <x:v>CAZ PTA</x:v>
      </x:c>
      <x:c r="E40" s="121" t="n">
        <x:v>57.076</x:v>
      </x:c>
      <x:c r="F40" s="121" t="n">
        <x:v>0.5296744283047841</x:v>
      </x:c>
      <x:c r="G40" s="121" t="n">
        <x:v>56.425000000000004</x:v>
      </x:c>
      <x:c r="H40" s="121" t="n">
        <x:v>57.815000000000005</x:v>
      </x:c>
      <x:c r="I40" s="121" t="n">
        <x:v>1.3900000000000006</x:v>
      </x:c>
      <x:c r="J40" t="str">
        <x:v>REVIEW</x:v>
      </x:c>
    </x:row>
    <x:row r="41">
      <x:c r="A41" t="str">
        <x:v>121–150</x:v>
      </x:c>
      <x:c r="B41" t="str">
        <x:v>R13</x:v>
      </x:c>
      <x:c r="C41" t="n">
        <x:v>8</x:v>
      </x:c>
      <x:c r="D41" t="str">
        <x:v>AVI attainment</x:v>
      </x:c>
      <x:c r="E41" s="121" t="n">
        <x:v>80.789</x:v>
      </x:c>
      <x:c r="F41" s="121" t="n">
        <x:v>0.5608185981224227</x:v>
      </x:c>
      <x:c r="G41" s="121" t="n">
        <x:v>80.12</x:v>
      </x:c>
      <x:c r="H41" s="121" t="n">
        <x:v>81.485</x:v>
      </x:c>
      <x:c r="I41" s="121" t="n">
        <x:v>1.3649999999999949</x:v>
      </x:c>
      <x:c r="J41" t="str">
        <x:v>REVIEW</x:v>
      </x:c>
    </x:row>
    <x:row r="42">
      <x:c r="A42" t="str">
        <x:v>121–150</x:v>
      </x:c>
      <x:c r="B42" t="str">
        <x:v>R13</x:v>
      </x:c>
      <x:c r="C42" t="n">
        <x:v>8</x:v>
      </x:c>
      <x:c r="D42" t="str">
        <x:v>Joint PTA</x:v>
      </x:c>
      <x:c r="E42" s="121" t="n">
        <x:v>56.976</x:v>
      </x:c>
      <x:c r="F42" s="121" t="n">
        <x:v>0.5432011597925744</x:v>
      </x:c>
      <x:c r="G42" s="121" t="n">
        <x:v>56.30500000000001</x:v>
      </x:c>
      <x:c r="H42" s="121" t="n">
        <x:v>57.74</x:v>
      </x:c>
      <x:c r="I42" s="121" t="n">
        <x:v>1.4349999999999952</x:v>
      </x:c>
      <x:c r="J42" t="str">
        <x:v>REVIEW</x:v>
      </x:c>
    </x:row>
    <x:row r="43">
      <x:c r="A43" t="str">
        <x:v>121–150</x:v>
      </x:c>
      <x:c r="B43" t="str">
        <x:v>R13</x:v>
      </x:c>
      <x:c r="C43" t="n">
        <x:v>8</x:v>
      </x:c>
      <x:c r="D43" t="str">
        <x:v>Toxicity</x:v>
      </x:c>
      <x:c r="E43" s="121" t="n">
        <x:v>7.188</x:v>
      </x:c>
      <x:c r="F43" s="121" t="n">
        <x:v>0.1772921318051089</x:v>
      </x:c>
      <x:c r="G43" s="121" t="n">
        <x:v>6.93</x:v>
      </x:c>
      <x:c r="H43" s="121" t="n">
        <x:v>7.33</x:v>
      </x:c>
      <x:c r="I43" s="121" t="n">
        <x:v>0.40000000000000036</x:v>
      </x:c>
      <x:c r="J43" t="str">
        <x:v>PASS</x:v>
      </x:c>
    </x:row>
  </x:sheetData>
  <x:mergeCells>
    <x:mergeCell ref="A1:J1"/>
  </x:mergeCells>
  <x:conditionalFormatting sqref="J4:J43">
    <x:cfRule type="expression" dxfId="11" priority="1">
      <x:formula>J4="PASS"</x:formula>
    </x:cfRule>
    <x:cfRule type="expression" dxfId="12" priority="2">
      <x:formula>J4="REVIEW"</x:formula>
    </x:cfRule>
  </x:conditionalFormatting>
  <x:pageMargins left="0.7" right="0.7" top="0.75" bottom="0.75" header="0.3" footer="0.3"/>
  <x:drawing xmlns:r="http://schemas.openxmlformats.org/officeDocument/2006/relationships" r:id="R4254b86b417b468a"/>
</x:worksheet>
</file>

<file path=xl/worksheets/sheet15.xml><?xml version="1.0" encoding="utf-8"?>
<x:worksheet xmlns:x="http://schemas.openxmlformats.org/spreadsheetml/2006/main">
  <x:sheetFormatPr defaultRowHeight="15"/>
  <x:cols>
    <x:col min="1" max="1" width="23" hidden="0" customWidth="1"/>
    <x:col min="2" max="2" width="36" hidden="0" customWidth="1"/>
    <x:col min="3" max="3" width="12" hidden="0" customWidth="1"/>
    <x:col min="4" max="4" width="13" hidden="0" customWidth="1"/>
    <x:col min="5" max="5" width="12" hidden="0" customWidth="1"/>
    <x:col min="6" max="6" width="42" hidden="0" customWidth="1"/>
    <x:col min="7" max="7" width="18" hidden="0" customWidth="1"/>
    <x:col min="8" max="8" width="22" hidden="0" customWidth="1"/>
  </x:cols>
  <x:sheetData>
    <x:row r="1">
      <x:c r="A1" s="115" t="str">
        <x:v>CFR MIC Distribution Input — Do Not Populate by Inference</x:v>
      </x:c>
      <x:c r="B1" s="115"/>
      <x:c r="C1" s="115"/>
      <x:c r="D1" s="115"/>
      <x:c r="E1" s="115"/>
      <x:c r="F1" s="115"/>
      <x:c r="G1" s="115"/>
      <x:c r="H1" s="115"/>
    </x:row>
    <x:row r="3">
      <x:c r="A3" s="120" t="str">
        <x:v>Distribution ID</x:v>
      </x:c>
      <x:c r="B3" s="120" t="str">
        <x:v>Organism / mechanism</x:v>
      </x:c>
      <x:c r="C3" s="120" t="str">
        <x:v>MIC (mg/L)</x:v>
      </x:c>
      <x:c r="D3" s="120" t="str">
        <x:v>Isolate count</x:v>
      </x:c>
      <x:c r="E3" s="120" t="str">
        <x:v>Frequency</x:v>
      </x:c>
      <x:c r="F3" s="120" t="str">
        <x:v>Source</x:v>
      </x:c>
      <x:c r="G3" s="120" t="str">
        <x:v>Origin class</x:v>
      </x:c>
      <x:c r="H3" s="120" t="str">
        <x:v>Review state</x:v>
      </x:c>
    </x:row>
    <x:row r="4">
      <x:c r="A4" t="str">
        <x:v>KPC_KP_ATLAS2020</x:v>
      </x:c>
      <x:c r="B4" t="str">
        <x:v>KPC-producing K. pneumoniae</x:v>
      </x:c>
      <x:c r="C4" s="127" t="n">
        <x:v>0.0625</x:v>
      </x:c>
      <x:c r="D4" t="str"/>
      <x:c r="E4" t="str"/>
      <x:c r="F4" t="str"/>
      <x:c r="G4" t="str">
        <x:v>REPORTED_DIRECT</x:v>
      </x:c>
      <x:c r="H4" t="str">
        <x:v>USER_REVIEW_REQUIRED</x:v>
      </x:c>
    </x:row>
    <x:row r="5">
      <x:c r="A5" t="str">
        <x:v>KPC_KP_ATLAS2020</x:v>
      </x:c>
      <x:c r="B5" t="str">
        <x:v>KPC-producing K. pneumoniae</x:v>
      </x:c>
      <x:c r="C5" s="127" t="n">
        <x:v>0.125</x:v>
      </x:c>
      <x:c r="D5" t="str"/>
      <x:c r="E5" t="str"/>
      <x:c r="F5" t="str"/>
      <x:c r="G5" t="str">
        <x:v>REPORTED_DIRECT</x:v>
      </x:c>
      <x:c r="H5" t="str">
        <x:v>USER_REVIEW_REQUIRED</x:v>
      </x:c>
    </x:row>
    <x:row r="6">
      <x:c r="A6" t="str">
        <x:v>KPC_KP_ATLAS2020</x:v>
      </x:c>
      <x:c r="B6" t="str">
        <x:v>KPC-producing K. pneumoniae</x:v>
      </x:c>
      <x:c r="C6" s="127" t="n">
        <x:v>0.25</x:v>
      </x:c>
      <x:c r="D6" t="str"/>
      <x:c r="E6" t="str"/>
      <x:c r="F6" t="str"/>
      <x:c r="G6" t="str">
        <x:v>REPORTED_DIRECT</x:v>
      </x:c>
      <x:c r="H6" t="str">
        <x:v>USER_REVIEW_REQUIRED</x:v>
      </x:c>
    </x:row>
    <x:row r="7">
      <x:c r="A7" t="str">
        <x:v>KPC_KP_ATLAS2020</x:v>
      </x:c>
      <x:c r="B7" t="str">
        <x:v>KPC-producing K. pneumoniae</x:v>
      </x:c>
      <x:c r="C7" s="127" t="n">
        <x:v>0.5</x:v>
      </x:c>
      <x:c r="D7" t="str"/>
      <x:c r="E7" t="str"/>
      <x:c r="F7" t="str"/>
      <x:c r="G7" t="str">
        <x:v>REPORTED_DIRECT</x:v>
      </x:c>
      <x:c r="H7" t="str">
        <x:v>USER_REVIEW_REQUIRED</x:v>
      </x:c>
    </x:row>
    <x:row r="8">
      <x:c r="A8" t="str">
        <x:v>KPC_KP_ATLAS2020</x:v>
      </x:c>
      <x:c r="B8" t="str">
        <x:v>KPC-producing K. pneumoniae</x:v>
      </x:c>
      <x:c r="C8" s="127" t="n">
        <x:v>1</x:v>
      </x:c>
      <x:c r="D8" t="str"/>
      <x:c r="E8" t="str"/>
      <x:c r="F8" t="str"/>
      <x:c r="G8" t="str">
        <x:v>REPORTED_DIRECT</x:v>
      </x:c>
      <x:c r="H8" t="str">
        <x:v>USER_REVIEW_REQUIRED</x:v>
      </x:c>
    </x:row>
    <x:row r="9">
      <x:c r="A9" t="str">
        <x:v>KPC_KP_ATLAS2020</x:v>
      </x:c>
      <x:c r="B9" t="str">
        <x:v>KPC-producing K. pneumoniae</x:v>
      </x:c>
      <x:c r="C9" s="127" t="n">
        <x:v>2</x:v>
      </x:c>
      <x:c r="D9" t="str"/>
      <x:c r="E9" t="str"/>
      <x:c r="F9" t="str"/>
      <x:c r="G9" t="str">
        <x:v>REPORTED_DIRECT</x:v>
      </x:c>
      <x:c r="H9" t="str">
        <x:v>USER_REVIEW_REQUIRED</x:v>
      </x:c>
    </x:row>
    <x:row r="10">
      <x:c r="A10" t="str">
        <x:v>KPC_KP_ATLAS2020</x:v>
      </x:c>
      <x:c r="B10" t="str">
        <x:v>KPC-producing K. pneumoniae</x:v>
      </x:c>
      <x:c r="C10" s="127" t="n">
        <x:v>4</x:v>
      </x:c>
      <x:c r="D10" t="str"/>
      <x:c r="E10" t="str"/>
      <x:c r="F10" t="str"/>
      <x:c r="G10" t="str">
        <x:v>REPORTED_DIRECT</x:v>
      </x:c>
      <x:c r="H10" t="str">
        <x:v>USER_REVIEW_REQUIRED</x:v>
      </x:c>
    </x:row>
    <x:row r="11">
      <x:c r="A11" t="str">
        <x:v>KPC_KP_ATLAS2020</x:v>
      </x:c>
      <x:c r="B11" t="str">
        <x:v>KPC-producing K. pneumoniae</x:v>
      </x:c>
      <x:c r="C11" s="127" t="n">
        <x:v>8</x:v>
      </x:c>
      <x:c r="D11" t="str"/>
      <x:c r="E11" t="str"/>
      <x:c r="F11" t="str"/>
      <x:c r="G11" t="str">
        <x:v>REPORTED_DIRECT</x:v>
      </x:c>
      <x:c r="H11" t="str">
        <x:v>USER_REVIEW_REQUIRED</x:v>
      </x:c>
    </x:row>
    <x:row r="12">
      <x:c r="A12" t="str">
        <x:v>KPC_KP_ATLAS2020</x:v>
      </x:c>
      <x:c r="B12" t="str">
        <x:v>KPC-producing K. pneumoniae</x:v>
      </x:c>
      <x:c r="C12" s="127" t="n">
        <x:v>16</x:v>
      </x:c>
      <x:c r="D12" t="str"/>
      <x:c r="E12" t="str"/>
      <x:c r="F12" t="str"/>
      <x:c r="G12" t="str">
        <x:v>REPORTED_DIRECT</x:v>
      </x:c>
      <x:c r="H12" t="str">
        <x:v>USER_REVIEW_REQUIRED</x:v>
      </x:c>
    </x:row>
    <x:row r="13">
      <x:c r="A13" t="str">
        <x:v>KPC_KP_ATLAS2020</x:v>
      </x:c>
      <x:c r="B13" t="str">
        <x:v>KPC-producing K. pneumoniae</x:v>
      </x:c>
      <x:c r="C13" s="127" t="n">
        <x:v>32</x:v>
      </x:c>
      <x:c r="D13" t="str"/>
      <x:c r="E13" t="str"/>
      <x:c r="F13" t="str"/>
      <x:c r="G13" t="str">
        <x:v>REPORTED_DIRECT</x:v>
      </x:c>
      <x:c r="H13" t="str">
        <x:v>USER_REVIEW_REQUIRED</x:v>
      </x:c>
    </x:row>
    <x:row r="14">
      <x:c r="A14" t="str">
        <x:v>KPC_KP_ATLAS2020</x:v>
      </x:c>
      <x:c r="B14" t="str">
        <x:v>KPC-producing K. pneumoniae</x:v>
      </x:c>
      <x:c r="C14" s="127" t="n">
        <x:v>64</x:v>
      </x:c>
      <x:c r="D14" t="str"/>
      <x:c r="E14" t="str"/>
      <x:c r="F14" t="str"/>
      <x:c r="G14" t="str">
        <x:v>REPORTED_DIRECT</x:v>
      </x:c>
      <x:c r="H14" t="str">
        <x:v>USER_REVIEW_REQUIRED</x:v>
      </x:c>
    </x:row>
    <x:row r="15">
      <x:c r="A15" t="str">
        <x:v>OXA48_KP_ATLAS2020</x:v>
      </x:c>
      <x:c r="B15" t="str">
        <x:v>OXA-48-producing K. pneumoniae</x:v>
      </x:c>
      <x:c r="C15" s="127" t="n">
        <x:v>0.0625</x:v>
      </x:c>
      <x:c r="D15" t="str"/>
      <x:c r="E15" t="str"/>
      <x:c r="F15" t="str"/>
      <x:c r="G15" t="str">
        <x:v>REPORTED_DIRECT</x:v>
      </x:c>
      <x:c r="H15" t="str">
        <x:v>USER_REVIEW_REQUIRED</x:v>
      </x:c>
    </x:row>
    <x:row r="16">
      <x:c r="A16" t="str">
        <x:v>OXA48_KP_ATLAS2020</x:v>
      </x:c>
      <x:c r="B16" t="str">
        <x:v>OXA-48-producing K. pneumoniae</x:v>
      </x:c>
      <x:c r="C16" s="127" t="n">
        <x:v>0.125</x:v>
      </x:c>
      <x:c r="D16" t="str"/>
      <x:c r="E16" t="str"/>
      <x:c r="F16" t="str"/>
      <x:c r="G16" t="str">
        <x:v>REPORTED_DIRECT</x:v>
      </x:c>
      <x:c r="H16" t="str">
        <x:v>USER_REVIEW_REQUIRED</x:v>
      </x:c>
    </x:row>
    <x:row r="17">
      <x:c r="A17" t="str">
        <x:v>OXA48_KP_ATLAS2020</x:v>
      </x:c>
      <x:c r="B17" t="str">
        <x:v>OXA-48-producing K. pneumoniae</x:v>
      </x:c>
      <x:c r="C17" s="127" t="n">
        <x:v>0.25</x:v>
      </x:c>
      <x:c r="D17" t="str"/>
      <x:c r="E17" t="str"/>
      <x:c r="F17" t="str"/>
      <x:c r="G17" t="str">
        <x:v>REPORTED_DIRECT</x:v>
      </x:c>
      <x:c r="H17" t="str">
        <x:v>USER_REVIEW_REQUIRED</x:v>
      </x:c>
    </x:row>
    <x:row r="18">
      <x:c r="A18" t="str">
        <x:v>OXA48_KP_ATLAS2020</x:v>
      </x:c>
      <x:c r="B18" t="str">
        <x:v>OXA-48-producing K. pneumoniae</x:v>
      </x:c>
      <x:c r="C18" s="127" t="n">
        <x:v>0.5</x:v>
      </x:c>
      <x:c r="D18" t="str"/>
      <x:c r="E18" t="str"/>
      <x:c r="F18" t="str"/>
      <x:c r="G18" t="str">
        <x:v>REPORTED_DIRECT</x:v>
      </x:c>
      <x:c r="H18" t="str">
        <x:v>USER_REVIEW_REQUIRED</x:v>
      </x:c>
    </x:row>
    <x:row r="19">
      <x:c r="A19" t="str">
        <x:v>OXA48_KP_ATLAS2020</x:v>
      </x:c>
      <x:c r="B19" t="str">
        <x:v>OXA-48-producing K. pneumoniae</x:v>
      </x:c>
      <x:c r="C19" s="127" t="n">
        <x:v>1</x:v>
      </x:c>
      <x:c r="D19" t="str"/>
      <x:c r="E19" t="str"/>
      <x:c r="F19" t="str"/>
      <x:c r="G19" t="str">
        <x:v>REPORTED_DIRECT</x:v>
      </x:c>
      <x:c r="H19" t="str">
        <x:v>USER_REVIEW_REQUIRED</x:v>
      </x:c>
    </x:row>
    <x:row r="20">
      <x:c r="A20" t="str">
        <x:v>OXA48_KP_ATLAS2020</x:v>
      </x:c>
      <x:c r="B20" t="str">
        <x:v>OXA-48-producing K. pneumoniae</x:v>
      </x:c>
      <x:c r="C20" s="127" t="n">
        <x:v>2</x:v>
      </x:c>
      <x:c r="D20" t="str"/>
      <x:c r="E20" t="str"/>
      <x:c r="F20" t="str"/>
      <x:c r="G20" t="str">
        <x:v>REPORTED_DIRECT</x:v>
      </x:c>
      <x:c r="H20" t="str">
        <x:v>USER_REVIEW_REQUIRED</x:v>
      </x:c>
    </x:row>
    <x:row r="21">
      <x:c r="A21" t="str">
        <x:v>OXA48_KP_ATLAS2020</x:v>
      </x:c>
      <x:c r="B21" t="str">
        <x:v>OXA-48-producing K. pneumoniae</x:v>
      </x:c>
      <x:c r="C21" s="127" t="n">
        <x:v>4</x:v>
      </x:c>
      <x:c r="D21" t="str"/>
      <x:c r="E21" t="str"/>
      <x:c r="F21" t="str"/>
      <x:c r="G21" t="str">
        <x:v>REPORTED_DIRECT</x:v>
      </x:c>
      <x:c r="H21" t="str">
        <x:v>USER_REVIEW_REQUIRED</x:v>
      </x:c>
    </x:row>
    <x:row r="22">
      <x:c r="A22" t="str">
        <x:v>OXA48_KP_ATLAS2020</x:v>
      </x:c>
      <x:c r="B22" t="str">
        <x:v>OXA-48-producing K. pneumoniae</x:v>
      </x:c>
      <x:c r="C22" s="127" t="n">
        <x:v>8</x:v>
      </x:c>
      <x:c r="D22" t="str"/>
      <x:c r="E22" t="str"/>
      <x:c r="F22" t="str"/>
      <x:c r="G22" t="str">
        <x:v>REPORTED_DIRECT</x:v>
      </x:c>
      <x:c r="H22" t="str">
        <x:v>USER_REVIEW_REQUIRED</x:v>
      </x:c>
    </x:row>
    <x:row r="23">
      <x:c r="A23" t="str">
        <x:v>OXA48_KP_ATLAS2020</x:v>
      </x:c>
      <x:c r="B23" t="str">
        <x:v>OXA-48-producing K. pneumoniae</x:v>
      </x:c>
      <x:c r="C23" s="127" t="n">
        <x:v>16</x:v>
      </x:c>
      <x:c r="D23" t="str"/>
      <x:c r="E23" t="str"/>
      <x:c r="F23" t="str"/>
      <x:c r="G23" t="str">
        <x:v>REPORTED_DIRECT</x:v>
      </x:c>
      <x:c r="H23" t="str">
        <x:v>USER_REVIEW_REQUIRED</x:v>
      </x:c>
    </x:row>
    <x:row r="24">
      <x:c r="A24" t="str">
        <x:v>OXA48_KP_ATLAS2020</x:v>
      </x:c>
      <x:c r="B24" t="str">
        <x:v>OXA-48-producing K. pneumoniae</x:v>
      </x:c>
      <x:c r="C24" s="127" t="n">
        <x:v>32</x:v>
      </x:c>
      <x:c r="D24" t="str"/>
      <x:c r="E24" t="str"/>
      <x:c r="F24" t="str"/>
      <x:c r="G24" t="str">
        <x:v>REPORTED_DIRECT</x:v>
      </x:c>
      <x:c r="H24" t="str">
        <x:v>USER_REVIEW_REQUIRED</x:v>
      </x:c>
    </x:row>
    <x:row r="25">
      <x:c r="A25" t="str">
        <x:v>OXA48_KP_ATLAS2020</x:v>
      </x:c>
      <x:c r="B25" t="str">
        <x:v>OXA-48-producing K. pneumoniae</x:v>
      </x:c>
      <x:c r="C25" s="127" t="n">
        <x:v>64</x:v>
      </x:c>
      <x:c r="D25" t="str"/>
      <x:c r="E25" t="str"/>
      <x:c r="F25" t="str"/>
      <x:c r="G25" t="str">
        <x:v>REPORTED_DIRECT</x:v>
      </x:c>
      <x:c r="H25" t="str">
        <x:v>USER_REVIEW_REQUIRED</x:v>
      </x:c>
    </x:row>
    <x:row r="26">
      <x:c r="A26" t="str">
        <x:v>OXA48_ENT_FR2021</x:v>
      </x:c>
      <x:c r="B26" t="str">
        <x:v>OXA-48-producing Enterobacterales</x:v>
      </x:c>
      <x:c r="C26" s="127" t="n">
        <x:v>0.0625</x:v>
      </x:c>
      <x:c r="D26" t="str"/>
      <x:c r="E26" t="str"/>
      <x:c r="F26" t="str"/>
      <x:c r="G26" t="str">
        <x:v>REPORTED_DIRECT</x:v>
      </x:c>
      <x:c r="H26" t="str">
        <x:v>USER_REVIEW_REQUIRED</x:v>
      </x:c>
    </x:row>
    <x:row r="27">
      <x:c r="A27" t="str">
        <x:v>OXA48_ENT_FR2021</x:v>
      </x:c>
      <x:c r="B27" t="str">
        <x:v>OXA-48-producing Enterobacterales</x:v>
      </x:c>
      <x:c r="C27" s="127" t="n">
        <x:v>0.125</x:v>
      </x:c>
      <x:c r="D27" t="str"/>
      <x:c r="E27" t="str"/>
      <x:c r="F27" t="str"/>
      <x:c r="G27" t="str">
        <x:v>REPORTED_DIRECT</x:v>
      </x:c>
      <x:c r="H27" t="str">
        <x:v>USER_REVIEW_REQUIRED</x:v>
      </x:c>
    </x:row>
    <x:row r="28">
      <x:c r="A28" t="str">
        <x:v>OXA48_ENT_FR2021</x:v>
      </x:c>
      <x:c r="B28" t="str">
        <x:v>OXA-48-producing Enterobacterales</x:v>
      </x:c>
      <x:c r="C28" s="127" t="n">
        <x:v>0.25</x:v>
      </x:c>
      <x:c r="D28" t="str"/>
      <x:c r="E28" t="str"/>
      <x:c r="F28" t="str"/>
      <x:c r="G28" t="str">
        <x:v>REPORTED_DIRECT</x:v>
      </x:c>
      <x:c r="H28" t="str">
        <x:v>USER_REVIEW_REQUIRED</x:v>
      </x:c>
    </x:row>
    <x:row r="29">
      <x:c r="A29" t="str">
        <x:v>OXA48_ENT_FR2021</x:v>
      </x:c>
      <x:c r="B29" t="str">
        <x:v>OXA-48-producing Enterobacterales</x:v>
      </x:c>
      <x:c r="C29" s="127" t="n">
        <x:v>0.5</x:v>
      </x:c>
      <x:c r="D29" t="str"/>
      <x:c r="E29" t="str"/>
      <x:c r="F29" t="str"/>
      <x:c r="G29" t="str">
        <x:v>REPORTED_DIRECT</x:v>
      </x:c>
      <x:c r="H29" t="str">
        <x:v>USER_REVIEW_REQUIRED</x:v>
      </x:c>
    </x:row>
    <x:row r="30">
      <x:c r="A30" t="str">
        <x:v>OXA48_ENT_FR2021</x:v>
      </x:c>
      <x:c r="B30" t="str">
        <x:v>OXA-48-producing Enterobacterales</x:v>
      </x:c>
      <x:c r="C30" s="127" t="n">
        <x:v>1</x:v>
      </x:c>
      <x:c r="D30" t="str"/>
      <x:c r="E30" t="str"/>
      <x:c r="F30" t="str"/>
      <x:c r="G30" t="str">
        <x:v>REPORTED_DIRECT</x:v>
      </x:c>
      <x:c r="H30" t="str">
        <x:v>USER_REVIEW_REQUIRED</x:v>
      </x:c>
    </x:row>
    <x:row r="31">
      <x:c r="A31" t="str">
        <x:v>OXA48_ENT_FR2021</x:v>
      </x:c>
      <x:c r="B31" t="str">
        <x:v>OXA-48-producing Enterobacterales</x:v>
      </x:c>
      <x:c r="C31" s="127" t="n">
        <x:v>2</x:v>
      </x:c>
      <x:c r="D31" t="str"/>
      <x:c r="E31" t="str"/>
      <x:c r="F31" t="str"/>
      <x:c r="G31" t="str">
        <x:v>REPORTED_DIRECT</x:v>
      </x:c>
      <x:c r="H31" t="str">
        <x:v>USER_REVIEW_REQUIRED</x:v>
      </x:c>
    </x:row>
    <x:row r="32">
      <x:c r="A32" t="str">
        <x:v>OXA48_ENT_FR2021</x:v>
      </x:c>
      <x:c r="B32" t="str">
        <x:v>OXA-48-producing Enterobacterales</x:v>
      </x:c>
      <x:c r="C32" s="127" t="n">
        <x:v>4</x:v>
      </x:c>
      <x:c r="D32" t="str"/>
      <x:c r="E32" t="str"/>
      <x:c r="F32" t="str"/>
      <x:c r="G32" t="str">
        <x:v>REPORTED_DIRECT</x:v>
      </x:c>
      <x:c r="H32" t="str">
        <x:v>USER_REVIEW_REQUIRED</x:v>
      </x:c>
    </x:row>
    <x:row r="33">
      <x:c r="A33" t="str">
        <x:v>OXA48_ENT_FR2021</x:v>
      </x:c>
      <x:c r="B33" t="str">
        <x:v>OXA-48-producing Enterobacterales</x:v>
      </x:c>
      <x:c r="C33" s="127" t="n">
        <x:v>8</x:v>
      </x:c>
      <x:c r="D33" t="str"/>
      <x:c r="E33" t="str"/>
      <x:c r="F33" t="str"/>
      <x:c r="G33" t="str">
        <x:v>REPORTED_DIRECT</x:v>
      </x:c>
      <x:c r="H33" t="str">
        <x:v>USER_REVIEW_REQUIRED</x:v>
      </x:c>
    </x:row>
    <x:row r="34">
      <x:c r="A34" t="str">
        <x:v>OXA48_ENT_FR2021</x:v>
      </x:c>
      <x:c r="B34" t="str">
        <x:v>OXA-48-producing Enterobacterales</x:v>
      </x:c>
      <x:c r="C34" s="127" t="n">
        <x:v>16</x:v>
      </x:c>
      <x:c r="D34" t="str"/>
      <x:c r="E34" t="str"/>
      <x:c r="F34" t="str"/>
      <x:c r="G34" t="str">
        <x:v>REPORTED_DIRECT</x:v>
      </x:c>
      <x:c r="H34" t="str">
        <x:v>USER_REVIEW_REQUIRED</x:v>
      </x:c>
    </x:row>
    <x:row r="35">
      <x:c r="A35" t="str">
        <x:v>OXA48_ENT_FR2021</x:v>
      </x:c>
      <x:c r="B35" t="str">
        <x:v>OXA-48-producing Enterobacterales</x:v>
      </x:c>
      <x:c r="C35" s="127" t="n">
        <x:v>32</x:v>
      </x:c>
      <x:c r="D35" t="str"/>
      <x:c r="E35" t="str"/>
      <x:c r="F35" t="str"/>
      <x:c r="G35" t="str">
        <x:v>REPORTED_DIRECT</x:v>
      </x:c>
      <x:c r="H35" t="str">
        <x:v>USER_REVIEW_REQUIRED</x:v>
      </x:c>
    </x:row>
    <x:row r="36">
      <x:c r="A36" t="str">
        <x:v>OXA48_ENT_FR2021</x:v>
      </x:c>
      <x:c r="B36" t="str">
        <x:v>OXA-48-producing Enterobacterales</x:v>
      </x:c>
      <x:c r="C36" s="127" t="n">
        <x:v>64</x:v>
      </x:c>
      <x:c r="D36" t="str"/>
      <x:c r="E36" t="str"/>
      <x:c r="F36" t="str"/>
      <x:c r="G36" t="str">
        <x:v>REPORTED_DIRECT</x:v>
      </x:c>
      <x:c r="H36" t="str">
        <x:v>USER_REVIEW_REQUIRED</x:v>
      </x:c>
    </x:row>
  </x:sheetData>
  <x:mergeCells>
    <x:mergeCell ref="A1:H1"/>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6" hidden="0" customWidth="1"/>
    <x:col min="3" max="3" width="60" hidden="0" customWidth="1"/>
    <x:col min="4" max="4" width="44" hidden="0" customWidth="1"/>
  </x:cols>
  <x:sheetData>
    <x:row r="1">
      <x:c r="A1" s="124" t="str">
        <x:v>CFR Completion Gate</x:v>
      </x:c>
      <x:c r="B1" s="124"/>
      <x:c r="C1" s="124"/>
      <x:c r="D1" s="124"/>
    </x:row>
    <x:row r="2">
      <x:c r="A2" s="45"/>
      <x:c r="B2" s="45"/>
      <x:c r="C2" s="45"/>
      <x:c r="D2" s="45"/>
    </x:row>
    <x:row r="3">
      <x:c r="A3" s="120" t="str">
        <x:v>Item</x:v>
      </x:c>
      <x:c r="B3" s="120" t="str">
        <x:v>Status</x:v>
      </x:c>
      <x:c r="C3" s="120" t="str">
        <x:v>Reason</x:v>
      </x:c>
      <x:c r="D3" s="120" t="str">
        <x:v>Next action</x:v>
      </x:c>
    </x:row>
    <x:row r="4">
      <x:c r="A4" s="126" t="str">
        <x:v>PTA grid</x:v>
      </x:c>
      <x:c r="B4" s="130" t="str">
        <x:v>AVAILABLE</x:v>
      </x:c>
      <x:c r="C4" s="45" t="str">
        <x:v>PTA across MIC 0.0625–64 mg/L exists</x:v>
      </x:c>
      <x:c r="D4" s="45" t="str">
        <x:v>Use after MIC distributions are approved</x:v>
      </x:c>
    </x:row>
    <x:row r="5">
      <x:c r="A5" s="126" t="str">
        <x:v>KPC-Kp MIC distribution</x:v>
      </x:c>
      <x:c r="B5" s="130" t="str">
        <x:v>MISSING</x:v>
      </x:c>
      <x:c r="C5" s="45" t="str">
        <x:v>Raw ATLAS 2020 frequency counts not present</x:v>
      </x:c>
      <x:c r="D5" s="45" t="str">
        <x:v>Enter reported counts/frequencies</x:v>
      </x:c>
    </x:row>
    <x:row r="6">
      <x:c r="A6" s="126" t="str">
        <x:v>OXA-48-Kp MIC distribution</x:v>
      </x:c>
      <x:c r="B6" s="130" t="str">
        <x:v>MISSING</x:v>
      </x:c>
      <x:c r="C6" s="45" t="str">
        <x:v>Raw ATLAS 2020 frequency counts not present</x:v>
      </x:c>
      <x:c r="D6" s="45" t="str">
        <x:v>Enter reported counts/frequencies</x:v>
      </x:c>
    </x:row>
    <x:row r="7">
      <x:c r="A7" s="126" t="str">
        <x:v>OXA-48 Enterobacterales distribution</x:v>
      </x:c>
      <x:c r="B7" s="130" t="str">
        <x:v>MISSING</x:v>
      </x:c>
      <x:c r="C7" s="45" t="str">
        <x:v>French NRC 2021 counts not present</x:v>
      </x:c>
      <x:c r="D7" s="45" t="str">
        <x:v>Enter reported counts/frequencies</x:v>
      </x:c>
    </x:row>
    <x:row r="8">
      <x:c r="A8" s="126" t="str">
        <x:v>CFR calculation</x:v>
      </x:c>
      <x:c r="B8" s="130" t="str">
        <x:v>BLOCKED</x:v>
      </x:c>
      <x:c r="C8" s="45" t="str">
        <x:v>CFR without a frequency distribution would be model-inferred</x:v>
      </x:c>
      <x:c r="D8" s="45" t="str">
        <x:v>Run only after distribution approval</x:v>
      </x:c>
    </x:row>
    <x:row r="9">
      <x:c r="A9" t="str">
        <x:v>Published Table 5 comparison</x:v>
      </x:c>
      <x:c r="B9" t="str">
        <x:v>PENDING</x:v>
      </x:c>
      <x:c r="C9" t="str">
        <x:v>Requires extractable table values and exact distribution provenance</x:v>
      </x:c>
      <x:c r="D9" t="str">
        <x:v>Populate after source-package completion</x:v>
      </x:c>
    </x:row>
  </x:sheetData>
  <x:mergeCells>
    <x:mergeCell ref="A1:D1"/>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48" hidden="0" customWidth="1"/>
    <x:col min="3" max="3" width="18" hidden="0" customWidth="1"/>
    <x:col min="4" max="4" width="20" hidden="0" customWidth="1"/>
    <x:col min="5" max="5" width="24" hidden="0" customWidth="1"/>
    <x:col min="6" max="6" width="24" hidden="0" customWidth="1"/>
  </x:cols>
  <x:sheetData>
    <x:row r="1">
      <x:c r="A1" s="115" t="str">
        <x:v>Run Reproducibility and Provenance Registry</x:v>
      </x:c>
      <x:c r="B1" s="115"/>
      <x:c r="C1" s="115"/>
      <x:c r="D1" s="115"/>
      <x:c r="E1" s="115"/>
      <x:c r="F1" s="115"/>
    </x:row>
    <x:row r="3">
      <x:c r="A3" s="120" t="str">
        <x:v>Field</x:v>
      </x:c>
      <x:c r="B3" s="120" t="str">
        <x:v>Value</x:v>
      </x:c>
      <x:c r="C3" s="120" t="str">
        <x:v>Availability</x:v>
      </x:c>
      <x:c r="D3" s="120" t="str">
        <x:v>Origin class</x:v>
      </x:c>
      <x:c r="E3" s="120" t="str">
        <x:v>Transformation</x:v>
      </x:c>
      <x:c r="F3" s="120" t="str">
        <x:v>Review state</x:v>
      </x:c>
    </x:row>
    <x:row r="4">
      <x:c r="A4" s="45" t="str">
        <x:v>Virtual subjects</x:v>
      </x:c>
      <x:c r="B4" s="45" t="n">
        <x:v>100000</x:v>
      </x:c>
      <x:c r="C4" s="45" t="str">
        <x:v>RECORDED</x:v>
      </x:c>
      <x:c r="D4" s="45" t="str">
        <x:v>USER_INPUT</x:v>
      </x:c>
      <x:c r="E4" s="45" t="str">
        <x:v>SCENARIO_GENERATION</x:v>
      </x:c>
      <x:c r="F4" s="45" t="str">
        <x:v>SYSTEM_NORMALIZED</x:v>
      </x:c>
    </x:row>
    <x:row r="5">
      <x:c r="A5" s="45" t="str">
        <x:v>Subjects per EKFC class</x:v>
      </x:c>
      <x:c r="B5" s="45" t="n">
        <x:v>20000</x:v>
      </x:c>
      <x:c r="C5" s="45" t="str">
        <x:v>RECORDED</x:v>
      </x:c>
      <x:c r="D5" s="45" t="str">
        <x:v>USER_INPUT</x:v>
      </x:c>
      <x:c r="E5" s="45" t="str">
        <x:v>SCENARIO_GENERATION</x:v>
      </x:c>
      <x:c r="F5" s="45" t="str">
        <x:v>SYSTEM_NORMALIZED</x:v>
      </x:c>
    </x:row>
    <x:row r="6">
      <x:c r="A6" s="45" t="str">
        <x:v>Primary seed</x:v>
      </x:c>
      <x:c r="B6" s="45" t="n">
        <x:v>20260707</x:v>
      </x:c>
      <x:c r="C6" s="45" t="str">
        <x:v>RECORDED</x:v>
      </x:c>
      <x:c r="D6" s="45" t="str">
        <x:v>USER_INPUT</x:v>
      </x:c>
      <x:c r="E6" s="45" t="str">
        <x:v>NONE</x:v>
      </x:c>
      <x:c r="F6" s="45" t="str">
        <x:v>SYSTEM_NORMALIZED</x:v>
      </x:c>
    </x:row>
    <x:row r="7">
      <x:c r="A7" s="45" t="str">
        <x:v>Additional seeds</x:v>
      </x:c>
      <x:c r="B7" s="45" t="str">
        <x:v>20260708–20260711</x:v>
      </x:c>
      <x:c r="C7" s="45" t="str">
        <x:v>GENERATED</x:v>
      </x:c>
      <x:c r="D7" s="45" t="str">
        <x:v>USER_INPUT</x:v>
      </x:c>
      <x:c r="E7" s="45" t="str">
        <x:v>SCENARIO_GENERATION</x:v>
      </x:c>
      <x:c r="F7" s="45" t="str">
        <x:v>SYSTEM_NORMALIZED</x:v>
      </x:c>
    </x:row>
    <x:row r="8">
      <x:c r="A8" s="45" t="str">
        <x:v>CL CAZ equation</x:v>
      </x:c>
      <x:c r="B8" s="45" t="str">
        <x:v>5.0 × (EKFC/70)^0.70 L/h</x:v>
      </x:c>
      <x:c r="C8" s="45" t="str">
        <x:v>RECORDED</x:v>
      </x:c>
      <x:c r="D8" s="45" t="str">
        <x:v>REPORTED_DIRECT</x:v>
      </x:c>
      <x:c r="E8" s="45" t="str">
        <x:v>EQUATION_APPLICATION</x:v>
      </x:c>
      <x:c r="F8" s="45" t="str">
        <x:v>USER_REVIEW_REQUIRED</x:v>
      </x:c>
    </x:row>
    <x:row r="9">
      <x:c r="A9" s="45" t="str">
        <x:v>CL AVI equation</x:v>
      </x:c>
      <x:c r="B9" s="45" t="str">
        <x:v>5.9 × (EKFC/70)^0.89 L/h</x:v>
      </x:c>
      <x:c r="C9" s="45" t="str">
        <x:v>RECORDED</x:v>
      </x:c>
      <x:c r="D9" s="45" t="str">
        <x:v>REPORTED_DIRECT</x:v>
      </x:c>
      <x:c r="E9" s="45" t="str">
        <x:v>EQUATION_APPLICATION</x:v>
      </x:c>
      <x:c r="F9" s="45" t="str">
        <x:v>USER_REVIEW_REQUIRED</x:v>
      </x:c>
    </x:row>
    <x:row r="10">
      <x:c r="A10" s="45" t="str">
        <x:v>Omega CAZ</x:v>
      </x:c>
      <x:c r="B10" s="45" t="n">
        <x:v>0.62</x:v>
      </x:c>
      <x:c r="C10" s="45" t="str">
        <x:v>RECORDED</x:v>
      </x:c>
      <x:c r="D10" s="45" t="str">
        <x:v>REPORTED_DIRECT</x:v>
      </x:c>
      <x:c r="E10" s="45" t="str">
        <x:v>PARAMETER_MAPPING</x:v>
      </x:c>
      <x:c r="F10" s="45" t="str">
        <x:v>USER_REVIEW_REQUIRED</x:v>
      </x:c>
    </x:row>
    <x:row r="11">
      <x:c r="A11" s="45" t="str">
        <x:v>Omega AVI</x:v>
      </x:c>
      <x:c r="B11" s="45" t="n">
        <x:v>0.68</x:v>
      </x:c>
      <x:c r="C11" s="45" t="str">
        <x:v>RECORDED</x:v>
      </x:c>
      <x:c r="D11" s="45" t="str">
        <x:v>REPORTED_DIRECT</x:v>
      </x:c>
      <x:c r="E11" s="45" t="str">
        <x:v>PARAMETER_MAPPING</x:v>
      </x:c>
      <x:c r="F11" s="45" t="str">
        <x:v>USER_REVIEW_REQUIRED</x:v>
      </x:c>
    </x:row>
    <x:row r="12">
      <x:c r="A12" s="45" t="str">
        <x:v>Correlation</x:v>
      </x:c>
      <x:c r="B12" s="45" t="n">
        <x:v>0.94</x:v>
      </x:c>
      <x:c r="C12" s="45" t="str">
        <x:v>RECORDED</x:v>
      </x:c>
      <x:c r="D12" s="45" t="str">
        <x:v>REPORTED_DIRECT</x:v>
      </x:c>
      <x:c r="E12" s="45" t="str">
        <x:v>NONE</x:v>
      </x:c>
      <x:c r="F12" s="45" t="str">
        <x:v>USER_REVIEW_REQUIRED</x:v>
      </x:c>
    </x:row>
    <x:row r="13">
      <x:c r="A13" s="45" t="str">
        <x:v>Free fraction CAZ</x:v>
      </x:c>
      <x:c r="B13" s="45" t="n">
        <x:v>0.85</x:v>
      </x:c>
      <x:c r="C13" s="45" t="str">
        <x:v>RECORDED</x:v>
      </x:c>
      <x:c r="D13" s="45" t="str">
        <x:v>REPORTED_DIRECT</x:v>
      </x:c>
      <x:c r="E13" s="45" t="str">
        <x:v>NONE</x:v>
      </x:c>
      <x:c r="F13" s="45" t="str">
        <x:v>USER_REVIEW_REQUIRED</x:v>
      </x:c>
    </x:row>
    <x:row r="14">
      <x:c r="A14" s="45" t="str">
        <x:v>Free fraction AVI</x:v>
      </x:c>
      <x:c r="B14" s="45" t="n">
        <x:v>0.92</x:v>
      </x:c>
      <x:c r="C14" s="45" t="str">
        <x:v>RECORDED</x:v>
      </x:c>
      <x:c r="D14" s="45" t="str">
        <x:v>REPORTED_DIRECT</x:v>
      </x:c>
      <x:c r="E14" s="45" t="str">
        <x:v>NONE</x:v>
      </x:c>
      <x:c r="F14" s="45" t="str">
        <x:v>USER_REVIEW_REQUIRED</x:v>
      </x:c>
    </x:row>
    <x:row r="15">
      <x:c r="A15" s="45" t="str">
        <x:v>Git commit</x:v>
      </x:c>
      <x:c r="B15" s="45" t="str">
        <x:v>MISSING</x:v>
      </x:c>
      <x:c r="C15" s="45" t="str">
        <x:v>REQUIRED</x:v>
      </x:c>
      <x:c r="D15" s="45" t="str">
        <x:v>NOT_AVAILABLE</x:v>
      </x:c>
      <x:c r="E15" s="45" t="str">
        <x:v>NONE</x:v>
      </x:c>
      <x:c r="F15" s="45" t="str">
        <x:v>USER_REVIEW_REQUIRED</x:v>
      </x:c>
    </x:row>
    <x:row r="16">
      <x:c r="A16" s="45" t="str">
        <x:v>Environment lock</x:v>
      </x:c>
      <x:c r="B16" s="45" t="str">
        <x:v>MISSING</x:v>
      </x:c>
      <x:c r="C16" s="45" t="str">
        <x:v>REQUIRED</x:v>
      </x:c>
      <x:c r="D16" s="45" t="str">
        <x:v>NOT_AVAILABLE</x:v>
      </x:c>
      <x:c r="E16" s="45" t="str">
        <x:v>NONE</x:v>
      </x:c>
      <x:c r="F16" s="45" t="str">
        <x:v>USER_REVIEW_REQUIRED</x:v>
      </x:c>
    </x:row>
    <x:row r="17">
      <x:c r="A17" s="45" t="str">
        <x:v>Input checksums</x:v>
      </x:c>
      <x:c r="B17" s="45" t="str">
        <x:v>MISSING</x:v>
      </x:c>
      <x:c r="C17" s="45" t="str">
        <x:v>REQUIRED</x:v>
      </x:c>
      <x:c r="D17" s="45" t="str">
        <x:v>NOT_AVAILABLE</x:v>
      </x:c>
      <x:c r="E17" s="45" t="str">
        <x:v>NONE</x:v>
      </x:c>
      <x:c r="F17" s="45" t="str">
        <x:v>USER_REVIEW_REQUIRED</x:v>
      </x:c>
    </x:row>
    <x:row r="18">
      <x:c r="A18" s="45" t="str">
        <x:v>Scenario ID</x:v>
      </x:c>
      <x:c r="B18" s="45" t="str">
        <x:v>CAZ_AVI_CI_BASELINE_V1</x:v>
      </x:c>
      <x:c r="C18" s="45" t="str">
        <x:v>ASSIGNED</x:v>
      </x:c>
      <x:c r="D18" s="45" t="str">
        <x:v>USER_INPUT</x:v>
      </x:c>
      <x:c r="E18" s="45" t="str">
        <x:v>NONE</x:v>
      </x:c>
      <x:c r="F18" s="45" t="str">
        <x:v>USER_REVIEW_REQUIRED</x:v>
      </x:c>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cols>
    <x:col min="1" max="1" width="30" hidden="0" customWidth="1"/>
    <x:col min="2" max="2" width="24" hidden="0" customWidth="1"/>
    <x:col min="3" max="3" width="22" hidden="0" customWidth="1"/>
    <x:col min="4" max="4" width="38" hidden="0" customWidth="1"/>
    <x:col min="5" max="5" width="22" hidden="0" customWidth="1"/>
    <x:col min="6" max="6" width="20" hidden="0" customWidth="1"/>
    <x:col min="7" max="7" width="24" hidden="0" customWidth="1"/>
    <x:col min="8" max="8" width="60" hidden="0" customWidth="1"/>
  </x:cols>
  <x:sheetData>
    <x:row r="1">
      <x:c r="A1" s="150" t="str">
        <x:v>MIC Source Eligibility Review for CAZ–AVI CFR</x:v>
      </x:c>
      <x:c r="B1" s="150"/>
      <x:c r="C1" s="150"/>
      <x:c r="D1" s="150"/>
      <x:c r="E1" s="150"/>
      <x:c r="F1" s="150"/>
      <x:c r="G1" s="150"/>
      <x:c r="H1" s="150"/>
    </x:row>
    <x:row r="2">
      <x:c r="A2" s="45"/>
      <x:c r="B2" s="45"/>
      <x:c r="C2" s="45"/>
      <x:c r="D2" s="45"/>
      <x:c r="E2" s="45"/>
      <x:c r="F2" s="45"/>
      <x:c r="G2" s="45"/>
      <x:c r="H2" s="45"/>
    </x:row>
    <x:row r="3">
      <x:c r="A3" s="145" t="str">
        <x:v>Source</x:v>
      </x:c>
      <x:c r="B3" s="145" t="str">
        <x:v>Drug</x:v>
      </x:c>
      <x:c r="C3" s="145" t="str">
        <x:v>Exact MIC distribution?</x:v>
      </x:c>
      <x:c r="D3" s="145" t="str">
        <x:v>Population fit</x:v>
      </x:c>
      <x:c r="E3" s="145" t="str">
        <x:v>Use</x:v>
      </x:c>
      <x:c r="F3" s="145" t="str">
        <x:v>Origin class</x:v>
      </x:c>
      <x:c r="G3" s="145" t="str">
        <x:v>Review state</x:v>
      </x:c>
      <x:c r="H3" s="145" t="str">
        <x:v>Reason</x:v>
      </x:c>
    </x:row>
    <x:row r="4">
      <x:c r="A4" s="45" t="str">
        <x:v>Lee et al. 2022</x:v>
      </x:c>
      <x:c r="B4" s="45" t="str">
        <x:v>Ceftazidime–avibactam</x:v>
      </x:c>
      <x:c r="C4" s="45" t="str">
        <x:v>YES — Table 3</x:v>
      </x:c>
      <x:c r="D4" s="45" t="str">
        <x:v>KPC-like and OXA-like CR-K. pneumoniae</x:v>
      </x:c>
      <x:c r="E4" s="151" t="str">
        <x:v>PRIMARY CFR</x:v>
      </x:c>
      <x:c r="F4" s="151" t="str">
        <x:v>REPORTED_DIRECT</x:v>
      </x:c>
      <x:c r="G4" s="151" t="str">
        <x:v>SYSTEM_NORMALIZED</x:v>
      </x:c>
      <x:c r="H4" s="45" t="str">
        <x:v>Correct drug, method, mechanism-specific counts</x:v>
      </x:c>
    </x:row>
    <x:row r="5">
      <x:c r="A5" s="45" t="str">
        <x:v>Bakthavatchalam et al. 2022</x:v>
      </x:c>
      <x:c r="B5" s="45" t="str">
        <x:v>Ceftazidime–avibactam</x:v>
      </x:c>
      <x:c r="C5" s="45" t="str">
        <x:v>YES — Table 2</x:v>
      </x:c>
      <x:c r="D5" s="45" t="str">
        <x:v>Indian OXA-48-like CR-K. pneumoniae</x:v>
      </x:c>
      <x:c r="E5" s="151" t="str">
        <x:v>SENSITIVITY / DONOR</x:v>
      </x:c>
      <x:c r="F5" s="151" t="str">
        <x:v>DONOR_POOL</x:v>
      </x:c>
      <x:c r="G5" s="151" t="str">
        <x:v>USER_REVIEW_REQUIRED</x:v>
      </x:c>
      <x:c r="H5" s="45" t="str">
        <x:v>Correct drug and subgroup; narrower geography and older years</x:v>
      </x:c>
    </x:row>
    <x:row r="6">
      <x:c r="A6" s="45" t="str">
        <x:v>Bonnin et al. 2022</x:v>
      </x:c>
      <x:c r="B6" s="45" t="str">
        <x:v>Cefiderocol</x:v>
      </x:c>
      <x:c r="C6" s="45" t="str">
        <x:v>YES</x:v>
      </x:c>
      <x:c r="D6" s="45" t="str">
        <x:v>CRE / OXA-48 / KPC</x:v>
      </x:c>
      <x:c r="E6" s="152" t="str">
        <x:v>EXCLUDE</x:v>
      </x:c>
      <x:c r="F6" s="152" t="str">
        <x:v>REPORTED_DIRECT</x:v>
      </x:c>
      <x:c r="G6" s="152" t="str">
        <x:v>USER_REJECTED</x:v>
      </x:c>
      <x:c r="H6" s="45" t="str">
        <x:v>Antibiotic mismatch</x:v>
      </x:c>
    </x:row>
    <x:row r="7">
      <x:c r="A7" s="45" t="str">
        <x:v>Rossolini et al. 2022</x:v>
      </x:c>
      <x:c r="B7" s="45" t="str">
        <x:v>Aztreonam–avibactam</x:v>
      </x:c>
      <x:c r="C7" s="45" t="str">
        <x:v>YES</x:v>
      </x:c>
      <x:c r="D7" s="45" t="str">
        <x:v>Global Enterobacterales</x:v>
      </x:c>
      <x:c r="E7" s="152" t="str">
        <x:v>EXCLUDE</x:v>
      </x:c>
      <x:c r="F7" s="152" t="str">
        <x:v>REPORTED_DIRECT</x:v>
      </x:c>
      <x:c r="G7" s="152" t="str">
        <x:v>USER_REJECTED</x:v>
      </x:c>
      <x:c r="H7" s="45" t="str">
        <x:v>Combination mismatch; component-only avibactam evidence is not CAZ–AVI MIC evidence</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15" hidden="0" customWidth="1"/>
    <x:col min="5" max="5" width="10" hidden="0" customWidth="1"/>
    <x:col min="6" max="6" width="10" hidden="0" customWidth="1"/>
    <x:col min="7" max="7" width="12" hidden="0" customWidth="1"/>
    <x:col min="8" max="8" width="48" hidden="0" customWidth="1"/>
    <x:col min="9" max="9" width="48" hidden="0" customWidth="1"/>
    <x:col min="10" max="10" width="20" hidden="0" customWidth="1"/>
    <x:col min="11" max="11" width="24" hidden="0" customWidth="1"/>
  </x:cols>
  <x:sheetData>
    <x:row r="1">
      <x:c r="A1" s="140" t="str">
        <x:v>Directly Reported CAZ–AVI MIC Distributions</x:v>
      </x:c>
      <x:c r="B1" s="140"/>
      <x:c r="C1" s="140"/>
      <x:c r="D1" s="140"/>
      <x:c r="E1" s="140"/>
      <x:c r="F1" s="140"/>
      <x:c r="G1" s="140"/>
      <x:c r="H1" s="140"/>
      <x:c r="I1" s="140"/>
      <x:c r="J1" s="140"/>
      <x:c r="K1" s="140"/>
    </x:row>
    <x:row r="3">
      <x:c r="A3" s="145" t="str">
        <x:v>Distribution ID</x:v>
      </x:c>
      <x:c r="B3" s="145" t="str">
        <x:v>Population</x:v>
      </x:c>
      <x:c r="C3" s="145" t="str">
        <x:v>Role</x:v>
      </x:c>
      <x:c r="D3" s="145" t="str">
        <x:v>Original MIC (mg/L)</x:v>
      </x:c>
      <x:c r="E3" s="145" t="str">
        <x:v>Count</x:v>
      </x:c>
      <x:c r="F3" s="145" t="str">
        <x:v>N</x:v>
      </x:c>
      <x:c r="G3" s="145" t="str">
        <x:v>Frequency</x:v>
      </x:c>
      <x:c r="H3" s="145" t="str">
        <x:v>Source</x:v>
      </x:c>
      <x:c r="I3" s="145" t="str">
        <x:v>URL</x:v>
      </x:c>
      <x:c r="J3" s="145" t="str">
        <x:v>Origin class</x:v>
      </x:c>
      <x:c r="K3" s="145" t="str">
        <x:v>Review state</x:v>
      </x:c>
    </x:row>
    <x:row r="4">
      <x:c r="A4" s="45" t="str">
        <x:v>LEE2022_KPC_KP</x:v>
      </x:c>
      <x:c r="B4" s="45" t="str">
        <x:v>KPC-like CR-K. pneumoniae, ATLAS 2020</x:v>
      </x:c>
      <x:c r="C4" s="45" t="str">
        <x:v>PRIMARY</x:v>
      </x:c>
      <x:c r="D4" s="45" t="n">
        <x:v>0.03</x:v>
      </x:c>
      <x:c r="E4" s="45" t="n">
        <x:v>4</x:v>
      </x:c>
      <x:c r="F4" s="45" t="n">
        <x:v>379</x:v>
      </x:c>
      <x:c r="G4" s="153" t="n">
        <x:f>E4/F4</x:f>
        <x:v>0.010554089709762533</x:v>
      </x:c>
      <x:c r="H4" s="45" t="str">
        <x:v>Lee et al. 2022, IJAA 60:106679, Table 3</x:v>
      </x:c>
      <x:c r="I4" s="45" t="str">
        <x:v>https://doi.org/10.1016/j.ijantimicag.2022.106679</x:v>
      </x:c>
      <x:c r="J4" s="45" t="str">
        <x:v>REPORTED_DIRECT</x:v>
      </x:c>
      <x:c r="K4" s="45" t="str">
        <x:v>SYSTEM_NORMALIZED</x:v>
      </x:c>
    </x:row>
    <x:row r="5">
      <x:c r="A5" s="45" t="str">
        <x:v>LEE2022_KPC_KP</x:v>
      </x:c>
      <x:c r="B5" s="45" t="str">
        <x:v>KPC-like CR-K. pneumoniae, ATLAS 2020</x:v>
      </x:c>
      <x:c r="C5" s="45" t="str">
        <x:v>PRIMARY</x:v>
      </x:c>
      <x:c r="D5" s="45" t="n">
        <x:v>0.06</x:v>
      </x:c>
      <x:c r="E5" s="45" t="n">
        <x:v>1</x:v>
      </x:c>
      <x:c r="F5" s="45" t="n">
        <x:v>379</x:v>
      </x:c>
      <x:c r="G5" s="153" t="n">
        <x:f>E5/F5</x:f>
        <x:v>0.002638522427440633</x:v>
      </x:c>
      <x:c r="H5" s="45" t="str">
        <x:v>Lee et al. 2022, IJAA 60:106679, Table 3</x:v>
      </x:c>
      <x:c r="I5" s="45" t="str">
        <x:v>https://doi.org/10.1016/j.ijantimicag.2022.106679</x:v>
      </x:c>
      <x:c r="J5" s="45" t="str">
        <x:v>REPORTED_DIRECT</x:v>
      </x:c>
      <x:c r="K5" s="45" t="str">
        <x:v>SYSTEM_NORMALIZED</x:v>
      </x:c>
    </x:row>
    <x:row r="6">
      <x:c r="A6" s="45" t="str">
        <x:v>LEE2022_KPC_KP</x:v>
      </x:c>
      <x:c r="B6" s="45" t="str">
        <x:v>KPC-like CR-K. pneumoniae, ATLAS 2020</x:v>
      </x:c>
      <x:c r="C6" s="45" t="str">
        <x:v>PRIMARY</x:v>
      </x:c>
      <x:c r="D6" s="45" t="n">
        <x:v>0.12</x:v>
      </x:c>
      <x:c r="E6" s="45" t="n">
        <x:v>2</x:v>
      </x:c>
      <x:c r="F6" s="45" t="n">
        <x:v>379</x:v>
      </x:c>
      <x:c r="G6" s="153" t="n">
        <x:f>E6/F6</x:f>
        <x:v>0.005277044854881266</x:v>
      </x:c>
      <x:c r="H6" s="45" t="str">
        <x:v>Lee et al. 2022, IJAA 60:106679, Table 3</x:v>
      </x:c>
      <x:c r="I6" s="45" t="str">
        <x:v>https://doi.org/10.1016/j.ijantimicag.2022.106679</x:v>
      </x:c>
      <x:c r="J6" s="45" t="str">
        <x:v>REPORTED_DIRECT</x:v>
      </x:c>
      <x:c r="K6" s="45" t="str">
        <x:v>SYSTEM_NORMALIZED</x:v>
      </x:c>
    </x:row>
    <x:row r="7">
      <x:c r="A7" s="45" t="str">
        <x:v>LEE2022_KPC_KP</x:v>
      </x:c>
      <x:c r="B7" s="45" t="str">
        <x:v>KPC-like CR-K. pneumoniae, ATLAS 2020</x:v>
      </x:c>
      <x:c r="C7" s="45" t="str">
        <x:v>PRIMARY</x:v>
      </x:c>
      <x:c r="D7" s="45" t="n">
        <x:v>0.25</x:v>
      </x:c>
      <x:c r="E7" s="45" t="n">
        <x:v>17</x:v>
      </x:c>
      <x:c r="F7" s="45" t="n">
        <x:v>379</x:v>
      </x:c>
      <x:c r="G7" s="153" t="n">
        <x:f>E7/F7</x:f>
        <x:v>0.044854881266490766</x:v>
      </x:c>
      <x:c r="H7" s="45" t="str">
        <x:v>Lee et al. 2022, IJAA 60:106679, Table 3</x:v>
      </x:c>
      <x:c r="I7" s="45" t="str">
        <x:v>https://doi.org/10.1016/j.ijantimicag.2022.106679</x:v>
      </x:c>
      <x:c r="J7" s="45" t="str">
        <x:v>REPORTED_DIRECT</x:v>
      </x:c>
      <x:c r="K7" s="45" t="str">
        <x:v>SYSTEM_NORMALIZED</x:v>
      </x:c>
    </x:row>
    <x:row r="8">
      <x:c r="A8" s="45" t="str">
        <x:v>LEE2022_KPC_KP</x:v>
      </x:c>
      <x:c r="B8" s="45" t="str">
        <x:v>KPC-like CR-K. pneumoniae, ATLAS 2020</x:v>
      </x:c>
      <x:c r="C8" s="45" t="str">
        <x:v>PRIMARY</x:v>
      </x:c>
      <x:c r="D8" s="45" t="n">
        <x:v>0.5</x:v>
      </x:c>
      <x:c r="E8" s="45" t="n">
        <x:v>66</x:v>
      </x:c>
      <x:c r="F8" s="45" t="n">
        <x:v>379</x:v>
      </x:c>
      <x:c r="G8" s="153" t="n">
        <x:f>E8/F8</x:f>
        <x:v>0.1741424802110818</x:v>
      </x:c>
      <x:c r="H8" s="45" t="str">
        <x:v>Lee et al. 2022, IJAA 60:106679, Table 3</x:v>
      </x:c>
      <x:c r="I8" s="45" t="str">
        <x:v>https://doi.org/10.1016/j.ijantimicag.2022.106679</x:v>
      </x:c>
      <x:c r="J8" s="45" t="str">
        <x:v>REPORTED_DIRECT</x:v>
      </x:c>
      <x:c r="K8" s="45" t="str">
        <x:v>SYSTEM_NORMALIZED</x:v>
      </x:c>
    </x:row>
    <x:row r="9">
      <x:c r="A9" s="45" t="str">
        <x:v>LEE2022_KPC_KP</x:v>
      </x:c>
      <x:c r="B9" s="45" t="str">
        <x:v>KPC-like CR-K. pneumoniae, ATLAS 2020</x:v>
      </x:c>
      <x:c r="C9" s="45" t="str">
        <x:v>PRIMARY</x:v>
      </x:c>
      <x:c r="D9" s="45" t="n">
        <x:v>1</x:v>
      </x:c>
      <x:c r="E9" s="45" t="n">
        <x:v>149</x:v>
      </x:c>
      <x:c r="F9" s="45" t="n">
        <x:v>379</x:v>
      </x:c>
      <x:c r="G9" s="153" t="n">
        <x:f>E9/F9</x:f>
        <x:v>0.39313984168865435</x:v>
      </x:c>
      <x:c r="H9" s="45" t="str">
        <x:v>Lee et al. 2022, IJAA 60:106679, Table 3</x:v>
      </x:c>
      <x:c r="I9" s="45" t="str">
        <x:v>https://doi.org/10.1016/j.ijantimicag.2022.106679</x:v>
      </x:c>
      <x:c r="J9" s="45" t="str">
        <x:v>REPORTED_DIRECT</x:v>
      </x:c>
      <x:c r="K9" s="45" t="str">
        <x:v>SYSTEM_NORMALIZED</x:v>
      </x:c>
    </x:row>
    <x:row r="10">
      <x:c r="A10" s="45" t="str">
        <x:v>LEE2022_KPC_KP</x:v>
      </x:c>
      <x:c r="B10" s="45" t="str">
        <x:v>KPC-like CR-K. pneumoniae, ATLAS 2020</x:v>
      </x:c>
      <x:c r="C10" s="45" t="str">
        <x:v>PRIMARY</x:v>
      </x:c>
      <x:c r="D10" s="45" t="n">
        <x:v>2</x:v>
      </x:c>
      <x:c r="E10" s="45" t="n">
        <x:v>102</x:v>
      </x:c>
      <x:c r="F10" s="45" t="n">
        <x:v>379</x:v>
      </x:c>
      <x:c r="G10" s="153" t="n">
        <x:f>E10/F10</x:f>
        <x:v>0.2691292875989446</x:v>
      </x:c>
      <x:c r="H10" s="45" t="str">
        <x:v>Lee et al. 2022, IJAA 60:106679, Table 3</x:v>
      </x:c>
      <x:c r="I10" s="45" t="str">
        <x:v>https://doi.org/10.1016/j.ijantimicag.2022.106679</x:v>
      </x:c>
      <x:c r="J10" s="45" t="str">
        <x:v>REPORTED_DIRECT</x:v>
      </x:c>
      <x:c r="K10" s="45" t="str">
        <x:v>SYSTEM_NORMALIZED</x:v>
      </x:c>
    </x:row>
    <x:row r="11">
      <x:c r="A11" s="45" t="str">
        <x:v>LEE2022_KPC_KP</x:v>
      </x:c>
      <x:c r="B11" s="45" t="str">
        <x:v>KPC-like CR-K. pneumoniae, ATLAS 2020</x:v>
      </x:c>
      <x:c r="C11" s="45" t="str">
        <x:v>PRIMARY</x:v>
      </x:c>
      <x:c r="D11" s="45" t="n">
        <x:v>4</x:v>
      </x:c>
      <x:c r="E11" s="45" t="n">
        <x:v>32</x:v>
      </x:c>
      <x:c r="F11" s="45" t="n">
        <x:v>379</x:v>
      </x:c>
      <x:c r="G11" s="153" t="n">
        <x:f>E11/F11</x:f>
        <x:v>0.08443271767810026</x:v>
      </x:c>
      <x:c r="H11" s="45" t="str">
        <x:v>Lee et al. 2022, IJAA 60:106679, Table 3</x:v>
      </x:c>
      <x:c r="I11" s="45" t="str">
        <x:v>https://doi.org/10.1016/j.ijantimicag.2022.106679</x:v>
      </x:c>
      <x:c r="J11" s="45" t="str">
        <x:v>REPORTED_DIRECT</x:v>
      </x:c>
      <x:c r="K11" s="45" t="str">
        <x:v>SYSTEM_NORMALIZED</x:v>
      </x:c>
    </x:row>
    <x:row r="12">
      <x:c r="A12" s="45" t="str">
        <x:v>LEE2022_KPC_KP</x:v>
      </x:c>
      <x:c r="B12" s="45" t="str">
        <x:v>KPC-like CR-K. pneumoniae, ATLAS 2020</x:v>
      </x:c>
      <x:c r="C12" s="45" t="str">
        <x:v>PRIMARY</x:v>
      </x:c>
      <x:c r="D12" s="45" t="n">
        <x:v>8</x:v>
      </x:c>
      <x:c r="E12" s="45" t="n">
        <x:v>4</x:v>
      </x:c>
      <x:c r="F12" s="45" t="n">
        <x:v>379</x:v>
      </x:c>
      <x:c r="G12" s="153" t="n">
        <x:f>E12/F12</x:f>
        <x:v>0.010554089709762533</x:v>
      </x:c>
      <x:c r="H12" s="45" t="str">
        <x:v>Lee et al. 2022, IJAA 60:106679, Table 3</x:v>
      </x:c>
      <x:c r="I12" s="45" t="str">
        <x:v>https://doi.org/10.1016/j.ijantimicag.2022.106679</x:v>
      </x:c>
      <x:c r="J12" s="45" t="str">
        <x:v>REPORTED_DIRECT</x:v>
      </x:c>
      <x:c r="K12" s="45" t="str">
        <x:v>SYSTEM_NORMALIZED</x:v>
      </x:c>
    </x:row>
    <x:row r="13">
      <x:c r="A13" s="45" t="str">
        <x:v>LEE2022_KPC_KP</x:v>
      </x:c>
      <x:c r="B13" s="45" t="str">
        <x:v>KPC-like CR-K. pneumoniae, ATLAS 2020</x:v>
      </x:c>
      <x:c r="C13" s="45" t="str">
        <x:v>PRIMARY</x:v>
      </x:c>
      <x:c r="D13" s="45" t="n">
        <x:v>16</x:v>
      </x:c>
      <x:c r="E13" s="45" t="n">
        <x:v>1</x:v>
      </x:c>
      <x:c r="F13" s="45" t="n">
        <x:v>379</x:v>
      </x:c>
      <x:c r="G13" s="153" t="n">
        <x:f>E13/F13</x:f>
        <x:v>0.002638522427440633</x:v>
      </x:c>
      <x:c r="H13" s="45" t="str">
        <x:v>Lee et al. 2022, IJAA 60:106679, Table 3</x:v>
      </x:c>
      <x:c r="I13" s="45" t="str">
        <x:v>https://doi.org/10.1016/j.ijantimicag.2022.106679</x:v>
      </x:c>
      <x:c r="J13" s="45" t="str">
        <x:v>REPORTED_DIRECT</x:v>
      </x:c>
      <x:c r="K13" s="45" t="str">
        <x:v>SYSTEM_NORMALIZED</x:v>
      </x:c>
    </x:row>
    <x:row r="14">
      <x:c r="A14" s="45" t="str">
        <x:v>LEE2022_KPC_KP</x:v>
      </x:c>
      <x:c r="B14" s="45" t="str">
        <x:v>KPC-like CR-K. pneumoniae, ATLAS 2020</x:v>
      </x:c>
      <x:c r="C14" s="45" t="str">
        <x:v>PRIMARY</x:v>
      </x:c>
      <x:c r="D14" s="45" t="n">
        <x:v>32</x:v>
      </x:c>
      <x:c r="E14" s="45" t="n">
        <x:v>0</x:v>
      </x:c>
      <x:c r="F14" s="45" t="n">
        <x:v>379</x:v>
      </x:c>
      <x:c r="G14" s="153" t="n">
        <x:f>E14/F14</x:f>
        <x:v>0</x:v>
      </x:c>
      <x:c r="H14" s="45" t="str">
        <x:v>Lee et al. 2022, IJAA 60:106679, Table 3</x:v>
      </x:c>
      <x:c r="I14" s="45" t="str">
        <x:v>https://doi.org/10.1016/j.ijantimicag.2022.106679</x:v>
      </x:c>
      <x:c r="J14" s="45" t="str">
        <x:v>REPORTED_DIRECT</x:v>
      </x:c>
      <x:c r="K14" s="45" t="str">
        <x:v>SYSTEM_NORMALIZED</x:v>
      </x:c>
    </x:row>
    <x:row r="15">
      <x:c r="A15" s="45" t="str">
        <x:v>LEE2022_KPC_KP</x:v>
      </x:c>
      <x:c r="B15" s="45" t="str">
        <x:v>KPC-like CR-K. pneumoniae, ATLAS 2020</x:v>
      </x:c>
      <x:c r="C15" s="45" t="str">
        <x:v>PRIMARY</x:v>
      </x:c>
      <x:c r="D15" s="45" t="n">
        <x:v>64</x:v>
      </x:c>
      <x:c r="E15" s="45" t="n">
        <x:v>0</x:v>
      </x:c>
      <x:c r="F15" s="45" t="n">
        <x:v>379</x:v>
      </x:c>
      <x:c r="G15" s="153" t="n">
        <x:f>E15/F15</x:f>
        <x:v>0</x:v>
      </x:c>
      <x:c r="H15" s="45" t="str">
        <x:v>Lee et al. 2022, IJAA 60:106679, Table 3</x:v>
      </x:c>
      <x:c r="I15" s="45" t="str">
        <x:v>https://doi.org/10.1016/j.ijantimicag.2022.106679</x:v>
      </x:c>
      <x:c r="J15" s="45" t="str">
        <x:v>REPORTED_DIRECT</x:v>
      </x:c>
      <x:c r="K15" s="45" t="str">
        <x:v>SYSTEM_NORMALIZED</x:v>
      </x:c>
    </x:row>
    <x:row r="16">
      <x:c r="A16" s="45" t="str">
        <x:v>LEE2022_KPC_KP</x:v>
      </x:c>
      <x:c r="B16" s="45" t="str">
        <x:v>KPC-like CR-K. pneumoniae, ATLAS 2020</x:v>
      </x:c>
      <x:c r="C16" s="45" t="str">
        <x:v>PRIMARY</x:v>
      </x:c>
      <x:c r="D16" s="45" t="n">
        <x:v>128</x:v>
      </x:c>
      <x:c r="E16" s="45" t="n">
        <x:v>1</x:v>
      </x:c>
      <x:c r="F16" s="45" t="n">
        <x:v>379</x:v>
      </x:c>
      <x:c r="G16" s="153" t="n">
        <x:f>E16/F16</x:f>
        <x:v>0.002638522427440633</x:v>
      </x:c>
      <x:c r="H16" s="45" t="str">
        <x:v>Lee et al. 2022, IJAA 60:106679, Table 3</x:v>
      </x:c>
      <x:c r="I16" s="45" t="str">
        <x:v>https://doi.org/10.1016/j.ijantimicag.2022.106679</x:v>
      </x:c>
      <x:c r="J16" s="45" t="str">
        <x:v>REPORTED_DIRECT</x:v>
      </x:c>
      <x:c r="K16" s="45" t="str">
        <x:v>SYSTEM_NORMALIZED</x:v>
      </x:c>
    </x:row>
    <x:row r="17">
      <x:c r="A17" s="45" t="str">
        <x:v>LEE2022_OXA_KP</x:v>
      </x:c>
      <x:c r="B17" s="45" t="str">
        <x:v>OXA-like CR-K. pneumoniae, ATLAS 2020</x:v>
      </x:c>
      <x:c r="C17" s="45" t="str">
        <x:v>PRIMARY</x:v>
      </x:c>
      <x:c r="D17" s="45" t="n">
        <x:v>0.03</x:v>
      </x:c>
      <x:c r="E17" s="45" t="n">
        <x:v>0</x:v>
      </x:c>
      <x:c r="F17" s="45" t="n">
        <x:v>236</x:v>
      </x:c>
      <x:c r="G17" s="153" t="n">
        <x:f>E17/F17</x:f>
        <x:v>0</x:v>
      </x:c>
      <x:c r="H17" s="45" t="str">
        <x:v>Lee et al. 2022, IJAA 60:106679, Table 3</x:v>
      </x:c>
      <x:c r="I17" s="45" t="str">
        <x:v>https://doi.org/10.1016/j.ijantimicag.2022.106679</x:v>
      </x:c>
      <x:c r="J17" s="45" t="str">
        <x:v>REPORTED_DIRECT</x:v>
      </x:c>
      <x:c r="K17" s="45" t="str">
        <x:v>SYSTEM_NORMALIZED</x:v>
      </x:c>
    </x:row>
    <x:row r="18">
      <x:c r="A18" s="45" t="str">
        <x:v>LEE2022_OXA_KP</x:v>
      </x:c>
      <x:c r="B18" s="45" t="str">
        <x:v>OXA-like CR-K. pneumoniae, ATLAS 2020</x:v>
      </x:c>
      <x:c r="C18" s="45" t="str">
        <x:v>PRIMARY</x:v>
      </x:c>
      <x:c r="D18" s="45" t="n">
        <x:v>0.06</x:v>
      </x:c>
      <x:c r="E18" s="45" t="n">
        <x:v>0</x:v>
      </x:c>
      <x:c r="F18" s="45" t="n">
        <x:v>236</x:v>
      </x:c>
      <x:c r="G18" s="153" t="n">
        <x:f>E18/F18</x:f>
        <x:v>0</x:v>
      </x:c>
      <x:c r="H18" s="45" t="str">
        <x:v>Lee et al. 2022, IJAA 60:106679, Table 3</x:v>
      </x:c>
      <x:c r="I18" s="45" t="str">
        <x:v>https://doi.org/10.1016/j.ijantimicag.2022.106679</x:v>
      </x:c>
      <x:c r="J18" s="45" t="str">
        <x:v>REPORTED_DIRECT</x:v>
      </x:c>
      <x:c r="K18" s="45" t="str">
        <x:v>SYSTEM_NORMALIZED</x:v>
      </x:c>
    </x:row>
    <x:row r="19">
      <x:c r="A19" s="45" t="str">
        <x:v>LEE2022_OXA_KP</x:v>
      </x:c>
      <x:c r="B19" s="45" t="str">
        <x:v>OXA-like CR-K. pneumoniae, ATLAS 2020</x:v>
      </x:c>
      <x:c r="C19" s="45" t="str">
        <x:v>PRIMARY</x:v>
      </x:c>
      <x:c r="D19" s="45" t="n">
        <x:v>0.12</x:v>
      </x:c>
      <x:c r="E19" s="45" t="n">
        <x:v>0</x:v>
      </x:c>
      <x:c r="F19" s="45" t="n">
        <x:v>236</x:v>
      </x:c>
      <x:c r="G19" s="153" t="n">
        <x:f>E19/F19</x:f>
        <x:v>0</x:v>
      </x:c>
      <x:c r="H19" s="45" t="str">
        <x:v>Lee et al. 2022, IJAA 60:106679, Table 3</x:v>
      </x:c>
      <x:c r="I19" s="45" t="str">
        <x:v>https://doi.org/10.1016/j.ijantimicag.2022.106679</x:v>
      </x:c>
      <x:c r="J19" s="45" t="str">
        <x:v>REPORTED_DIRECT</x:v>
      </x:c>
      <x:c r="K19" s="45" t="str">
        <x:v>SYSTEM_NORMALIZED</x:v>
      </x:c>
    </x:row>
    <x:row r="20">
      <x:c r="A20" s="45" t="str">
        <x:v>LEE2022_OXA_KP</x:v>
      </x:c>
      <x:c r="B20" s="45" t="str">
        <x:v>OXA-like CR-K. pneumoniae, ATLAS 2020</x:v>
      </x:c>
      <x:c r="C20" s="45" t="str">
        <x:v>PRIMARY</x:v>
      </x:c>
      <x:c r="D20" s="45" t="n">
        <x:v>0.25</x:v>
      </x:c>
      <x:c r="E20" s="45" t="n">
        <x:v>9</x:v>
      </x:c>
      <x:c r="F20" s="45" t="n">
        <x:v>236</x:v>
      </x:c>
      <x:c r="G20" s="153" t="n">
        <x:f>E20/F20</x:f>
        <x:v>0.038135593220338986</x:v>
      </x:c>
      <x:c r="H20" s="45" t="str">
        <x:v>Lee et al. 2022, IJAA 60:106679, Table 3</x:v>
      </x:c>
      <x:c r="I20" s="45" t="str">
        <x:v>https://doi.org/10.1016/j.ijantimicag.2022.106679</x:v>
      </x:c>
      <x:c r="J20" s="45" t="str">
        <x:v>REPORTED_DIRECT</x:v>
      </x:c>
      <x:c r="K20" s="45" t="str">
        <x:v>SYSTEM_NORMALIZED</x:v>
      </x:c>
    </x:row>
    <x:row r="21">
      <x:c r="A21" s="45" t="str">
        <x:v>LEE2022_OXA_KP</x:v>
      </x:c>
      <x:c r="B21" s="45" t="str">
        <x:v>OXA-like CR-K. pneumoniae, ATLAS 2020</x:v>
      </x:c>
      <x:c r="C21" s="45" t="str">
        <x:v>PRIMARY</x:v>
      </x:c>
      <x:c r="D21" s="45" t="n">
        <x:v>0.5</x:v>
      </x:c>
      <x:c r="E21" s="45" t="n">
        <x:v>43</x:v>
      </x:c>
      <x:c r="F21" s="45" t="n">
        <x:v>236</x:v>
      </x:c>
      <x:c r="G21" s="153" t="n">
        <x:f>E21/F21</x:f>
        <x:v>0.18220338983050846</x:v>
      </x:c>
      <x:c r="H21" s="45" t="str">
        <x:v>Lee et al. 2022, IJAA 60:106679, Table 3</x:v>
      </x:c>
      <x:c r="I21" s="45" t="str">
        <x:v>https://doi.org/10.1016/j.ijantimicag.2022.106679</x:v>
      </x:c>
      <x:c r="J21" s="45" t="str">
        <x:v>REPORTED_DIRECT</x:v>
      </x:c>
      <x:c r="K21" s="45" t="str">
        <x:v>SYSTEM_NORMALIZED</x:v>
      </x:c>
    </x:row>
    <x:row r="22">
      <x:c r="A22" s="45" t="str">
        <x:v>LEE2022_OXA_KP</x:v>
      </x:c>
      <x:c r="B22" s="45" t="str">
        <x:v>OXA-like CR-K. pneumoniae, ATLAS 2020</x:v>
      </x:c>
      <x:c r="C22" s="45" t="str">
        <x:v>PRIMARY</x:v>
      </x:c>
      <x:c r="D22" s="45" t="n">
        <x:v>1</x:v>
      </x:c>
      <x:c r="E22" s="45" t="n">
        <x:v>124</x:v>
      </x:c>
      <x:c r="F22" s="45" t="n">
        <x:v>236</x:v>
      </x:c>
      <x:c r="G22" s="153" t="n">
        <x:f>E22/F22</x:f>
        <x:v>0.5254237288135594</x:v>
      </x:c>
      <x:c r="H22" s="45" t="str">
        <x:v>Lee et al. 2022, IJAA 60:106679, Table 3</x:v>
      </x:c>
      <x:c r="I22" s="45" t="str">
        <x:v>https://doi.org/10.1016/j.ijantimicag.2022.106679</x:v>
      </x:c>
      <x:c r="J22" s="45" t="str">
        <x:v>REPORTED_DIRECT</x:v>
      </x:c>
      <x:c r="K22" s="45" t="str">
        <x:v>SYSTEM_NORMALIZED</x:v>
      </x:c>
    </x:row>
    <x:row r="23">
      <x:c r="A23" s="45" t="str">
        <x:v>LEE2022_OXA_KP</x:v>
      </x:c>
      <x:c r="B23" s="45" t="str">
        <x:v>OXA-like CR-K. pneumoniae, ATLAS 2020</x:v>
      </x:c>
      <x:c r="C23" s="45" t="str">
        <x:v>PRIMARY</x:v>
      </x:c>
      <x:c r="D23" s="45" t="n">
        <x:v>2</x:v>
      </x:c>
      <x:c r="E23" s="45" t="n">
        <x:v>50</x:v>
      </x:c>
      <x:c r="F23" s="45" t="n">
        <x:v>236</x:v>
      </x:c>
      <x:c r="G23" s="153" t="n">
        <x:f>E23/F23</x:f>
        <x:v>0.211864406779661</x:v>
      </x:c>
      <x:c r="H23" s="45" t="str">
        <x:v>Lee et al. 2022, IJAA 60:106679, Table 3</x:v>
      </x:c>
      <x:c r="I23" s="45" t="str">
        <x:v>https://doi.org/10.1016/j.ijantimicag.2022.106679</x:v>
      </x:c>
      <x:c r="J23" s="45" t="str">
        <x:v>REPORTED_DIRECT</x:v>
      </x:c>
      <x:c r="K23" s="45" t="str">
        <x:v>SYSTEM_NORMALIZED</x:v>
      </x:c>
    </x:row>
    <x:row r="24">
      <x:c r="A24" s="45" t="str">
        <x:v>LEE2022_OXA_KP</x:v>
      </x:c>
      <x:c r="B24" s="45" t="str">
        <x:v>OXA-like CR-K. pneumoniae, ATLAS 2020</x:v>
      </x:c>
      <x:c r="C24" s="45" t="str">
        <x:v>PRIMARY</x:v>
      </x:c>
      <x:c r="D24" s="45" t="n">
        <x:v>4</x:v>
      </x:c>
      <x:c r="E24" s="45" t="n">
        <x:v>6</x:v>
      </x:c>
      <x:c r="F24" s="45" t="n">
        <x:v>236</x:v>
      </x:c>
      <x:c r="G24" s="153" t="n">
        <x:f>E24/F24</x:f>
        <x:v>0.025423728813559324</x:v>
      </x:c>
      <x:c r="H24" s="45" t="str">
        <x:v>Lee et al. 2022, IJAA 60:106679, Table 3</x:v>
      </x:c>
      <x:c r="I24" s="45" t="str">
        <x:v>https://doi.org/10.1016/j.ijantimicag.2022.106679</x:v>
      </x:c>
      <x:c r="J24" s="45" t="str">
        <x:v>REPORTED_DIRECT</x:v>
      </x:c>
      <x:c r="K24" s="45" t="str">
        <x:v>SYSTEM_NORMALIZED</x:v>
      </x:c>
    </x:row>
    <x:row r="25">
      <x:c r="A25" s="45" t="str">
        <x:v>LEE2022_OXA_KP</x:v>
      </x:c>
      <x:c r="B25" s="45" t="str">
        <x:v>OXA-like CR-K. pneumoniae, ATLAS 2020</x:v>
      </x:c>
      <x:c r="C25" s="45" t="str">
        <x:v>PRIMARY</x:v>
      </x:c>
      <x:c r="D25" s="45" t="n">
        <x:v>8</x:v>
      </x:c>
      <x:c r="E25" s="45" t="n">
        <x:v>1</x:v>
      </x:c>
      <x:c r="F25" s="45" t="n">
        <x:v>236</x:v>
      </x:c>
      <x:c r="G25" s="153" t="n">
        <x:f>E25/F25</x:f>
        <x:v>0.00423728813559322</x:v>
      </x:c>
      <x:c r="H25" s="45" t="str">
        <x:v>Lee et al. 2022, IJAA 60:106679, Table 3</x:v>
      </x:c>
      <x:c r="I25" s="45" t="str">
        <x:v>https://doi.org/10.1016/j.ijantimicag.2022.106679</x:v>
      </x:c>
      <x:c r="J25" s="45" t="str">
        <x:v>REPORTED_DIRECT</x:v>
      </x:c>
      <x:c r="K25" s="45" t="str">
        <x:v>SYSTEM_NORMALIZED</x:v>
      </x:c>
    </x:row>
    <x:row r="26">
      <x:c r="A26" s="45" t="str">
        <x:v>LEE2022_OXA_KP</x:v>
      </x:c>
      <x:c r="B26" s="45" t="str">
        <x:v>OXA-like CR-K. pneumoniae, ATLAS 2020</x:v>
      </x:c>
      <x:c r="C26" s="45" t="str">
        <x:v>PRIMARY</x:v>
      </x:c>
      <x:c r="D26" s="45" t="n">
        <x:v>16</x:v>
      </x:c>
      <x:c r="E26" s="45" t="n">
        <x:v>0</x:v>
      </x:c>
      <x:c r="F26" s="45" t="n">
        <x:v>236</x:v>
      </x:c>
      <x:c r="G26" s="153" t="n">
        <x:f>E26/F26</x:f>
        <x:v>0</x:v>
      </x:c>
      <x:c r="H26" s="45" t="str">
        <x:v>Lee et al. 2022, IJAA 60:106679, Table 3</x:v>
      </x:c>
      <x:c r="I26" s="45" t="str">
        <x:v>https://doi.org/10.1016/j.ijantimicag.2022.106679</x:v>
      </x:c>
      <x:c r="J26" s="45" t="str">
        <x:v>REPORTED_DIRECT</x:v>
      </x:c>
      <x:c r="K26" s="45" t="str">
        <x:v>SYSTEM_NORMALIZED</x:v>
      </x:c>
    </x:row>
    <x:row r="27">
      <x:c r="A27" s="45" t="str">
        <x:v>LEE2022_OXA_KP</x:v>
      </x:c>
      <x:c r="B27" s="45" t="str">
        <x:v>OXA-like CR-K. pneumoniae, ATLAS 2020</x:v>
      </x:c>
      <x:c r="C27" s="45" t="str">
        <x:v>PRIMARY</x:v>
      </x:c>
      <x:c r="D27" s="45" t="n">
        <x:v>32</x:v>
      </x:c>
      <x:c r="E27" s="45" t="n">
        <x:v>1</x:v>
      </x:c>
      <x:c r="F27" s="45" t="n">
        <x:v>236</x:v>
      </x:c>
      <x:c r="G27" s="153" t="n">
        <x:f>E27/F27</x:f>
        <x:v>0.00423728813559322</x:v>
      </x:c>
      <x:c r="H27" s="45" t="str">
        <x:v>Lee et al. 2022, IJAA 60:106679, Table 3</x:v>
      </x:c>
      <x:c r="I27" s="45" t="str">
        <x:v>https://doi.org/10.1016/j.ijantimicag.2022.106679</x:v>
      </x:c>
      <x:c r="J27" s="45" t="str">
        <x:v>REPORTED_DIRECT</x:v>
      </x:c>
      <x:c r="K27" s="45" t="str">
        <x:v>SYSTEM_NORMALIZED</x:v>
      </x:c>
    </x:row>
    <x:row r="28">
      <x:c r="A28" s="45" t="str">
        <x:v>LEE2022_OXA_KP</x:v>
      </x:c>
      <x:c r="B28" s="45" t="str">
        <x:v>OXA-like CR-K. pneumoniae, ATLAS 2020</x:v>
      </x:c>
      <x:c r="C28" s="45" t="str">
        <x:v>PRIMARY</x:v>
      </x:c>
      <x:c r="D28" s="45" t="n">
        <x:v>64</x:v>
      </x:c>
      <x:c r="E28" s="45" t="n">
        <x:v>0</x:v>
      </x:c>
      <x:c r="F28" s="45" t="n">
        <x:v>236</x:v>
      </x:c>
      <x:c r="G28" s="153" t="n">
        <x:f>E28/F28</x:f>
        <x:v>0</x:v>
      </x:c>
      <x:c r="H28" s="45" t="str">
        <x:v>Lee et al. 2022, IJAA 60:106679, Table 3</x:v>
      </x:c>
      <x:c r="I28" s="45" t="str">
        <x:v>https://doi.org/10.1016/j.ijantimicag.2022.106679</x:v>
      </x:c>
      <x:c r="J28" s="45" t="str">
        <x:v>REPORTED_DIRECT</x:v>
      </x:c>
      <x:c r="K28" s="45" t="str">
        <x:v>SYSTEM_NORMALIZED</x:v>
      </x:c>
    </x:row>
    <x:row r="29">
      <x:c r="A29" s="45" t="str">
        <x:v>LEE2022_OXA_KP</x:v>
      </x:c>
      <x:c r="B29" s="45" t="str">
        <x:v>OXA-like CR-K. pneumoniae, ATLAS 2020</x:v>
      </x:c>
      <x:c r="C29" s="45" t="str">
        <x:v>PRIMARY</x:v>
      </x:c>
      <x:c r="D29" s="45" t="n">
        <x:v>128</x:v>
      </x:c>
      <x:c r="E29" s="45" t="n">
        <x:v>2</x:v>
      </x:c>
      <x:c r="F29" s="45" t="n">
        <x:v>236</x:v>
      </x:c>
      <x:c r="G29" s="153" t="n">
        <x:f>E29/F29</x:f>
        <x:v>0.00847457627118644</x:v>
      </x:c>
      <x:c r="H29" s="45" t="str">
        <x:v>Lee et al. 2022, IJAA 60:106679, Table 3</x:v>
      </x:c>
      <x:c r="I29" s="45" t="str">
        <x:v>https://doi.org/10.1016/j.ijantimicag.2022.106679</x:v>
      </x:c>
      <x:c r="J29" s="45" t="str">
        <x:v>REPORTED_DIRECT</x:v>
      </x:c>
      <x:c r="K29" s="45" t="str">
        <x:v>SYSTEM_NORMALIZED</x:v>
      </x:c>
    </x:row>
    <x:row r="30">
      <x:c r="A30" s="45" t="str">
        <x:v>INDIA2022_OXA48_KP</x:v>
      </x:c>
      <x:c r="B30" s="45" t="str">
        <x:v>OXA-48-like CR-K. pneumoniae, India ATLAS 2018–2019</x:v>
      </x:c>
      <x:c r="C30" s="45" t="str">
        <x:v>SENSITIVITY_DONOR</x:v>
      </x:c>
      <x:c r="D30" s="45" t="n">
        <x:v>0.06</x:v>
      </x:c>
      <x:c r="E30" s="45" t="n">
        <x:v>0</x:v>
      </x:c>
      <x:c r="F30" s="45" t="n">
        <x:v>136</x:v>
      </x:c>
      <x:c r="G30" s="153" t="n">
        <x:f>E30/F30</x:f>
        <x:v>0</x:v>
      </x:c>
      <x:c r="H30" s="45" t="str">
        <x:v>Bakthavatchalam et al. 2022, DMID 103:115652, Table 2</x:v>
      </x:c>
      <x:c r="I30" s="45" t="str">
        <x:v>https://doi.org/10.1016/j.diagmicrobio.2022.115652</x:v>
      </x:c>
      <x:c r="J30" s="45" t="str">
        <x:v>REPORTED_DIRECT</x:v>
      </x:c>
      <x:c r="K30" s="45" t="str">
        <x:v>USER_REVIEW_REQUIRED</x:v>
      </x:c>
    </x:row>
    <x:row r="31">
      <x:c r="A31" s="45" t="str">
        <x:v>INDIA2022_OXA48_KP</x:v>
      </x:c>
      <x:c r="B31" s="45" t="str">
        <x:v>OXA-48-like CR-K. pneumoniae, India ATLAS 2018–2019</x:v>
      </x:c>
      <x:c r="C31" s="45" t="str">
        <x:v>SENSITIVITY_DONOR</x:v>
      </x:c>
      <x:c r="D31" s="45" t="n">
        <x:v>0.12</x:v>
      </x:c>
      <x:c r="E31" s="45" t="n">
        <x:v>0</x:v>
      </x:c>
      <x:c r="F31" s="45" t="n">
        <x:v>136</x:v>
      </x:c>
      <x:c r="G31" s="153" t="n">
        <x:f>E31/F31</x:f>
        <x:v>0</x:v>
      </x:c>
      <x:c r="H31" s="45" t="str">
        <x:v>Bakthavatchalam et al. 2022, DMID 103:115652, Table 2</x:v>
      </x:c>
      <x:c r="I31" s="45" t="str">
        <x:v>https://doi.org/10.1016/j.diagmicrobio.2022.115652</x:v>
      </x:c>
      <x:c r="J31" s="45" t="str">
        <x:v>REPORTED_DIRECT</x:v>
      </x:c>
      <x:c r="K31" s="45" t="str">
        <x:v>USER_REVIEW_REQUIRED</x:v>
      </x:c>
    </x:row>
    <x:row r="32">
      <x:c r="A32" s="45" t="str">
        <x:v>INDIA2022_OXA48_KP</x:v>
      </x:c>
      <x:c r="B32" s="45" t="str">
        <x:v>OXA-48-like CR-K. pneumoniae, India ATLAS 2018–2019</x:v>
      </x:c>
      <x:c r="C32" s="45" t="str">
        <x:v>SENSITIVITY_DONOR</x:v>
      </x:c>
      <x:c r="D32" s="45" t="n">
        <x:v>0.25</x:v>
      </x:c>
      <x:c r="E32" s="45" t="n">
        <x:v>2</x:v>
      </x:c>
      <x:c r="F32" s="45" t="n">
        <x:v>136</x:v>
      </x:c>
      <x:c r="G32" s="153" t="n">
        <x:f>E32/F32</x:f>
        <x:v>0.014705882352941176</x:v>
      </x:c>
      <x:c r="H32" s="45" t="str">
        <x:v>Bakthavatchalam et al. 2022, DMID 103:115652, Table 2</x:v>
      </x:c>
      <x:c r="I32" s="45" t="str">
        <x:v>https://doi.org/10.1016/j.diagmicrobio.2022.115652</x:v>
      </x:c>
      <x:c r="J32" s="45" t="str">
        <x:v>REPORTED_DIRECT</x:v>
      </x:c>
      <x:c r="K32" s="45" t="str">
        <x:v>USER_REVIEW_REQUIRED</x:v>
      </x:c>
    </x:row>
    <x:row r="33">
      <x:c r="A33" s="45" t="str">
        <x:v>INDIA2022_OXA48_KP</x:v>
      </x:c>
      <x:c r="B33" s="45" t="str">
        <x:v>OXA-48-like CR-K. pneumoniae, India ATLAS 2018–2019</x:v>
      </x:c>
      <x:c r="C33" s="45" t="str">
        <x:v>SENSITIVITY_DONOR</x:v>
      </x:c>
      <x:c r="D33" s="45" t="n">
        <x:v>0.5</x:v>
      </x:c>
      <x:c r="E33" s="45" t="n">
        <x:v>42</x:v>
      </x:c>
      <x:c r="F33" s="45" t="n">
        <x:v>136</x:v>
      </x:c>
      <x:c r="G33" s="153" t="n">
        <x:f>E33/F33</x:f>
        <x:v>0.3088235294117647</x:v>
      </x:c>
      <x:c r="H33" s="45" t="str">
        <x:v>Bakthavatchalam et al. 2022, DMID 103:115652, Table 2</x:v>
      </x:c>
      <x:c r="I33" s="45" t="str">
        <x:v>https://doi.org/10.1016/j.diagmicrobio.2022.115652</x:v>
      </x:c>
      <x:c r="J33" s="45" t="str">
        <x:v>REPORTED_DIRECT</x:v>
      </x:c>
      <x:c r="K33" s="45" t="str">
        <x:v>USER_REVIEW_REQUIRED</x:v>
      </x:c>
    </x:row>
    <x:row r="34">
      <x:c r="A34" s="45" t="str">
        <x:v>INDIA2022_OXA48_KP</x:v>
      </x:c>
      <x:c r="B34" s="45" t="str">
        <x:v>OXA-48-like CR-K. pneumoniae, India ATLAS 2018–2019</x:v>
      </x:c>
      <x:c r="C34" s="45" t="str">
        <x:v>SENSITIVITY_DONOR</x:v>
      </x:c>
      <x:c r="D34" s="45" t="n">
        <x:v>1</x:v>
      </x:c>
      <x:c r="E34" s="45" t="n">
        <x:v>69</x:v>
      </x:c>
      <x:c r="F34" s="45" t="n">
        <x:v>136</x:v>
      </x:c>
      <x:c r="G34" s="153" t="n">
        <x:f>E34/F34</x:f>
        <x:v>0.5073529411764706</x:v>
      </x:c>
      <x:c r="H34" s="45" t="str">
        <x:v>Bakthavatchalam et al. 2022, DMID 103:115652, Table 2</x:v>
      </x:c>
      <x:c r="I34" s="45" t="str">
        <x:v>https://doi.org/10.1016/j.diagmicrobio.2022.115652</x:v>
      </x:c>
      <x:c r="J34" s="45" t="str">
        <x:v>REPORTED_DIRECT</x:v>
      </x:c>
      <x:c r="K34" s="45" t="str">
        <x:v>USER_REVIEW_REQUIRED</x:v>
      </x:c>
    </x:row>
    <x:row r="35">
      <x:c r="A35" s="45" t="str">
        <x:v>INDIA2022_OXA48_KP</x:v>
      </x:c>
      <x:c r="B35" s="45" t="str">
        <x:v>OXA-48-like CR-K. pneumoniae, India ATLAS 2018–2019</x:v>
      </x:c>
      <x:c r="C35" s="45" t="str">
        <x:v>SENSITIVITY_DONOR</x:v>
      </x:c>
      <x:c r="D35" s="45" t="n">
        <x:v>2</x:v>
      </x:c>
      <x:c r="E35" s="45" t="n">
        <x:v>15</x:v>
      </x:c>
      <x:c r="F35" s="45" t="n">
        <x:v>136</x:v>
      </x:c>
      <x:c r="G35" s="153" t="n">
        <x:f>E35/F35</x:f>
        <x:v>0.11029411764705882</x:v>
      </x:c>
      <x:c r="H35" s="45" t="str">
        <x:v>Bakthavatchalam et al. 2022, DMID 103:115652, Table 2</x:v>
      </x:c>
      <x:c r="I35" s="45" t="str">
        <x:v>https://doi.org/10.1016/j.diagmicrobio.2022.115652</x:v>
      </x:c>
      <x:c r="J35" s="45" t="str">
        <x:v>REPORTED_DIRECT</x:v>
      </x:c>
      <x:c r="K35" s="45" t="str">
        <x:v>USER_REVIEW_REQUIRED</x:v>
      </x:c>
    </x:row>
    <x:row r="36">
      <x:c r="A36" s="45" t="str">
        <x:v>INDIA2022_OXA48_KP</x:v>
      </x:c>
      <x:c r="B36" s="45" t="str">
        <x:v>OXA-48-like CR-K. pneumoniae, India ATLAS 2018–2019</x:v>
      </x:c>
      <x:c r="C36" s="45" t="str">
        <x:v>SENSITIVITY_DONOR</x:v>
      </x:c>
      <x:c r="D36" s="45" t="n">
        <x:v>4</x:v>
      </x:c>
      <x:c r="E36" s="45" t="n">
        <x:v>3</x:v>
      </x:c>
      <x:c r="F36" s="45" t="n">
        <x:v>136</x:v>
      </x:c>
      <x:c r="G36" s="153" t="n">
        <x:f>E36/F36</x:f>
        <x:v>0.022058823529411766</x:v>
      </x:c>
      <x:c r="H36" s="45" t="str">
        <x:v>Bakthavatchalam et al. 2022, DMID 103:115652, Table 2</x:v>
      </x:c>
      <x:c r="I36" s="45" t="str">
        <x:v>https://doi.org/10.1016/j.diagmicrobio.2022.115652</x:v>
      </x:c>
      <x:c r="J36" s="45" t="str">
        <x:v>REPORTED_DIRECT</x:v>
      </x:c>
      <x:c r="K36" s="45" t="str">
        <x:v>USER_REVIEW_REQUIRED</x:v>
      </x:c>
    </x:row>
    <x:row r="37">
      <x:c r="A37" s="45" t="str">
        <x:v>INDIA2022_OXA48_KP</x:v>
      </x:c>
      <x:c r="B37" s="45" t="str">
        <x:v>OXA-48-like CR-K. pneumoniae, India ATLAS 2018–2019</x:v>
      </x:c>
      <x:c r="C37" s="45" t="str">
        <x:v>SENSITIVITY_DONOR</x:v>
      </x:c>
      <x:c r="D37" s="45" t="n">
        <x:v>8</x:v>
      </x:c>
      <x:c r="E37" s="45" t="n">
        <x:v>0</x:v>
      </x:c>
      <x:c r="F37" s="45" t="n">
        <x:v>136</x:v>
      </x:c>
      <x:c r="G37" s="153" t="n">
        <x:f>E37/F37</x:f>
        <x:v>0</x:v>
      </x:c>
      <x:c r="H37" s="45" t="str">
        <x:v>Bakthavatchalam et al. 2022, DMID 103:115652, Table 2</x:v>
      </x:c>
      <x:c r="I37" s="45" t="str">
        <x:v>https://doi.org/10.1016/j.diagmicrobio.2022.115652</x:v>
      </x:c>
      <x:c r="J37" s="45" t="str">
        <x:v>REPORTED_DIRECT</x:v>
      </x:c>
      <x:c r="K37" s="45" t="str">
        <x:v>USER_REVIEW_REQUIRED</x:v>
      </x:c>
    </x:row>
    <x:row r="38">
      <x:c r="A38" s="45" t="str">
        <x:v>INDIA2022_OXA48_KP</x:v>
      </x:c>
      <x:c r="B38" s="45" t="str">
        <x:v>OXA-48-like CR-K. pneumoniae, India ATLAS 2018–2019</x:v>
      </x:c>
      <x:c r="C38" s="45" t="str">
        <x:v>SENSITIVITY_DONOR</x:v>
      </x:c>
      <x:c r="D38" s="45" t="n">
        <x:v>16</x:v>
      </x:c>
      <x:c r="E38" s="45" t="n">
        <x:v>0</x:v>
      </x:c>
      <x:c r="F38" s="45" t="n">
        <x:v>136</x:v>
      </x:c>
      <x:c r="G38" s="153" t="n">
        <x:f>E38/F38</x:f>
        <x:v>0</x:v>
      </x:c>
      <x:c r="H38" s="45" t="str">
        <x:v>Bakthavatchalam et al. 2022, DMID 103:115652, Table 2</x:v>
      </x:c>
      <x:c r="I38" s="45" t="str">
        <x:v>https://doi.org/10.1016/j.diagmicrobio.2022.115652</x:v>
      </x:c>
      <x:c r="J38" s="45" t="str">
        <x:v>REPORTED_DIRECT</x:v>
      </x:c>
      <x:c r="K38" s="45" t="str">
        <x:v>USER_REVIEW_REQUIRED</x:v>
      </x:c>
    </x:row>
    <x:row r="39">
      <x:c r="A39" s="45" t="str">
        <x:v>INDIA2022_OXA48_KP</x:v>
      </x:c>
      <x:c r="B39" s="45" t="str">
        <x:v>OXA-48-like CR-K. pneumoniae, India ATLAS 2018–2019</x:v>
      </x:c>
      <x:c r="C39" s="45" t="str">
        <x:v>SENSITIVITY_DONOR</x:v>
      </x:c>
      <x:c r="D39" s="45" t="n">
        <x:v>32</x:v>
      </x:c>
      <x:c r="E39" s="45" t="n">
        <x:v>2</x:v>
      </x:c>
      <x:c r="F39" s="45" t="n">
        <x:v>136</x:v>
      </x:c>
      <x:c r="G39" s="153" t="n">
        <x:f>E39/F39</x:f>
        <x:v>0.014705882352941176</x:v>
      </x:c>
      <x:c r="H39" s="45" t="str">
        <x:v>Bakthavatchalam et al. 2022, DMID 103:115652, Table 2</x:v>
      </x:c>
      <x:c r="I39" s="45" t="str">
        <x:v>https://doi.org/10.1016/j.diagmicrobio.2022.115652</x:v>
      </x:c>
      <x:c r="J39" s="45" t="str">
        <x:v>REPORTED_DIRECT</x:v>
      </x:c>
      <x:c r="K39" s="45" t="str">
        <x:v>USER_REVIEW_REQUIRED</x:v>
      </x:c>
    </x:row>
    <x:row r="40">
      <x:c r="A40" s="45" t="str">
        <x:v>INDIA2022_OXA48_KP</x:v>
      </x:c>
      <x:c r="B40" s="45" t="str">
        <x:v>OXA-48-like CR-K. pneumoniae, India ATLAS 2018–2019</x:v>
      </x:c>
      <x:c r="C40" s="45" t="str">
        <x:v>SENSITIVITY_DONOR</x:v>
      </x:c>
      <x:c r="D40" s="45" t="n">
        <x:v>64</x:v>
      </x:c>
      <x:c r="E40" s="45" t="n">
        <x:v>3</x:v>
      </x:c>
      <x:c r="F40" s="45" t="n">
        <x:v>136</x:v>
      </x:c>
      <x:c r="G40" s="153" t="n">
        <x:f>E40/F40</x:f>
        <x:v>0.022058823529411766</x:v>
      </x:c>
      <x:c r="H40" s="45" t="str">
        <x:v>Bakthavatchalam et al. 2022, DMID 103:115652, Table 2</x:v>
      </x:c>
      <x:c r="I40" s="45" t="str">
        <x:v>https://doi.org/10.1016/j.diagmicrobio.2022.115652</x:v>
      </x:c>
      <x:c r="J40" s="45" t="str">
        <x:v>REPORTED_DIRECT</x:v>
      </x:c>
      <x:c r="K40" s="45" t="str">
        <x:v>USER_REVIEW_REQUIRED</x:v>
      </x:c>
    </x:row>
  </x:sheetData>
  <x:mergeCells>
    <x:mergeCell ref="A1:K1"/>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44" hidden="0" customWidth="1"/>
    <x:col min="3" max="3" width="20" hidden="0" customWidth="1"/>
    <x:col min="4" max="4" width="14" hidden="0" customWidth="1"/>
    <x:col min="5" max="5" width="13" hidden="0" customWidth="1"/>
    <x:col min="6" max="6" width="9" hidden="0" customWidth="1"/>
    <x:col min="7" max="7" width="12" hidden="0" customWidth="1"/>
    <x:col min="8" max="8" width="52" hidden="0" customWidth="1"/>
    <x:col min="9" max="9" width="28" hidden="0" customWidth="1"/>
    <x:col min="10" max="10" width="20" hidden="0" customWidth="1"/>
    <x:col min="11" max="11" width="24" hidden="0" customWidth="1"/>
    <x:col min="12" max="12" width="12" hidden="0" customWidth="1"/>
  </x:cols>
  <x:sheetData>
    <x:row r="1">
      <x:c r="A1" s="140" t="str">
        <x:v>MIC Harmonization to Simulation Grid</x:v>
      </x:c>
      <x:c r="B1" s="140"/>
      <x:c r="C1" s="140"/>
      <x:c r="D1" s="140"/>
      <x:c r="E1" s="140"/>
      <x:c r="F1" s="140"/>
      <x:c r="G1" s="140"/>
      <x:c r="H1" s="140"/>
      <x:c r="I1" s="140"/>
      <x:c r="J1" s="140"/>
      <x:c r="K1" s="140"/>
      <x:c r="L1" s="140"/>
    </x:row>
    <x:row r="3">
      <x:c r="A3" s="145" t="str">
        <x:v>Distribution ID</x:v>
      </x:c>
      <x:c r="B3" s="145" t="str">
        <x:v>Population</x:v>
      </x:c>
      <x:c r="C3" s="145" t="str">
        <x:v>Role</x:v>
      </x:c>
      <x:c r="D3" s="145" t="str">
        <x:v>Model MIC (mg/L)</x:v>
      </x:c>
      <x:c r="E3" s="145" t="str">
        <x:v>Mapped count</x:v>
      </x:c>
      <x:c r="F3" s="145" t="str">
        <x:v>N</x:v>
      </x:c>
      <x:c r="G3" s="145" t="str">
        <x:v>Frequency</x:v>
      </x:c>
      <x:c r="H3" s="145" t="str">
        <x:v>Mapping rule</x:v>
      </x:c>
      <x:c r="I3" s="145" t="str">
        <x:v>Transformation</x:v>
      </x:c>
      <x:c r="J3" s="145" t="str">
        <x:v>Origin class</x:v>
      </x:c>
      <x:c r="K3" s="145" t="str">
        <x:v>Review state</x:v>
      </x:c>
      <x:c r="L3" s="145" t="str">
        <x:v>QC</x:v>
      </x:c>
    </x:row>
    <x:row r="4">
      <x:c r="A4" s="45" t="str">
        <x:v>LEE2022_KPC_KP</x:v>
      </x:c>
      <x:c r="B4" s="45" t="str">
        <x:v>KPC-like CR-K. pneumoniae, ATLAS 2020</x:v>
      </x:c>
      <x:c r="C4" s="45" t="str">
        <x:v>PRIMARY</x:v>
      </x:c>
      <x:c r="D4" s="45" t="n">
        <x:v>0.0625</x:v>
      </x:c>
      <x:c r="E4" s="45" t="n">
        <x:v>5</x:v>
      </x:c>
      <x:c r="F4" s="45" t="n">
        <x:v>379</x:v>
      </x:c>
      <x:c r="G4" s="153" t="n">
        <x:f>E4/F4</x:f>
        <x:v>0.013192612137203167</x:v>
      </x:c>
      <x:c r="H4" s="45" t="str">
        <x:v>0.03 and/or 0.06 pooled to 0.0625</x:v>
      </x:c>
      <x:c r="I4" s="45" t="str">
        <x:v>CATEGORICAL_HARMONIZATION</x:v>
      </x:c>
      <x:c r="J4" s="45" t="str">
        <x:v>REPORTED_DIRECT</x:v>
      </x:c>
      <x:c r="K4" s="45" t="str">
        <x:v>USER_REVIEW_REQUIRED</x:v>
      </x:c>
      <x:c r="L4" s="45" t="str">
        <x:f>IF(ABS(SUMIF($A$4:$A$36,A4,$G$4:$G$36)-1)&lt;0.0001,"PASS","CHECK")</x:f>
        <x:v>PASS</x:v>
      </x:c>
    </x:row>
    <x:row r="5">
      <x:c r="A5" s="45" t="str">
        <x:v>LEE2022_KPC_KP</x:v>
      </x:c>
      <x:c r="B5" s="45" t="str">
        <x:v>KPC-like CR-K. pneumoniae, ATLAS 2020</x:v>
      </x:c>
      <x:c r="C5" s="45" t="str">
        <x:v>PRIMARY</x:v>
      </x:c>
      <x:c r="D5" s="45" t="n">
        <x:v>0.125</x:v>
      </x:c>
      <x:c r="E5" s="45" t="n">
        <x:v>2</x:v>
      </x:c>
      <x:c r="F5" s="45" t="n">
        <x:v>379</x:v>
      </x:c>
      <x:c r="G5" s="153" t="n">
        <x:f>E5/F5</x:f>
        <x:v>0.005277044854881266</x:v>
      </x:c>
      <x:c r="H5" s="45" t="str">
        <x:v>0.12 mapped to 0.125</x:v>
      </x:c>
      <x:c r="I5" s="45" t="str">
        <x:v>CATEGORICAL_HARMONIZATION</x:v>
      </x:c>
      <x:c r="J5" s="45" t="str">
        <x:v>REPORTED_DIRECT</x:v>
      </x:c>
      <x:c r="K5" s="45" t="str">
        <x:v>USER_REVIEW_REQUIRED</x:v>
      </x:c>
      <x:c r="L5" s="45" t="str">
        <x:f>IF(ABS(SUMIF($A$4:$A$36,A5,$G$4:$G$36)-1)&lt;0.0001,"PASS","CHECK")</x:f>
        <x:v>PASS</x:v>
      </x:c>
    </x:row>
    <x:row r="6">
      <x:c r="A6" s="45" t="str">
        <x:v>LEE2022_KPC_KP</x:v>
      </x:c>
      <x:c r="B6" s="45" t="str">
        <x:v>KPC-like CR-K. pneumoniae, ATLAS 2020</x:v>
      </x:c>
      <x:c r="C6" s="45" t="str">
        <x:v>PRIMARY</x:v>
      </x:c>
      <x:c r="D6" s="45" t="n">
        <x:v>0.25</x:v>
      </x:c>
      <x:c r="E6" s="45" t="n">
        <x:v>17</x:v>
      </x:c>
      <x:c r="F6" s="45" t="n">
        <x:v>379</x:v>
      </x:c>
      <x:c r="G6" s="153" t="n">
        <x:f>E6/F6</x:f>
        <x:v>0.044854881266490766</x:v>
      </x:c>
      <x:c r="H6" s="45" t="str">
        <x:v>Exact</x:v>
      </x:c>
      <x:c r="I6" s="45" t="str">
        <x:v>NONE</x:v>
      </x:c>
      <x:c r="J6" s="45" t="str">
        <x:v>REPORTED_DIRECT</x:v>
      </x:c>
      <x:c r="K6" s="45" t="str">
        <x:v>SYSTEM_NORMALIZED</x:v>
      </x:c>
      <x:c r="L6" s="45" t="str">
        <x:f>IF(ABS(SUMIF($A$4:$A$36,A6,$G$4:$G$36)-1)&lt;0.0001,"PASS","CHECK")</x:f>
        <x:v>PASS</x:v>
      </x:c>
    </x:row>
    <x:row r="7">
      <x:c r="A7" s="45" t="str">
        <x:v>LEE2022_KPC_KP</x:v>
      </x:c>
      <x:c r="B7" s="45" t="str">
        <x:v>KPC-like CR-K. pneumoniae, ATLAS 2020</x:v>
      </x:c>
      <x:c r="C7" s="45" t="str">
        <x:v>PRIMARY</x:v>
      </x:c>
      <x:c r="D7" s="45" t="n">
        <x:v>0.5</x:v>
      </x:c>
      <x:c r="E7" s="45" t="n">
        <x:v>66</x:v>
      </x:c>
      <x:c r="F7" s="45" t="n">
        <x:v>379</x:v>
      </x:c>
      <x:c r="G7" s="153" t="n">
        <x:f>E7/F7</x:f>
        <x:v>0.1741424802110818</x:v>
      </x:c>
      <x:c r="H7" s="45" t="str">
        <x:v>Exact</x:v>
      </x:c>
      <x:c r="I7" s="45" t="str">
        <x:v>NONE</x:v>
      </x:c>
      <x:c r="J7" s="45" t="str">
        <x:v>REPORTED_DIRECT</x:v>
      </x:c>
      <x:c r="K7" s="45" t="str">
        <x:v>SYSTEM_NORMALIZED</x:v>
      </x:c>
      <x:c r="L7" s="45" t="str">
        <x:f>IF(ABS(SUMIF($A$4:$A$36,A7,$G$4:$G$36)-1)&lt;0.0001,"PASS","CHECK")</x:f>
        <x:v>PASS</x:v>
      </x:c>
    </x:row>
    <x:row r="8">
      <x:c r="A8" s="45" t="str">
        <x:v>LEE2022_KPC_KP</x:v>
      </x:c>
      <x:c r="B8" s="45" t="str">
        <x:v>KPC-like CR-K. pneumoniae, ATLAS 2020</x:v>
      </x:c>
      <x:c r="C8" s="45" t="str">
        <x:v>PRIMARY</x:v>
      </x:c>
      <x:c r="D8" s="45" t="n">
        <x:v>1</x:v>
      </x:c>
      <x:c r="E8" s="45" t="n">
        <x:v>149</x:v>
      </x:c>
      <x:c r="F8" s="45" t="n">
        <x:v>379</x:v>
      </x:c>
      <x:c r="G8" s="153" t="n">
        <x:f>E8/F8</x:f>
        <x:v>0.39313984168865435</x:v>
      </x:c>
      <x:c r="H8" s="45" t="str">
        <x:v>Exact</x:v>
      </x:c>
      <x:c r="I8" s="45" t="str">
        <x:v>NONE</x:v>
      </x:c>
      <x:c r="J8" s="45" t="str">
        <x:v>REPORTED_DIRECT</x:v>
      </x:c>
      <x:c r="K8" s="45" t="str">
        <x:v>SYSTEM_NORMALIZED</x:v>
      </x:c>
      <x:c r="L8" s="45" t="str">
        <x:f>IF(ABS(SUMIF($A$4:$A$36,A8,$G$4:$G$36)-1)&lt;0.0001,"PASS","CHECK")</x:f>
        <x:v>PASS</x:v>
      </x:c>
    </x:row>
    <x:row r="9">
      <x:c r="A9" s="45" t="str">
        <x:v>LEE2022_KPC_KP</x:v>
      </x:c>
      <x:c r="B9" s="45" t="str">
        <x:v>KPC-like CR-K. pneumoniae, ATLAS 2020</x:v>
      </x:c>
      <x:c r="C9" s="45" t="str">
        <x:v>PRIMARY</x:v>
      </x:c>
      <x:c r="D9" s="45" t="n">
        <x:v>2</x:v>
      </x:c>
      <x:c r="E9" s="45" t="n">
        <x:v>102</x:v>
      </x:c>
      <x:c r="F9" s="45" t="n">
        <x:v>379</x:v>
      </x:c>
      <x:c r="G9" s="153" t="n">
        <x:f>E9/F9</x:f>
        <x:v>0.2691292875989446</x:v>
      </x:c>
      <x:c r="H9" s="45" t="str">
        <x:v>Exact</x:v>
      </x:c>
      <x:c r="I9" s="45" t="str">
        <x:v>NONE</x:v>
      </x:c>
      <x:c r="J9" s="45" t="str">
        <x:v>REPORTED_DIRECT</x:v>
      </x:c>
      <x:c r="K9" s="45" t="str">
        <x:v>SYSTEM_NORMALIZED</x:v>
      </x:c>
      <x:c r="L9" s="45" t="str">
        <x:f>IF(ABS(SUMIF($A$4:$A$36,A9,$G$4:$G$36)-1)&lt;0.0001,"PASS","CHECK")</x:f>
        <x:v>PASS</x:v>
      </x:c>
    </x:row>
    <x:row r="10">
      <x:c r="A10" s="45" t="str">
        <x:v>LEE2022_KPC_KP</x:v>
      </x:c>
      <x:c r="B10" s="45" t="str">
        <x:v>KPC-like CR-K. pneumoniae, ATLAS 2020</x:v>
      </x:c>
      <x:c r="C10" s="45" t="str">
        <x:v>PRIMARY</x:v>
      </x:c>
      <x:c r="D10" s="45" t="n">
        <x:v>4</x:v>
      </x:c>
      <x:c r="E10" s="45" t="n">
        <x:v>32</x:v>
      </x:c>
      <x:c r="F10" s="45" t="n">
        <x:v>379</x:v>
      </x:c>
      <x:c r="G10" s="153" t="n">
        <x:f>E10/F10</x:f>
        <x:v>0.08443271767810026</x:v>
      </x:c>
      <x:c r="H10" s="45" t="str">
        <x:v>Exact</x:v>
      </x:c>
      <x:c r="I10" s="45" t="str">
        <x:v>NONE</x:v>
      </x:c>
      <x:c r="J10" s="45" t="str">
        <x:v>REPORTED_DIRECT</x:v>
      </x:c>
      <x:c r="K10" s="45" t="str">
        <x:v>SYSTEM_NORMALIZED</x:v>
      </x:c>
      <x:c r="L10" s="45" t="str">
        <x:f>IF(ABS(SUMIF($A$4:$A$36,A10,$G$4:$G$36)-1)&lt;0.0001,"PASS","CHECK")</x:f>
        <x:v>PASS</x:v>
      </x:c>
    </x:row>
    <x:row r="11">
      <x:c r="A11" s="45" t="str">
        <x:v>LEE2022_KPC_KP</x:v>
      </x:c>
      <x:c r="B11" s="45" t="str">
        <x:v>KPC-like CR-K. pneumoniae, ATLAS 2020</x:v>
      </x:c>
      <x:c r="C11" s="45" t="str">
        <x:v>PRIMARY</x:v>
      </x:c>
      <x:c r="D11" s="45" t="n">
        <x:v>8</x:v>
      </x:c>
      <x:c r="E11" s="45" t="n">
        <x:v>4</x:v>
      </x:c>
      <x:c r="F11" s="45" t="n">
        <x:v>379</x:v>
      </x:c>
      <x:c r="G11" s="153" t="n">
        <x:f>E11/F11</x:f>
        <x:v>0.010554089709762533</x:v>
      </x:c>
      <x:c r="H11" s="45" t="str">
        <x:v>Exact</x:v>
      </x:c>
      <x:c r="I11" s="45" t="str">
        <x:v>NONE</x:v>
      </x:c>
      <x:c r="J11" s="45" t="str">
        <x:v>REPORTED_DIRECT</x:v>
      </x:c>
      <x:c r="K11" s="45" t="str">
        <x:v>SYSTEM_NORMALIZED</x:v>
      </x:c>
      <x:c r="L11" s="45" t="str">
        <x:f>IF(ABS(SUMIF($A$4:$A$36,A11,$G$4:$G$36)-1)&lt;0.0001,"PASS","CHECK")</x:f>
        <x:v>PASS</x:v>
      </x:c>
    </x:row>
    <x:row r="12">
      <x:c r="A12" s="45" t="str">
        <x:v>LEE2022_KPC_KP</x:v>
      </x:c>
      <x:c r="B12" s="45" t="str">
        <x:v>KPC-like CR-K. pneumoniae, ATLAS 2020</x:v>
      </x:c>
      <x:c r="C12" s="45" t="str">
        <x:v>PRIMARY</x:v>
      </x:c>
      <x:c r="D12" s="45" t="n">
        <x:v>16</x:v>
      </x:c>
      <x:c r="E12" s="45" t="n">
        <x:v>1</x:v>
      </x:c>
      <x:c r="F12" s="45" t="n">
        <x:v>379</x:v>
      </x:c>
      <x:c r="G12" s="153" t="n">
        <x:f>E12/F12</x:f>
        <x:v>0.002638522427440633</x:v>
      </x:c>
      <x:c r="H12" s="45" t="str">
        <x:v>Exact</x:v>
      </x:c>
      <x:c r="I12" s="45" t="str">
        <x:v>NONE</x:v>
      </x:c>
      <x:c r="J12" s="45" t="str">
        <x:v>REPORTED_DIRECT</x:v>
      </x:c>
      <x:c r="K12" s="45" t="str">
        <x:v>SYSTEM_NORMALIZED</x:v>
      </x:c>
      <x:c r="L12" s="45" t="str">
        <x:f>IF(ABS(SUMIF($A$4:$A$36,A12,$G$4:$G$36)-1)&lt;0.0001,"PASS","CHECK")</x:f>
        <x:v>PASS</x:v>
      </x:c>
    </x:row>
    <x:row r="13">
      <x:c r="A13" s="45" t="str">
        <x:v>LEE2022_KPC_KP</x:v>
      </x:c>
      <x:c r="B13" s="45" t="str">
        <x:v>KPC-like CR-K. pneumoniae, ATLAS 2020</x:v>
      </x:c>
      <x:c r="C13" s="45" t="str">
        <x:v>PRIMARY</x:v>
      </x:c>
      <x:c r="D13" s="45" t="n">
        <x:v>32</x:v>
      </x:c>
      <x:c r="E13" s="45" t="n">
        <x:v>0</x:v>
      </x:c>
      <x:c r="F13" s="45" t="n">
        <x:v>379</x:v>
      </x:c>
      <x:c r="G13" s="153" t="n">
        <x:f>E13/F13</x:f>
        <x:v>0</x:v>
      </x:c>
      <x:c r="H13" s="45" t="str">
        <x:v>Exact</x:v>
      </x:c>
      <x:c r="I13" s="45" t="str">
        <x:v>NONE</x:v>
      </x:c>
      <x:c r="J13" s="45" t="str">
        <x:v>REPORTED_DIRECT</x:v>
      </x:c>
      <x:c r="K13" s="45" t="str">
        <x:v>SYSTEM_NORMALIZED</x:v>
      </x:c>
      <x:c r="L13" s="45" t="str">
        <x:f>IF(ABS(SUMIF($A$4:$A$36,A13,$G$4:$G$36)-1)&lt;0.0001,"PASS","CHECK")</x:f>
        <x:v>PASS</x:v>
      </x:c>
    </x:row>
    <x:row r="14">
      <x:c r="A14" s="45" t="str">
        <x:v>LEE2022_KPC_KP</x:v>
      </x:c>
      <x:c r="B14" s="45" t="str">
        <x:v>KPC-like CR-K. pneumoniae, ATLAS 2020</x:v>
      </x:c>
      <x:c r="C14" s="45" t="str">
        <x:v>PRIMARY</x:v>
      </x:c>
      <x:c r="D14" s="45" t="n">
        <x:v>64</x:v>
      </x:c>
      <x:c r="E14" s="45" t="n">
        <x:v>1</x:v>
      </x:c>
      <x:c r="F14" s="45" t="n">
        <x:v>379</x:v>
      </x:c>
      <x:c r="G14" s="153" t="n">
        <x:f>E14/F14</x:f>
        <x:v>0.002638522427440633</x:v>
      </x:c>
      <x:c r="H14" s="45" t="str">
        <x:v>Terminal ≥64 or &gt;32 conservatively assigned to 64</x:v>
      </x:c>
      <x:c r="I14" s="45" t="str">
        <x:v>CATEGORICAL_HARMONIZATION</x:v>
      </x:c>
      <x:c r="J14" s="45" t="str">
        <x:v>REPORTED_DIRECT</x:v>
      </x:c>
      <x:c r="K14" s="45" t="str">
        <x:v>USER_REVIEW_REQUIRED</x:v>
      </x:c>
      <x:c r="L14" s="45" t="str">
        <x:f>IF(ABS(SUMIF($A$4:$A$36,A14,$G$4:$G$36)-1)&lt;0.0001,"PASS","CHECK")</x:f>
        <x:v>PASS</x:v>
      </x:c>
    </x:row>
    <x:row r="15">
      <x:c r="A15" s="45" t="str">
        <x:v>LEE2022_OXA_KP</x:v>
      </x:c>
      <x:c r="B15" s="45" t="str">
        <x:v>OXA-like CR-K. pneumoniae, ATLAS 2020</x:v>
      </x:c>
      <x:c r="C15" s="45" t="str">
        <x:v>PRIMARY</x:v>
      </x:c>
      <x:c r="D15" s="45" t="n">
        <x:v>0.0625</x:v>
      </x:c>
      <x:c r="E15" s="45" t="n">
        <x:v>0</x:v>
      </x:c>
      <x:c r="F15" s="45" t="n">
        <x:v>236</x:v>
      </x:c>
      <x:c r="G15" s="153" t="n">
        <x:f>E15/F15</x:f>
        <x:v>0</x:v>
      </x:c>
      <x:c r="H15" s="45" t="str">
        <x:v>0.03 and/or 0.06 pooled to 0.0625</x:v>
      </x:c>
      <x:c r="I15" s="45" t="str">
        <x:v>CATEGORICAL_HARMONIZATION</x:v>
      </x:c>
      <x:c r="J15" s="45" t="str">
        <x:v>REPORTED_DIRECT</x:v>
      </x:c>
      <x:c r="K15" s="45" t="str">
        <x:v>USER_REVIEW_REQUIRED</x:v>
      </x:c>
      <x:c r="L15" s="45" t="str">
        <x:f>IF(ABS(SUMIF($A$4:$A$36,A15,$G$4:$G$36)-1)&lt;0.0001,"PASS","CHECK")</x:f>
        <x:v>PASS</x:v>
      </x:c>
    </x:row>
    <x:row r="16">
      <x:c r="A16" s="45" t="str">
        <x:v>LEE2022_OXA_KP</x:v>
      </x:c>
      <x:c r="B16" s="45" t="str">
        <x:v>OXA-like CR-K. pneumoniae, ATLAS 2020</x:v>
      </x:c>
      <x:c r="C16" s="45" t="str">
        <x:v>PRIMARY</x:v>
      </x:c>
      <x:c r="D16" s="45" t="n">
        <x:v>0.125</x:v>
      </x:c>
      <x:c r="E16" s="45" t="n">
        <x:v>0</x:v>
      </x:c>
      <x:c r="F16" s="45" t="n">
        <x:v>236</x:v>
      </x:c>
      <x:c r="G16" s="153" t="n">
        <x:f>E16/F16</x:f>
        <x:v>0</x:v>
      </x:c>
      <x:c r="H16" s="45" t="str">
        <x:v>0.12 mapped to 0.125</x:v>
      </x:c>
      <x:c r="I16" s="45" t="str">
        <x:v>CATEGORICAL_HARMONIZATION</x:v>
      </x:c>
      <x:c r="J16" s="45" t="str">
        <x:v>REPORTED_DIRECT</x:v>
      </x:c>
      <x:c r="K16" s="45" t="str">
        <x:v>USER_REVIEW_REQUIRED</x:v>
      </x:c>
      <x:c r="L16" s="45" t="str">
        <x:f>IF(ABS(SUMIF($A$4:$A$36,A16,$G$4:$G$36)-1)&lt;0.0001,"PASS","CHECK")</x:f>
        <x:v>PASS</x:v>
      </x:c>
    </x:row>
    <x:row r="17">
      <x:c r="A17" s="45" t="str">
        <x:v>LEE2022_OXA_KP</x:v>
      </x:c>
      <x:c r="B17" s="45" t="str">
        <x:v>OXA-like CR-K. pneumoniae, ATLAS 2020</x:v>
      </x:c>
      <x:c r="C17" s="45" t="str">
        <x:v>PRIMARY</x:v>
      </x:c>
      <x:c r="D17" s="45" t="n">
        <x:v>0.25</x:v>
      </x:c>
      <x:c r="E17" s="45" t="n">
        <x:v>9</x:v>
      </x:c>
      <x:c r="F17" s="45" t="n">
        <x:v>236</x:v>
      </x:c>
      <x:c r="G17" s="153" t="n">
        <x:f>E17/F17</x:f>
        <x:v>0.038135593220338986</x:v>
      </x:c>
      <x:c r="H17" s="45" t="str">
        <x:v>Exact</x:v>
      </x:c>
      <x:c r="I17" s="45" t="str">
        <x:v>NONE</x:v>
      </x:c>
      <x:c r="J17" s="45" t="str">
        <x:v>REPORTED_DIRECT</x:v>
      </x:c>
      <x:c r="K17" s="45" t="str">
        <x:v>SYSTEM_NORMALIZED</x:v>
      </x:c>
      <x:c r="L17" s="45" t="str">
        <x:f>IF(ABS(SUMIF($A$4:$A$36,A17,$G$4:$G$36)-1)&lt;0.0001,"PASS","CHECK")</x:f>
        <x:v>PASS</x:v>
      </x:c>
    </x:row>
    <x:row r="18">
      <x:c r="A18" s="45" t="str">
        <x:v>LEE2022_OXA_KP</x:v>
      </x:c>
      <x:c r="B18" s="45" t="str">
        <x:v>OXA-like CR-K. pneumoniae, ATLAS 2020</x:v>
      </x:c>
      <x:c r="C18" s="45" t="str">
        <x:v>PRIMARY</x:v>
      </x:c>
      <x:c r="D18" s="45" t="n">
        <x:v>0.5</x:v>
      </x:c>
      <x:c r="E18" s="45" t="n">
        <x:v>43</x:v>
      </x:c>
      <x:c r="F18" s="45" t="n">
        <x:v>236</x:v>
      </x:c>
      <x:c r="G18" s="153" t="n">
        <x:f>E18/F18</x:f>
        <x:v>0.18220338983050846</x:v>
      </x:c>
      <x:c r="H18" s="45" t="str">
        <x:v>Exact</x:v>
      </x:c>
      <x:c r="I18" s="45" t="str">
        <x:v>NONE</x:v>
      </x:c>
      <x:c r="J18" s="45" t="str">
        <x:v>REPORTED_DIRECT</x:v>
      </x:c>
      <x:c r="K18" s="45" t="str">
        <x:v>SYSTEM_NORMALIZED</x:v>
      </x:c>
      <x:c r="L18" s="45" t="str">
        <x:f>IF(ABS(SUMIF($A$4:$A$36,A18,$G$4:$G$36)-1)&lt;0.0001,"PASS","CHECK")</x:f>
        <x:v>PASS</x:v>
      </x:c>
    </x:row>
    <x:row r="19">
      <x:c r="A19" s="45" t="str">
        <x:v>LEE2022_OXA_KP</x:v>
      </x:c>
      <x:c r="B19" s="45" t="str">
        <x:v>OXA-like CR-K. pneumoniae, ATLAS 2020</x:v>
      </x:c>
      <x:c r="C19" s="45" t="str">
        <x:v>PRIMARY</x:v>
      </x:c>
      <x:c r="D19" s="45" t="n">
        <x:v>1</x:v>
      </x:c>
      <x:c r="E19" s="45" t="n">
        <x:v>124</x:v>
      </x:c>
      <x:c r="F19" s="45" t="n">
        <x:v>236</x:v>
      </x:c>
      <x:c r="G19" s="153" t="n">
        <x:f>E19/F19</x:f>
        <x:v>0.5254237288135594</x:v>
      </x:c>
      <x:c r="H19" s="45" t="str">
        <x:v>Exact</x:v>
      </x:c>
      <x:c r="I19" s="45" t="str">
        <x:v>NONE</x:v>
      </x:c>
      <x:c r="J19" s="45" t="str">
        <x:v>REPORTED_DIRECT</x:v>
      </x:c>
      <x:c r="K19" s="45" t="str">
        <x:v>SYSTEM_NORMALIZED</x:v>
      </x:c>
      <x:c r="L19" s="45" t="str">
        <x:f>IF(ABS(SUMIF($A$4:$A$36,A19,$G$4:$G$36)-1)&lt;0.0001,"PASS","CHECK")</x:f>
        <x:v>PASS</x:v>
      </x:c>
    </x:row>
    <x:row r="20">
      <x:c r="A20" s="45" t="str">
        <x:v>LEE2022_OXA_KP</x:v>
      </x:c>
      <x:c r="B20" s="45" t="str">
        <x:v>OXA-like CR-K. pneumoniae, ATLAS 2020</x:v>
      </x:c>
      <x:c r="C20" s="45" t="str">
        <x:v>PRIMARY</x:v>
      </x:c>
      <x:c r="D20" s="45" t="n">
        <x:v>2</x:v>
      </x:c>
      <x:c r="E20" s="45" t="n">
        <x:v>50</x:v>
      </x:c>
      <x:c r="F20" s="45" t="n">
        <x:v>236</x:v>
      </x:c>
      <x:c r="G20" s="153" t="n">
        <x:f>E20/F20</x:f>
        <x:v>0.211864406779661</x:v>
      </x:c>
      <x:c r="H20" s="45" t="str">
        <x:v>Exact</x:v>
      </x:c>
      <x:c r="I20" s="45" t="str">
        <x:v>NONE</x:v>
      </x:c>
      <x:c r="J20" s="45" t="str">
        <x:v>REPORTED_DIRECT</x:v>
      </x:c>
      <x:c r="K20" s="45" t="str">
        <x:v>SYSTEM_NORMALIZED</x:v>
      </x:c>
      <x:c r="L20" s="45" t="str">
        <x:f>IF(ABS(SUMIF($A$4:$A$36,A20,$G$4:$G$36)-1)&lt;0.0001,"PASS","CHECK")</x:f>
        <x:v>PASS</x:v>
      </x:c>
    </x:row>
    <x:row r="21">
      <x:c r="A21" s="45" t="str">
        <x:v>LEE2022_OXA_KP</x:v>
      </x:c>
      <x:c r="B21" s="45" t="str">
        <x:v>OXA-like CR-K. pneumoniae, ATLAS 2020</x:v>
      </x:c>
      <x:c r="C21" s="45" t="str">
        <x:v>PRIMARY</x:v>
      </x:c>
      <x:c r="D21" s="45" t="n">
        <x:v>4</x:v>
      </x:c>
      <x:c r="E21" s="45" t="n">
        <x:v>6</x:v>
      </x:c>
      <x:c r="F21" s="45" t="n">
        <x:v>236</x:v>
      </x:c>
      <x:c r="G21" s="153" t="n">
        <x:f>E21/F21</x:f>
        <x:v>0.025423728813559324</x:v>
      </x:c>
      <x:c r="H21" s="45" t="str">
        <x:v>Exact</x:v>
      </x:c>
      <x:c r="I21" s="45" t="str">
        <x:v>NONE</x:v>
      </x:c>
      <x:c r="J21" s="45" t="str">
        <x:v>REPORTED_DIRECT</x:v>
      </x:c>
      <x:c r="K21" s="45" t="str">
        <x:v>SYSTEM_NORMALIZED</x:v>
      </x:c>
      <x:c r="L21" s="45" t="str">
        <x:f>IF(ABS(SUMIF($A$4:$A$36,A21,$G$4:$G$36)-1)&lt;0.0001,"PASS","CHECK")</x:f>
        <x:v>PASS</x:v>
      </x:c>
    </x:row>
    <x:row r="22">
      <x:c r="A22" s="45" t="str">
        <x:v>LEE2022_OXA_KP</x:v>
      </x:c>
      <x:c r="B22" s="45" t="str">
        <x:v>OXA-like CR-K. pneumoniae, ATLAS 2020</x:v>
      </x:c>
      <x:c r="C22" s="45" t="str">
        <x:v>PRIMARY</x:v>
      </x:c>
      <x:c r="D22" s="45" t="n">
        <x:v>8</x:v>
      </x:c>
      <x:c r="E22" s="45" t="n">
        <x:v>1</x:v>
      </x:c>
      <x:c r="F22" s="45" t="n">
        <x:v>236</x:v>
      </x:c>
      <x:c r="G22" s="153" t="n">
        <x:f>E22/F22</x:f>
        <x:v>0.00423728813559322</x:v>
      </x:c>
      <x:c r="H22" s="45" t="str">
        <x:v>Exact</x:v>
      </x:c>
      <x:c r="I22" s="45" t="str">
        <x:v>NONE</x:v>
      </x:c>
      <x:c r="J22" s="45" t="str">
        <x:v>REPORTED_DIRECT</x:v>
      </x:c>
      <x:c r="K22" s="45" t="str">
        <x:v>SYSTEM_NORMALIZED</x:v>
      </x:c>
      <x:c r="L22" s="45" t="str">
        <x:f>IF(ABS(SUMIF($A$4:$A$36,A22,$G$4:$G$36)-1)&lt;0.0001,"PASS","CHECK")</x:f>
        <x:v>PASS</x:v>
      </x:c>
    </x:row>
    <x:row r="23">
      <x:c r="A23" s="45" t="str">
        <x:v>LEE2022_OXA_KP</x:v>
      </x:c>
      <x:c r="B23" s="45" t="str">
        <x:v>OXA-like CR-K. pneumoniae, ATLAS 2020</x:v>
      </x:c>
      <x:c r="C23" s="45" t="str">
        <x:v>PRIMARY</x:v>
      </x:c>
      <x:c r="D23" s="45" t="n">
        <x:v>16</x:v>
      </x:c>
      <x:c r="E23" s="45" t="n">
        <x:v>0</x:v>
      </x:c>
      <x:c r="F23" s="45" t="n">
        <x:v>236</x:v>
      </x:c>
      <x:c r="G23" s="153" t="n">
        <x:f>E23/F23</x:f>
        <x:v>0</x:v>
      </x:c>
      <x:c r="H23" s="45" t="str">
        <x:v>Exact</x:v>
      </x:c>
      <x:c r="I23" s="45" t="str">
        <x:v>NONE</x:v>
      </x:c>
      <x:c r="J23" s="45" t="str">
        <x:v>REPORTED_DIRECT</x:v>
      </x:c>
      <x:c r="K23" s="45" t="str">
        <x:v>SYSTEM_NORMALIZED</x:v>
      </x:c>
      <x:c r="L23" s="45" t="str">
        <x:f>IF(ABS(SUMIF($A$4:$A$36,A23,$G$4:$G$36)-1)&lt;0.0001,"PASS","CHECK")</x:f>
        <x:v>PASS</x:v>
      </x:c>
    </x:row>
    <x:row r="24">
      <x:c r="A24" s="45" t="str">
        <x:v>LEE2022_OXA_KP</x:v>
      </x:c>
      <x:c r="B24" s="45" t="str">
        <x:v>OXA-like CR-K. pneumoniae, ATLAS 2020</x:v>
      </x:c>
      <x:c r="C24" s="45" t="str">
        <x:v>PRIMARY</x:v>
      </x:c>
      <x:c r="D24" s="45" t="n">
        <x:v>32</x:v>
      </x:c>
      <x:c r="E24" s="45" t="n">
        <x:v>1</x:v>
      </x:c>
      <x:c r="F24" s="45" t="n">
        <x:v>236</x:v>
      </x:c>
      <x:c r="G24" s="153" t="n">
        <x:f>E24/F24</x:f>
        <x:v>0.00423728813559322</x:v>
      </x:c>
      <x:c r="H24" s="45" t="str">
        <x:v>Exact</x:v>
      </x:c>
      <x:c r="I24" s="45" t="str">
        <x:v>NONE</x:v>
      </x:c>
      <x:c r="J24" s="45" t="str">
        <x:v>REPORTED_DIRECT</x:v>
      </x:c>
      <x:c r="K24" s="45" t="str">
        <x:v>SYSTEM_NORMALIZED</x:v>
      </x:c>
      <x:c r="L24" s="45" t="str">
        <x:f>IF(ABS(SUMIF($A$4:$A$36,A24,$G$4:$G$36)-1)&lt;0.0001,"PASS","CHECK")</x:f>
        <x:v>PASS</x:v>
      </x:c>
    </x:row>
    <x:row r="25">
      <x:c r="A25" s="45" t="str">
        <x:v>LEE2022_OXA_KP</x:v>
      </x:c>
      <x:c r="B25" s="45" t="str">
        <x:v>OXA-like CR-K. pneumoniae, ATLAS 2020</x:v>
      </x:c>
      <x:c r="C25" s="45" t="str">
        <x:v>PRIMARY</x:v>
      </x:c>
      <x:c r="D25" s="45" t="n">
        <x:v>64</x:v>
      </x:c>
      <x:c r="E25" s="45" t="n">
        <x:v>2</x:v>
      </x:c>
      <x:c r="F25" s="45" t="n">
        <x:v>236</x:v>
      </x:c>
      <x:c r="G25" s="153" t="n">
        <x:f>E25/F25</x:f>
        <x:v>0.00847457627118644</x:v>
      </x:c>
      <x:c r="H25" s="45" t="str">
        <x:v>Terminal ≥64 or &gt;32 conservatively assigned to 64</x:v>
      </x:c>
      <x:c r="I25" s="45" t="str">
        <x:v>CATEGORICAL_HARMONIZATION</x:v>
      </x:c>
      <x:c r="J25" s="45" t="str">
        <x:v>REPORTED_DIRECT</x:v>
      </x:c>
      <x:c r="K25" s="45" t="str">
        <x:v>USER_REVIEW_REQUIRED</x:v>
      </x:c>
      <x:c r="L25" s="45" t="str">
        <x:f>IF(ABS(SUMIF($A$4:$A$36,A25,$G$4:$G$36)-1)&lt;0.0001,"PASS","CHECK")</x:f>
        <x:v>PASS</x:v>
      </x:c>
    </x:row>
    <x:row r="26">
      <x:c r="A26" s="45" t="str">
        <x:v>INDIA2022_OXA48_KP</x:v>
      </x:c>
      <x:c r="B26" s="45" t="str">
        <x:v>OXA-48-like CR-K. pneumoniae, India ATLAS 2018–2019</x:v>
      </x:c>
      <x:c r="C26" s="45" t="str">
        <x:v>SENSITIVITY_DONOR</x:v>
      </x:c>
      <x:c r="D26" s="45" t="n">
        <x:v>0.0625</x:v>
      </x:c>
      <x:c r="E26" s="45" t="n">
        <x:v>0</x:v>
      </x:c>
      <x:c r="F26" s="45" t="n">
        <x:v>136</x:v>
      </x:c>
      <x:c r="G26" s="153" t="n">
        <x:f>E26/F26</x:f>
        <x:v>0</x:v>
      </x:c>
      <x:c r="H26" s="45" t="str">
        <x:v>0.03 and/or 0.06 pooled to 0.0625</x:v>
      </x:c>
      <x:c r="I26" s="45" t="str">
        <x:v>CATEGORICAL_HARMONIZATION</x:v>
      </x:c>
      <x:c r="J26" s="45" t="str">
        <x:v>REPORTED_DIRECT</x:v>
      </x:c>
      <x:c r="K26" s="45" t="str">
        <x:v>USER_REVIEW_REQUIRED</x:v>
      </x:c>
      <x:c r="L26" s="45" t="str">
        <x:f>IF(ABS(SUMIF($A$4:$A$36,A26,$G$4:$G$36)-1)&lt;0.0001,"PASS","CHECK")</x:f>
        <x:v>PASS</x:v>
      </x:c>
    </x:row>
    <x:row r="27">
      <x:c r="A27" s="45" t="str">
        <x:v>INDIA2022_OXA48_KP</x:v>
      </x:c>
      <x:c r="B27" s="45" t="str">
        <x:v>OXA-48-like CR-K. pneumoniae, India ATLAS 2018–2019</x:v>
      </x:c>
      <x:c r="C27" s="45" t="str">
        <x:v>SENSITIVITY_DONOR</x:v>
      </x:c>
      <x:c r="D27" s="45" t="n">
        <x:v>0.125</x:v>
      </x:c>
      <x:c r="E27" s="45" t="n">
        <x:v>0</x:v>
      </x:c>
      <x:c r="F27" s="45" t="n">
        <x:v>136</x:v>
      </x:c>
      <x:c r="G27" s="153" t="n">
        <x:f>E27/F27</x:f>
        <x:v>0</x:v>
      </x:c>
      <x:c r="H27" s="45" t="str">
        <x:v>0.12 mapped to 0.125</x:v>
      </x:c>
      <x:c r="I27" s="45" t="str">
        <x:v>CATEGORICAL_HARMONIZATION</x:v>
      </x:c>
      <x:c r="J27" s="45" t="str">
        <x:v>REPORTED_DIRECT</x:v>
      </x:c>
      <x:c r="K27" s="45" t="str">
        <x:v>USER_REVIEW_REQUIRED</x:v>
      </x:c>
      <x:c r="L27" s="45" t="str">
        <x:f>IF(ABS(SUMIF($A$4:$A$36,A27,$G$4:$G$36)-1)&lt;0.0001,"PASS","CHECK")</x:f>
        <x:v>PASS</x:v>
      </x:c>
    </x:row>
    <x:row r="28">
      <x:c r="A28" s="45" t="str">
        <x:v>INDIA2022_OXA48_KP</x:v>
      </x:c>
      <x:c r="B28" s="45" t="str">
        <x:v>OXA-48-like CR-K. pneumoniae, India ATLAS 2018–2019</x:v>
      </x:c>
      <x:c r="C28" s="45" t="str">
        <x:v>SENSITIVITY_DONOR</x:v>
      </x:c>
      <x:c r="D28" s="45" t="n">
        <x:v>0.25</x:v>
      </x:c>
      <x:c r="E28" s="45" t="n">
        <x:v>2</x:v>
      </x:c>
      <x:c r="F28" s="45" t="n">
        <x:v>136</x:v>
      </x:c>
      <x:c r="G28" s="153" t="n">
        <x:f>E28/F28</x:f>
        <x:v>0.014705882352941176</x:v>
      </x:c>
      <x:c r="H28" s="45" t="str">
        <x:v>Exact</x:v>
      </x:c>
      <x:c r="I28" s="45" t="str">
        <x:v>NONE</x:v>
      </x:c>
      <x:c r="J28" s="45" t="str">
        <x:v>REPORTED_DIRECT</x:v>
      </x:c>
      <x:c r="K28" s="45" t="str">
        <x:v>USER_REVIEW_REQUIRED</x:v>
      </x:c>
      <x:c r="L28" s="45" t="str">
        <x:f>IF(ABS(SUMIF($A$4:$A$36,A28,$G$4:$G$36)-1)&lt;0.0001,"PASS","CHECK")</x:f>
        <x:v>PASS</x:v>
      </x:c>
    </x:row>
    <x:row r="29">
      <x:c r="A29" s="45" t="str">
        <x:v>INDIA2022_OXA48_KP</x:v>
      </x:c>
      <x:c r="B29" s="45" t="str">
        <x:v>OXA-48-like CR-K. pneumoniae, India ATLAS 2018–2019</x:v>
      </x:c>
      <x:c r="C29" s="45" t="str">
        <x:v>SENSITIVITY_DONOR</x:v>
      </x:c>
      <x:c r="D29" s="45" t="n">
        <x:v>0.5</x:v>
      </x:c>
      <x:c r="E29" s="45" t="n">
        <x:v>42</x:v>
      </x:c>
      <x:c r="F29" s="45" t="n">
        <x:v>136</x:v>
      </x:c>
      <x:c r="G29" s="153" t="n">
        <x:f>E29/F29</x:f>
        <x:v>0.3088235294117647</x:v>
      </x:c>
      <x:c r="H29" s="45" t="str">
        <x:v>Exact</x:v>
      </x:c>
      <x:c r="I29" s="45" t="str">
        <x:v>NONE</x:v>
      </x:c>
      <x:c r="J29" s="45" t="str">
        <x:v>REPORTED_DIRECT</x:v>
      </x:c>
      <x:c r="K29" s="45" t="str">
        <x:v>USER_REVIEW_REQUIRED</x:v>
      </x:c>
      <x:c r="L29" s="45" t="str">
        <x:f>IF(ABS(SUMIF($A$4:$A$36,A29,$G$4:$G$36)-1)&lt;0.0001,"PASS","CHECK")</x:f>
        <x:v>PASS</x:v>
      </x:c>
    </x:row>
    <x:row r="30">
      <x:c r="A30" s="45" t="str">
        <x:v>INDIA2022_OXA48_KP</x:v>
      </x:c>
      <x:c r="B30" s="45" t="str">
        <x:v>OXA-48-like CR-K. pneumoniae, India ATLAS 2018–2019</x:v>
      </x:c>
      <x:c r="C30" s="45" t="str">
        <x:v>SENSITIVITY_DONOR</x:v>
      </x:c>
      <x:c r="D30" s="45" t="n">
        <x:v>1</x:v>
      </x:c>
      <x:c r="E30" s="45" t="n">
        <x:v>69</x:v>
      </x:c>
      <x:c r="F30" s="45" t="n">
        <x:v>136</x:v>
      </x:c>
      <x:c r="G30" s="153" t="n">
        <x:f>E30/F30</x:f>
        <x:v>0.5073529411764706</x:v>
      </x:c>
      <x:c r="H30" s="45" t="str">
        <x:v>Exact</x:v>
      </x:c>
      <x:c r="I30" s="45" t="str">
        <x:v>NONE</x:v>
      </x:c>
      <x:c r="J30" s="45" t="str">
        <x:v>REPORTED_DIRECT</x:v>
      </x:c>
      <x:c r="K30" s="45" t="str">
        <x:v>USER_REVIEW_REQUIRED</x:v>
      </x:c>
      <x:c r="L30" s="45" t="str">
        <x:f>IF(ABS(SUMIF($A$4:$A$36,A30,$G$4:$G$36)-1)&lt;0.0001,"PASS","CHECK")</x:f>
        <x:v>PASS</x:v>
      </x:c>
    </x:row>
    <x:row r="31">
      <x:c r="A31" s="45" t="str">
        <x:v>INDIA2022_OXA48_KP</x:v>
      </x:c>
      <x:c r="B31" s="45" t="str">
        <x:v>OXA-48-like CR-K. pneumoniae, India ATLAS 2018–2019</x:v>
      </x:c>
      <x:c r="C31" s="45" t="str">
        <x:v>SENSITIVITY_DONOR</x:v>
      </x:c>
      <x:c r="D31" s="45" t="n">
        <x:v>2</x:v>
      </x:c>
      <x:c r="E31" s="45" t="n">
        <x:v>15</x:v>
      </x:c>
      <x:c r="F31" s="45" t="n">
        <x:v>136</x:v>
      </x:c>
      <x:c r="G31" s="153" t="n">
        <x:f>E31/F31</x:f>
        <x:v>0.11029411764705882</x:v>
      </x:c>
      <x:c r="H31" s="45" t="str">
        <x:v>Exact</x:v>
      </x:c>
      <x:c r="I31" s="45" t="str">
        <x:v>NONE</x:v>
      </x:c>
      <x:c r="J31" s="45" t="str">
        <x:v>REPORTED_DIRECT</x:v>
      </x:c>
      <x:c r="K31" s="45" t="str">
        <x:v>USER_REVIEW_REQUIRED</x:v>
      </x:c>
      <x:c r="L31" s="45" t="str">
        <x:f>IF(ABS(SUMIF($A$4:$A$36,A31,$G$4:$G$36)-1)&lt;0.0001,"PASS","CHECK")</x:f>
        <x:v>PASS</x:v>
      </x:c>
    </x:row>
    <x:row r="32">
      <x:c r="A32" s="45" t="str">
        <x:v>INDIA2022_OXA48_KP</x:v>
      </x:c>
      <x:c r="B32" s="45" t="str">
        <x:v>OXA-48-like CR-K. pneumoniae, India ATLAS 2018–2019</x:v>
      </x:c>
      <x:c r="C32" s="45" t="str">
        <x:v>SENSITIVITY_DONOR</x:v>
      </x:c>
      <x:c r="D32" s="45" t="n">
        <x:v>4</x:v>
      </x:c>
      <x:c r="E32" s="45" t="n">
        <x:v>3</x:v>
      </x:c>
      <x:c r="F32" s="45" t="n">
        <x:v>136</x:v>
      </x:c>
      <x:c r="G32" s="153" t="n">
        <x:f>E32/F32</x:f>
        <x:v>0.022058823529411766</x:v>
      </x:c>
      <x:c r="H32" s="45" t="str">
        <x:v>Exact</x:v>
      </x:c>
      <x:c r="I32" s="45" t="str">
        <x:v>NONE</x:v>
      </x:c>
      <x:c r="J32" s="45" t="str">
        <x:v>REPORTED_DIRECT</x:v>
      </x:c>
      <x:c r="K32" s="45" t="str">
        <x:v>USER_REVIEW_REQUIRED</x:v>
      </x:c>
      <x:c r="L32" s="45" t="str">
        <x:f>IF(ABS(SUMIF($A$4:$A$36,A32,$G$4:$G$36)-1)&lt;0.0001,"PASS","CHECK")</x:f>
        <x:v>PASS</x:v>
      </x:c>
    </x:row>
    <x:row r="33">
      <x:c r="A33" s="45" t="str">
        <x:v>INDIA2022_OXA48_KP</x:v>
      </x:c>
      <x:c r="B33" s="45" t="str">
        <x:v>OXA-48-like CR-K. pneumoniae, India ATLAS 2018–2019</x:v>
      </x:c>
      <x:c r="C33" s="45" t="str">
        <x:v>SENSITIVITY_DONOR</x:v>
      </x:c>
      <x:c r="D33" s="45" t="n">
        <x:v>8</x:v>
      </x:c>
      <x:c r="E33" s="45" t="n">
        <x:v>0</x:v>
      </x:c>
      <x:c r="F33" s="45" t="n">
        <x:v>136</x:v>
      </x:c>
      <x:c r="G33" s="153" t="n">
        <x:f>E33/F33</x:f>
        <x:v>0</x:v>
      </x:c>
      <x:c r="H33" s="45" t="str">
        <x:v>Exact</x:v>
      </x:c>
      <x:c r="I33" s="45" t="str">
        <x:v>NONE</x:v>
      </x:c>
      <x:c r="J33" s="45" t="str">
        <x:v>REPORTED_DIRECT</x:v>
      </x:c>
      <x:c r="K33" s="45" t="str">
        <x:v>USER_REVIEW_REQUIRED</x:v>
      </x:c>
      <x:c r="L33" s="45" t="str">
        <x:f>IF(ABS(SUMIF($A$4:$A$36,A33,$G$4:$G$36)-1)&lt;0.0001,"PASS","CHECK")</x:f>
        <x:v>PASS</x:v>
      </x:c>
    </x:row>
    <x:row r="34">
      <x:c r="A34" s="45" t="str">
        <x:v>INDIA2022_OXA48_KP</x:v>
      </x:c>
      <x:c r="B34" s="45" t="str">
        <x:v>OXA-48-like CR-K. pneumoniae, India ATLAS 2018–2019</x:v>
      </x:c>
      <x:c r="C34" s="45" t="str">
        <x:v>SENSITIVITY_DONOR</x:v>
      </x:c>
      <x:c r="D34" s="45" t="n">
        <x:v>16</x:v>
      </x:c>
      <x:c r="E34" s="45" t="n">
        <x:v>0</x:v>
      </x:c>
      <x:c r="F34" s="45" t="n">
        <x:v>136</x:v>
      </x:c>
      <x:c r="G34" s="153" t="n">
        <x:f>E34/F34</x:f>
        <x:v>0</x:v>
      </x:c>
      <x:c r="H34" s="45" t="str">
        <x:v>Exact</x:v>
      </x:c>
      <x:c r="I34" s="45" t="str">
        <x:v>NONE</x:v>
      </x:c>
      <x:c r="J34" s="45" t="str">
        <x:v>REPORTED_DIRECT</x:v>
      </x:c>
      <x:c r="K34" s="45" t="str">
        <x:v>USER_REVIEW_REQUIRED</x:v>
      </x:c>
      <x:c r="L34" s="45" t="str">
        <x:f>IF(ABS(SUMIF($A$4:$A$36,A34,$G$4:$G$36)-1)&lt;0.0001,"PASS","CHECK")</x:f>
        <x:v>PASS</x:v>
      </x:c>
    </x:row>
    <x:row r="35">
      <x:c r="A35" s="45" t="str">
        <x:v>INDIA2022_OXA48_KP</x:v>
      </x:c>
      <x:c r="B35" s="45" t="str">
        <x:v>OXA-48-like CR-K. pneumoniae, India ATLAS 2018–2019</x:v>
      </x:c>
      <x:c r="C35" s="45" t="str">
        <x:v>SENSITIVITY_DONOR</x:v>
      </x:c>
      <x:c r="D35" s="45" t="n">
        <x:v>32</x:v>
      </x:c>
      <x:c r="E35" s="45" t="n">
        <x:v>2</x:v>
      </x:c>
      <x:c r="F35" s="45" t="n">
        <x:v>136</x:v>
      </x:c>
      <x:c r="G35" s="153" t="n">
        <x:f>E35/F35</x:f>
        <x:v>0.014705882352941176</x:v>
      </x:c>
      <x:c r="H35" s="45" t="str">
        <x:v>Exact</x:v>
      </x:c>
      <x:c r="I35" s="45" t="str">
        <x:v>NONE</x:v>
      </x:c>
      <x:c r="J35" s="45" t="str">
        <x:v>REPORTED_DIRECT</x:v>
      </x:c>
      <x:c r="K35" s="45" t="str">
        <x:v>USER_REVIEW_REQUIRED</x:v>
      </x:c>
      <x:c r="L35" s="45" t="str">
        <x:f>IF(ABS(SUMIF($A$4:$A$36,A35,$G$4:$G$36)-1)&lt;0.0001,"PASS","CHECK")</x:f>
        <x:v>PASS</x:v>
      </x:c>
    </x:row>
    <x:row r="36">
      <x:c r="A36" s="45" t="str">
        <x:v>INDIA2022_OXA48_KP</x:v>
      </x:c>
      <x:c r="B36" s="45" t="str">
        <x:v>OXA-48-like CR-K. pneumoniae, India ATLAS 2018–2019</x:v>
      </x:c>
      <x:c r="C36" s="45" t="str">
        <x:v>SENSITIVITY_DONOR</x:v>
      </x:c>
      <x:c r="D36" s="45" t="n">
        <x:v>64</x:v>
      </x:c>
      <x:c r="E36" s="45" t="n">
        <x:v>3</x:v>
      </x:c>
      <x:c r="F36" s="45" t="n">
        <x:v>136</x:v>
      </x:c>
      <x:c r="G36" s="153" t="n">
        <x:f>E36/F36</x:f>
        <x:v>0.022058823529411766</x:v>
      </x:c>
      <x:c r="H36" s="45" t="str">
        <x:v>Terminal ≥64 or &gt;32 conservatively assigned to 64</x:v>
      </x:c>
      <x:c r="I36" s="45" t="str">
        <x:v>CATEGORICAL_HARMONIZATION</x:v>
      </x:c>
      <x:c r="J36" s="45" t="str">
        <x:v>REPORTED_DIRECT</x:v>
      </x:c>
      <x:c r="K36" s="45" t="str">
        <x:v>USER_REVIEW_REQUIRED</x:v>
      </x:c>
      <x:c r="L36" s="45" t="str">
        <x:f>IF(ABS(SUMIF($A$4:$A$36,A36,$G$4:$G$36)-1)&lt;0.0001,"PASS","CHECK")</x:f>
        <x:v>PASS</x:v>
      </x:c>
    </x:row>
  </x:sheetData>
  <x:mergeCells>
    <x:mergeCell ref="A1:L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0" hidden="0" customWidth="1"/>
    <x:col min="3" max="3" width="10" hidden="0" customWidth="1"/>
    <x:col min="4" max="4" width="12" hidden="0" customWidth="1"/>
    <x:col min="5" max="5" width="9" hidden="0" customWidth="1"/>
    <x:col min="6" max="6" width="10" hidden="0" customWidth="1"/>
    <x:col min="7" max="7" width="10" hidden="0" customWidth="1"/>
    <x:col min="8" max="8" width="12" hidden="0" customWidth="1"/>
    <x:col min="9" max="9" width="12" hidden="0" customWidth="1"/>
    <x:col min="10" max="10" width="16" hidden="0" customWidth="1"/>
    <x:col min="11" max="11" width="13" hidden="0" customWidth="1"/>
    <x:col min="12" max="12" width="16" hidden="0" customWidth="1"/>
    <x:col min="13" max="13" width="16" hidden="0" customWidth="1"/>
    <x:col min="14" max="14" width="17" hidden="0" customWidth="1"/>
    <x:col min="15" max="15" width="48" hidden="0" customWidth="1"/>
  </x:cols>
  <x:sheetData>
    <x:row r="1">
      <x:c r="A1" s="140" t="str">
        <x:v>CFR Contributions: MIC Frequency × PTA</x:v>
      </x:c>
      <x:c r="B1" s="140"/>
      <x:c r="C1" s="140"/>
      <x:c r="D1" s="140"/>
      <x:c r="E1" s="140"/>
      <x:c r="F1" s="140"/>
      <x:c r="G1" s="140"/>
      <x:c r="H1" s="140"/>
      <x:c r="I1" s="140"/>
      <x:c r="J1" s="140"/>
      <x:c r="K1" s="140"/>
      <x:c r="L1" s="140"/>
      <x:c r="M1" s="140"/>
      <x:c r="N1" s="140"/>
      <x:c r="O1" s="140"/>
    </x:row>
    <x:row r="3">
      <x:c r="A3" s="145" t="str">
        <x:v>Distribution ID</x:v>
      </x:c>
      <x:c r="B3" s="145" t="str">
        <x:v>Role</x:v>
      </x:c>
      <x:c r="C3" s="145" t="str">
        <x:v>Regimen</x:v>
      </x:c>
      <x:c r="D3" s="145" t="str">
        <x:v>EKFC</x:v>
      </x:c>
      <x:c r="E3" s="145" t="str">
        <x:v>Dose g</x:v>
      </x:c>
      <x:c r="F3" s="145" t="str">
        <x:v>Interval h</x:v>
      </x:c>
      <x:c r="G3" s="145" t="str">
        <x:v>MIC</x:v>
      </x:c>
      <x:c r="H3" s="145" t="str">
        <x:v>Frequency</x:v>
      </x:c>
      <x:c r="I3" s="145" t="str">
        <x:v>CAZ PTA %</x:v>
      </x:c>
      <x:c r="J3" s="145" t="str">
        <x:v>AVI attainment %</x:v>
      </x:c>
      <x:c r="K3" s="145" t="str">
        <x:v>Joint PTA %</x:v>
      </x:c>
      <x:c r="L3" s="145" t="str">
        <x:v>CAZ contribution</x:v>
      </x:c>
      <x:c r="M3" s="145" t="str">
        <x:v>AVI contribution</x:v>
      </x:c>
      <x:c r="N3" s="145" t="str">
        <x:v>Joint contribution</x:v>
      </x:c>
      <x:c r="O3" s="145" t="str">
        <x:v>Source</x:v>
      </x:c>
    </x:row>
    <x:row r="4">
      <x:c r="A4" t="str">
        <x:v>LEE2022_KPC_KP</x:v>
      </x:c>
      <x:c r="B4" t="str">
        <x:v>PRIMARY</x:v>
      </x:c>
      <x:c r="C4" t="str">
        <x:v>R1</x:v>
      </x:c>
      <x:c r="D4" t="str">
        <x:v>0–30</x:v>
      </x:c>
      <x:c r="E4" t="n">
        <x:v>0.625</x:v>
      </x:c>
      <x:c r="F4" t="n">
        <x:v>12</x:v>
      </x:c>
      <x:c r="G4" t="n">
        <x:v>0.0625</x:v>
      </x:c>
      <x:c r="H4" s="127" t="n">
        <x:f>MIC_Harmonized!G4</x:f>
        <x:v>0.013192612137203167</x:v>
      </x:c>
      <x:c r="I4" s="127" t="n">
        <x:v>100</x:v>
      </x:c>
      <x:c r="J4" s="127" t="n">
        <x:v>74.88</x:v>
      </x:c>
      <x:c r="K4" s="127" t="n">
        <x:v>74.88</x:v>
      </x:c>
      <x:c r="L4" s="127" t="n">
        <x:f>H4*I4/100</x:f>
        <x:v>0.013192612137203165</x:v>
      </x:c>
      <x:c r="M4" s="127" t="n">
        <x:f>H4*J4/100</x:f>
        <x:v>0.00987862796833773</x:v>
      </x:c>
      <x:c r="N4" s="127" t="n">
        <x:f>H4*K4/100</x:f>
        <x:v>0.00987862796833773</x:v>
      </x:c>
      <x:c r="O4" t="str">
        <x:v>Lee et al. 2022, IJAA 60:106679, Table 3</x:v>
      </x:c>
    </x:row>
    <x:row r="5">
      <x:c r="A5" t="str">
        <x:v>LEE2022_KPC_KP</x:v>
      </x:c>
      <x:c r="B5" t="str">
        <x:v>PRIMARY</x:v>
      </x:c>
      <x:c r="C5" t="str">
        <x:v>R1</x:v>
      </x:c>
      <x:c r="D5" t="str">
        <x:v>0–30</x:v>
      </x:c>
      <x:c r="E5" t="n">
        <x:v>0.625</x:v>
      </x:c>
      <x:c r="F5" t="n">
        <x:v>12</x:v>
      </x:c>
      <x:c r="G5" t="n">
        <x:v>0.125</x:v>
      </x:c>
      <x:c r="H5" s="127" t="n">
        <x:f>MIC_Harmonized!G5</x:f>
        <x:v>0.005277044854881266</x:v>
      </x:c>
      <x:c r="I5" s="127" t="n">
        <x:v>100</x:v>
      </x:c>
      <x:c r="J5" s="127" t="n">
        <x:v>74.88</x:v>
      </x:c>
      <x:c r="K5" s="127" t="n">
        <x:v>74.88</x:v>
      </x:c>
      <x:c r="L5" s="127" t="n">
        <x:f>H5*I5/100</x:f>
        <x:v>0.005277044854881266</x:v>
      </x:c>
      <x:c r="M5" s="127" t="n">
        <x:f>H5*J5/100</x:f>
        <x:v>0.003951451187335092</x:v>
      </x:c>
      <x:c r="N5" s="127" t="n">
        <x:f>H5*K5/100</x:f>
        <x:v>0.003951451187335092</x:v>
      </x:c>
      <x:c r="O5" t="str">
        <x:v>Lee et al. 2022, IJAA 60:106679, Table 3</x:v>
      </x:c>
    </x:row>
    <x:row r="6">
      <x:c r="A6" t="str">
        <x:v>LEE2022_KPC_KP</x:v>
      </x:c>
      <x:c r="B6" t="str">
        <x:v>PRIMARY</x:v>
      </x:c>
      <x:c r="C6" t="str">
        <x:v>R1</x:v>
      </x:c>
      <x:c r="D6" t="str">
        <x:v>0–30</x:v>
      </x:c>
      <x:c r="E6" t="n">
        <x:v>0.625</x:v>
      </x:c>
      <x:c r="F6" t="n">
        <x:v>12</x:v>
      </x:c>
      <x:c r="G6" t="n">
        <x:v>0.25</x:v>
      </x:c>
      <x:c r="H6" s="127" t="n">
        <x:f>MIC_Harmonized!G6</x:f>
        <x:v>0.044854881266490766</x:v>
      </x:c>
      <x:c r="I6" s="127" t="n">
        <x:v>100</x:v>
      </x:c>
      <x:c r="J6" s="127" t="n">
        <x:v>74.88</x:v>
      </x:c>
      <x:c r="K6" s="127" t="n">
        <x:v>74.88</x:v>
      </x:c>
      <x:c r="L6" s="127" t="n">
        <x:f>H6*I6/100</x:f>
        <x:v>0.04485488126649076</x:v>
      </x:c>
      <x:c r="M6" s="127" t="n">
        <x:f>H6*J6/100</x:f>
        <x:v>0.033587335092348285</x:v>
      </x:c>
      <x:c r="N6" s="127" t="n">
        <x:f>H6*K6/100</x:f>
        <x:v>0.033587335092348285</x:v>
      </x:c>
      <x:c r="O6" t="str">
        <x:v>Lee et al. 2022, IJAA 60:106679, Table 3</x:v>
      </x:c>
    </x:row>
    <x:row r="7">
      <x:c r="A7" t="str">
        <x:v>LEE2022_KPC_KP</x:v>
      </x:c>
      <x:c r="B7" t="str">
        <x:v>PRIMARY</x:v>
      </x:c>
      <x:c r="C7" t="str">
        <x:v>R1</x:v>
      </x:c>
      <x:c r="D7" t="str">
        <x:v>0–30</x:v>
      </x:c>
      <x:c r="E7" t="n">
        <x:v>0.625</x:v>
      </x:c>
      <x:c r="F7" t="n">
        <x:v>12</x:v>
      </x:c>
      <x:c r="G7" t="n">
        <x:v>0.5</x:v>
      </x:c>
      <x:c r="H7" s="127" t="n">
        <x:f>MIC_Harmonized!G7</x:f>
        <x:v>0.1741424802110818</x:v>
      </x:c>
      <x:c r="I7" s="127" t="n">
        <x:v>99.94</x:v>
      </x:c>
      <x:c r="J7" s="127" t="n">
        <x:v>74.88</x:v>
      </x:c>
      <x:c r="K7" s="127" t="n">
        <x:v>74.88</x:v>
      </x:c>
      <x:c r="L7" s="127" t="n">
        <x:f>H7*I7/100</x:f>
        <x:v>0.17403799472295514</x:v>
      </x:c>
      <x:c r="M7" s="127" t="n">
        <x:f>H7*J7/100</x:f>
        <x:v>0.13039788918205805</x:v>
      </x:c>
      <x:c r="N7" s="127" t="n">
        <x:f>H7*K7/100</x:f>
        <x:v>0.13039788918205805</x:v>
      </x:c>
      <x:c r="O7" t="str">
        <x:v>Lee et al. 2022, IJAA 60:106679, Table 3</x:v>
      </x:c>
    </x:row>
    <x:row r="8">
      <x:c r="A8" t="str">
        <x:v>LEE2022_KPC_KP</x:v>
      </x:c>
      <x:c r="B8" t="str">
        <x:v>PRIMARY</x:v>
      </x:c>
      <x:c r="C8" t="str">
        <x:v>R1</x:v>
      </x:c>
      <x:c r="D8" t="str">
        <x:v>0–30</x:v>
      </x:c>
      <x:c r="E8" t="n">
        <x:v>0.625</x:v>
      </x:c>
      <x:c r="F8" t="n">
        <x:v>12</x:v>
      </x:c>
      <x:c r="G8" t="n">
        <x:v>1</x:v>
      </x:c>
      <x:c r="H8" s="127" t="n">
        <x:f>MIC_Harmonized!G8</x:f>
        <x:v>0.39313984168865435</x:v>
      </x:c>
      <x:c r="I8" s="127" t="n">
        <x:v>99.13499999999999</x:v>
      </x:c>
      <x:c r="J8" s="127" t="n">
        <x:v>74.88</x:v>
      </x:c>
      <x:c r="K8" s="127" t="n">
        <x:v>74.88</x:v>
      </x:c>
      <x:c r="L8" s="127" t="n">
        <x:f>H8*I8/100</x:f>
        <x:v>0.3897391820580474</x:v>
      </x:c>
      <x:c r="M8" s="127" t="n">
        <x:f>H8*J8/100</x:f>
        <x:v>0.29438311345646434</x:v>
      </x:c>
      <x:c r="N8" s="127" t="n">
        <x:f>H8*K8/100</x:f>
        <x:v>0.29438311345646434</x:v>
      </x:c>
      <x:c r="O8" t="str">
        <x:v>Lee et al. 2022, IJAA 60:106679, Table 3</x:v>
      </x:c>
    </x:row>
    <x:row r="9">
      <x:c r="A9" t="str">
        <x:v>LEE2022_KPC_KP</x:v>
      </x:c>
      <x:c r="B9" t="str">
        <x:v>PRIMARY</x:v>
      </x:c>
      <x:c r="C9" t="str">
        <x:v>R1</x:v>
      </x:c>
      <x:c r="D9" t="str">
        <x:v>0–30</x:v>
      </x:c>
      <x:c r="E9" t="n">
        <x:v>0.625</x:v>
      </x:c>
      <x:c r="F9" t="n">
        <x:v>12</x:v>
      </x:c>
      <x:c r="G9" t="n">
        <x:v>2</x:v>
      </x:c>
      <x:c r="H9" s="127" t="n">
        <x:f>MIC_Harmonized!G9</x:f>
        <x:v>0.2691292875989446</x:v>
      </x:c>
      <x:c r="I9" s="127" t="n">
        <x:v>92.08</x:v>
      </x:c>
      <x:c r="J9" s="127" t="n">
        <x:v>74.88</x:v>
      </x:c>
      <x:c r="K9" s="127" t="n">
        <x:v>74.86500000000001</x:v>
      </x:c>
      <x:c r="L9" s="127" t="n">
        <x:f>H9*I9/100</x:f>
        <x:v>0.24781424802110819</x:v>
      </x:c>
      <x:c r="M9" s="127" t="n">
        <x:f>H9*J9/100</x:f>
        <x:v>0.20152401055408972</x:v>
      </x:c>
      <x:c r="N9" s="127" t="n">
        <x:f>H9*K9/100</x:f>
        <x:v>0.2014836411609499</x:v>
      </x:c>
      <x:c r="O9" t="str">
        <x:v>Lee et al. 2022, IJAA 60:106679, Table 3</x:v>
      </x:c>
    </x:row>
    <x:row r="10">
      <x:c r="A10" t="str">
        <x:v>LEE2022_KPC_KP</x:v>
      </x:c>
      <x:c r="B10" t="str">
        <x:v>PRIMARY</x:v>
      </x:c>
      <x:c r="C10" t="str">
        <x:v>R1</x:v>
      </x:c>
      <x:c r="D10" t="str">
        <x:v>0–30</x:v>
      </x:c>
      <x:c r="E10" t="n">
        <x:v>0.625</x:v>
      </x:c>
      <x:c r="F10" t="n">
        <x:v>12</x:v>
      </x:c>
      <x:c r="G10" t="n">
        <x:v>4</x:v>
      </x:c>
      <x:c r="H10" s="127" t="n">
        <x:f>MIC_Harmonized!G10</x:f>
        <x:v>0.08443271767810026</x:v>
      </x:c>
      <x:c r="I10" s="127" t="n">
        <x:v>68.575</x:v>
      </x:c>
      <x:c r="J10" s="127" t="n">
        <x:v>74.88</x:v>
      </x:c>
      <x:c r="K10" s="127" t="n">
        <x:v>67.045</x:v>
      </x:c>
      <x:c r="L10" s="127" t="n">
        <x:f>H10*I10/100</x:f>
        <x:v>0.05789973614775725</x:v>
      </x:c>
      <x:c r="M10" s="127" t="n">
        <x:f>H10*J10/100</x:f>
        <x:v>0.06322321899736147</x:v>
      </x:c>
      <x:c r="N10" s="127" t="n">
        <x:f>H10*K10/100</x:f>
        <x:v>0.05660791556728232</x:v>
      </x:c>
      <x:c r="O10" t="str">
        <x:v>Lee et al. 2022, IJAA 60:106679, Table 3</x:v>
      </x:c>
    </x:row>
    <x:row r="11">
      <x:c r="A11" t="str">
        <x:v>LEE2022_KPC_KP</x:v>
      </x:c>
      <x:c r="B11" t="str">
        <x:v>PRIMARY</x:v>
      </x:c>
      <x:c r="C11" t="str">
        <x:v>R1</x:v>
      </x:c>
      <x:c r="D11" t="str">
        <x:v>0–30</x:v>
      </x:c>
      <x:c r="E11" t="n">
        <x:v>0.625</x:v>
      </x:c>
      <x:c r="F11" t="n">
        <x:v>12</x:v>
      </x:c>
      <x:c r="G11" t="n">
        <x:v>8</x:v>
      </x:c>
      <x:c r="H11" s="127" t="n">
        <x:f>MIC_Harmonized!G11</x:f>
        <x:v>0.010554089709762533</x:v>
      </x:c>
      <x:c r="I11" s="127" t="n">
        <x:v>35.775</x:v>
      </x:c>
      <x:c r="J11" s="127" t="n">
        <x:v>74.88</x:v>
      </x:c>
      <x:c r="K11" s="127" t="n">
        <x:v>35.775</x:v>
      </x:c>
      <x:c r="L11" s="127" t="n">
        <x:f>H11*I11/100</x:f>
        <x:v>0.003775725593667546</x:v>
      </x:c>
      <x:c r="M11" s="127" t="n">
        <x:f>H11*J11/100</x:f>
        <x:v>0.007902902374670184</x:v>
      </x:c>
      <x:c r="N11" s="127" t="n">
        <x:f>H11*K11/100</x:f>
        <x:v>0.003775725593667546</x:v>
      </x:c>
      <x:c r="O11" t="str">
        <x:v>Lee et al. 2022, IJAA 60:106679, Table 3</x:v>
      </x:c>
    </x:row>
    <x:row r="12">
      <x:c r="A12" t="str">
        <x:v>LEE2022_KPC_KP</x:v>
      </x:c>
      <x:c r="B12" t="str">
        <x:v>PRIMARY</x:v>
      </x:c>
      <x:c r="C12" t="str">
        <x:v>R1</x:v>
      </x:c>
      <x:c r="D12" t="str">
        <x:v>0–30</x:v>
      </x:c>
      <x:c r="E12" t="n">
        <x:v>0.625</x:v>
      </x:c>
      <x:c r="F12" t="n">
        <x:v>12</x:v>
      </x:c>
      <x:c r="G12" t="n">
        <x:v>16</x:v>
      </x:c>
      <x:c r="H12" s="127" t="n">
        <x:f>MIC_Harmonized!G12</x:f>
        <x:v>0.002638522427440633</x:v>
      </x:c>
      <x:c r="I12" s="127" t="n">
        <x:v>14.344999999999999</x:v>
      </x:c>
      <x:c r="J12" s="127" t="n">
        <x:v>74.88</x:v>
      </x:c>
      <x:c r="K12" s="127" t="n">
        <x:v>14.344999999999999</x:v>
      </x:c>
      <x:c r="L12" s="127" t="n">
        <x:f>H12*I12/100</x:f>
        <x:v>0.0003784960422163588</x:v>
      </x:c>
      <x:c r="M12" s="127" t="n">
        <x:f>H12*J12/100</x:f>
        <x:v>0.001975725593667546</x:v>
      </x:c>
      <x:c r="N12" s="127" t="n">
        <x:f>H12*K12/100</x:f>
        <x:v>0.0003784960422163588</x:v>
      </x:c>
      <x:c r="O12" t="str">
        <x:v>Lee et al. 2022, IJAA 60:106679, Table 3</x:v>
      </x:c>
    </x:row>
    <x:row r="13">
      <x:c r="A13" t="str">
        <x:v>LEE2022_KPC_KP</x:v>
      </x:c>
      <x:c r="B13" t="str">
        <x:v>PRIMARY</x:v>
      </x:c>
      <x:c r="C13" t="str">
        <x:v>R1</x:v>
      </x:c>
      <x:c r="D13" t="str">
        <x:v>0–30</x:v>
      </x:c>
      <x:c r="E13" t="n">
        <x:v>0.625</x:v>
      </x:c>
      <x:c r="F13" t="n">
        <x:v>12</x:v>
      </x:c>
      <x:c r="G13" t="n">
        <x:v>32</x:v>
      </x:c>
      <x:c r="H13" s="127" t="n">
        <x:f>MIC_Harmonized!G13</x:f>
        <x:v>0</x:v>
      </x:c>
      <x:c r="I13" s="127" t="n">
        <x:v>4.984999999999999</x:v>
      </x:c>
      <x:c r="J13" s="127" t="n">
        <x:v>74.88</x:v>
      </x:c>
      <x:c r="K13" s="127" t="n">
        <x:v>4.984999999999999</x:v>
      </x:c>
      <x:c r="L13" s="127" t="n">
        <x:f>H13*I13/100</x:f>
        <x:v>0</x:v>
      </x:c>
      <x:c r="M13" s="127" t="n">
        <x:f>H13*J13/100</x:f>
        <x:v>0</x:v>
      </x:c>
      <x:c r="N13" s="127" t="n">
        <x:f>H13*K13/100</x:f>
        <x:v>0</x:v>
      </x:c>
      <x:c r="O13" t="str">
        <x:v>Lee et al. 2022, IJAA 60:106679, Table 3</x:v>
      </x:c>
    </x:row>
    <x:row r="14">
      <x:c r="A14" t="str">
        <x:v>LEE2022_KPC_KP</x:v>
      </x:c>
      <x:c r="B14" t="str">
        <x:v>PRIMARY</x:v>
      </x:c>
      <x:c r="C14" t="str">
        <x:v>R1</x:v>
      </x:c>
      <x:c r="D14" t="str">
        <x:v>0–30</x:v>
      </x:c>
      <x:c r="E14" t="n">
        <x:v>0.625</x:v>
      </x:c>
      <x:c r="F14" t="n">
        <x:v>12</x:v>
      </x:c>
      <x:c r="G14" t="n">
        <x:v>64</x:v>
      </x:c>
      <x:c r="H14" s="127" t="n">
        <x:f>MIC_Harmonized!G14</x:f>
        <x:v>0.002638522427440633</x:v>
      </x:c>
      <x:c r="I14" s="127" t="n">
        <x:v>1.7399999999999998</x:v>
      </x:c>
      <x:c r="J14" s="127" t="n">
        <x:v>74.88</x:v>
      </x:c>
      <x:c r="K14" s="127" t="n">
        <x:v>1.7399999999999998</x:v>
      </x:c>
      <x:c r="L14" s="127" t="n">
        <x:f>H14*I14/100</x:f>
        <x:v>0.00004591029023746701</x:v>
      </x:c>
      <x:c r="M14" s="127" t="n">
        <x:f>H14*J14/100</x:f>
        <x:v>0.001975725593667546</x:v>
      </x:c>
      <x:c r="N14" s="127" t="n">
        <x:f>H14*K14/100</x:f>
        <x:v>0.00004591029023746701</x:v>
      </x:c>
      <x:c r="O14" t="str">
        <x:v>Lee et al. 2022, IJAA 60:106679, Table 3</x:v>
      </x:c>
    </x:row>
    <x:row r="15">
      <x:c r="A15" t="str">
        <x:v>LEE2022_KPC_KP</x:v>
      </x:c>
      <x:c r="B15" t="str">
        <x:v>PRIMARY</x:v>
      </x:c>
      <x:c r="C15" t="str">
        <x:v>R2</x:v>
      </x:c>
      <x:c r="D15" t="str">
        <x:v>0–30</x:v>
      </x:c>
      <x:c r="E15" t="n">
        <x:v>0.625</x:v>
      </x:c>
      <x:c r="F15" t="n">
        <x:v>8</x:v>
      </x:c>
      <x:c r="G15" t="n">
        <x:v>0.0625</x:v>
      </x:c>
      <x:c r="H15" s="127" t="n">
        <x:f>MIC_Harmonized!G4</x:f>
        <x:v>0.013192612137203167</x:v>
      </x:c>
      <x:c r="I15" s="127" t="n">
        <x:v>100</x:v>
      </x:c>
      <x:c r="J15" s="127" t="n">
        <x:v>87.38</x:v>
      </x:c>
      <x:c r="K15" s="127" t="n">
        <x:v>87.38</x:v>
      </x:c>
      <x:c r="L15" s="127" t="n">
        <x:f>H15*I15/100</x:f>
        <x:v>0.013192612137203165</x:v>
      </x:c>
      <x:c r="M15" s="127" t="n">
        <x:f>H15*J15/100</x:f>
        <x:v>0.011527704485488127</x:v>
      </x:c>
      <x:c r="N15" s="127" t="n">
        <x:f>H15*K15/100</x:f>
        <x:v>0.011527704485488127</x:v>
      </x:c>
      <x:c r="O15" t="str">
        <x:v>Lee et al. 2022, IJAA 60:106679, Table 3</x:v>
      </x:c>
    </x:row>
    <x:row r="16">
      <x:c r="A16" t="str">
        <x:v>LEE2022_KPC_KP</x:v>
      </x:c>
      <x:c r="B16" t="str">
        <x:v>PRIMARY</x:v>
      </x:c>
      <x:c r="C16" t="str">
        <x:v>R2</x:v>
      </x:c>
      <x:c r="D16" t="str">
        <x:v>0–30</x:v>
      </x:c>
      <x:c r="E16" t="n">
        <x:v>0.625</x:v>
      </x:c>
      <x:c r="F16" t="n">
        <x:v>8</x:v>
      </x:c>
      <x:c r="G16" t="n">
        <x:v>0.125</x:v>
      </x:c>
      <x:c r="H16" s="127" t="n">
        <x:f>MIC_Harmonized!G5</x:f>
        <x:v>0.005277044854881266</x:v>
      </x:c>
      <x:c r="I16" s="127" t="n">
        <x:v>100</x:v>
      </x:c>
      <x:c r="J16" s="127" t="n">
        <x:v>87.38</x:v>
      </x:c>
      <x:c r="K16" s="127" t="n">
        <x:v>87.38</x:v>
      </x:c>
      <x:c r="L16" s="127" t="n">
        <x:f>H16*I16/100</x:f>
        <x:v>0.005277044854881266</x:v>
      </x:c>
      <x:c r="M16" s="127" t="n">
        <x:f>H16*J16/100</x:f>
        <x:v>0.004611081794195251</x:v>
      </x:c>
      <x:c r="N16" s="127" t="n">
        <x:f>H16*K16/100</x:f>
        <x:v>0.004611081794195251</x:v>
      </x:c>
      <x:c r="O16" t="str">
        <x:v>Lee et al. 2022, IJAA 60:106679, Table 3</x:v>
      </x:c>
    </x:row>
    <x:row r="17">
      <x:c r="A17" t="str">
        <x:v>LEE2022_KPC_KP</x:v>
      </x:c>
      <x:c r="B17" t="str">
        <x:v>PRIMARY</x:v>
      </x:c>
      <x:c r="C17" t="str">
        <x:v>R2</x:v>
      </x:c>
      <x:c r="D17" t="str">
        <x:v>0–30</x:v>
      </x:c>
      <x:c r="E17" t="n">
        <x:v>0.625</x:v>
      </x:c>
      <x:c r="F17" t="n">
        <x:v>8</x:v>
      </x:c>
      <x:c r="G17" t="n">
        <x:v>0.25</x:v>
      </x:c>
      <x:c r="H17" s="127" t="n">
        <x:f>MIC_Harmonized!G6</x:f>
        <x:v>0.044854881266490766</x:v>
      </x:c>
      <x:c r="I17" s="127" t="n">
        <x:v>100</x:v>
      </x:c>
      <x:c r="J17" s="127" t="n">
        <x:v>87.38</x:v>
      </x:c>
      <x:c r="K17" s="127" t="n">
        <x:v>87.38</x:v>
      </x:c>
      <x:c r="L17" s="127" t="n">
        <x:f>H17*I17/100</x:f>
        <x:v>0.04485488126649076</x:v>
      </x:c>
      <x:c r="M17" s="127" t="n">
        <x:f>H17*J17/100</x:f>
        <x:v>0.03919419525065963</x:v>
      </x:c>
      <x:c r="N17" s="127" t="n">
        <x:f>H17*K17/100</x:f>
        <x:v>0.03919419525065963</x:v>
      </x:c>
      <x:c r="O17" t="str">
        <x:v>Lee et al. 2022, IJAA 60:106679, Table 3</x:v>
      </x:c>
    </x:row>
    <x:row r="18">
      <x:c r="A18" t="str">
        <x:v>LEE2022_KPC_KP</x:v>
      </x:c>
      <x:c r="B18" t="str">
        <x:v>PRIMARY</x:v>
      </x:c>
      <x:c r="C18" t="str">
        <x:v>R2</x:v>
      </x:c>
      <x:c r="D18" t="str">
        <x:v>0–30</x:v>
      </x:c>
      <x:c r="E18" t="n">
        <x:v>0.625</x:v>
      </x:c>
      <x:c r="F18" t="n">
        <x:v>8</x:v>
      </x:c>
      <x:c r="G18" t="n">
        <x:v>0.5</x:v>
      </x:c>
      <x:c r="H18" s="127" t="n">
        <x:f>MIC_Harmonized!G7</x:f>
        <x:v>0.1741424802110818</x:v>
      </x:c>
      <x:c r="I18" s="127" t="n">
        <x:v>100</x:v>
      </x:c>
      <x:c r="J18" s="127" t="n">
        <x:v>87.38</x:v>
      </x:c>
      <x:c r="K18" s="127" t="n">
        <x:v>87.38</x:v>
      </x:c>
      <x:c r="L18" s="127" t="n">
        <x:f>H18*I18/100</x:f>
        <x:v>0.17414248021108178</x:v>
      </x:c>
      <x:c r="M18" s="127" t="n">
        <x:f>H18*J18/100</x:f>
        <x:v>0.15216569920844328</x:v>
      </x:c>
      <x:c r="N18" s="127" t="n">
        <x:f>H18*K18/100</x:f>
        <x:v>0.15216569920844328</x:v>
      </x:c>
      <x:c r="O18" t="str">
        <x:v>Lee et al. 2022, IJAA 60:106679, Table 3</x:v>
      </x:c>
    </x:row>
    <x:row r="19">
      <x:c r="A19" t="str">
        <x:v>LEE2022_KPC_KP</x:v>
      </x:c>
      <x:c r="B19" t="str">
        <x:v>PRIMARY</x:v>
      </x:c>
      <x:c r="C19" t="str">
        <x:v>R2</x:v>
      </x:c>
      <x:c r="D19" t="str">
        <x:v>0–30</x:v>
      </x:c>
      <x:c r="E19" t="n">
        <x:v>0.625</x:v>
      </x:c>
      <x:c r="F19" t="n">
        <x:v>8</x:v>
      </x:c>
      <x:c r="G19" t="n">
        <x:v>1</x:v>
      </x:c>
      <x:c r="H19" s="127" t="n">
        <x:f>MIC_Harmonized!G8</x:f>
        <x:v>0.39313984168865435</x:v>
      </x:c>
      <x:c r="I19" s="127" t="n">
        <x:v>99.88</x:v>
      </x:c>
      <x:c r="J19" s="127" t="n">
        <x:v>87.38</x:v>
      </x:c>
      <x:c r="K19" s="127" t="n">
        <x:v>87.38</x:v>
      </x:c>
      <x:c r="L19" s="127" t="n">
        <x:f>H19*I19/100</x:f>
        <x:v>0.3926680738786279</x:v>
      </x:c>
      <x:c r="M19" s="127" t="n">
        <x:f>H19*J19/100</x:f>
        <x:v>0.3435255936675461</x:v>
      </x:c>
      <x:c r="N19" s="127" t="n">
        <x:f>H19*K19/100</x:f>
        <x:v>0.3435255936675461</x:v>
      </x:c>
      <x:c r="O19" t="str">
        <x:v>Lee et al. 2022, IJAA 60:106679, Table 3</x:v>
      </x:c>
    </x:row>
    <x:row r="20">
      <x:c r="A20" t="str">
        <x:v>LEE2022_KPC_KP</x:v>
      </x:c>
      <x:c r="B20" t="str">
        <x:v>PRIMARY</x:v>
      </x:c>
      <x:c r="C20" t="str">
        <x:v>R2</x:v>
      </x:c>
      <x:c r="D20" t="str">
        <x:v>0–30</x:v>
      </x:c>
      <x:c r="E20" t="n">
        <x:v>0.625</x:v>
      </x:c>
      <x:c r="F20" t="n">
        <x:v>8</x:v>
      </x:c>
      <x:c r="G20" t="n">
        <x:v>2</x:v>
      </x:c>
      <x:c r="H20" s="127" t="n">
        <x:f>MIC_Harmonized!G9</x:f>
        <x:v>0.2691292875989446</x:v>
      </x:c>
      <x:c r="I20" s="127" t="n">
        <x:v>97.63</x:v>
      </x:c>
      <x:c r="J20" s="127" t="n">
        <x:v>87.38</x:v>
      </x:c>
      <x:c r="K20" s="127" t="n">
        <x:v>87.38</x:v>
      </x:c>
      <x:c r="L20" s="127" t="n">
        <x:f>H20*I20/100</x:f>
        <x:v>0.2627509234828496</x:v>
      </x:c>
      <x:c r="M20" s="127" t="n">
        <x:f>H20*J20/100</x:f>
        <x:v>0.23516517150395777</x:v>
      </x:c>
      <x:c r="N20" s="127" t="n">
        <x:f>H20*K20/100</x:f>
        <x:v>0.23516517150395777</x:v>
      </x:c>
      <x:c r="O20" t="str">
        <x:v>Lee et al. 2022, IJAA 60:106679, Table 3</x:v>
      </x:c>
    </x:row>
    <x:row r="21">
      <x:c r="A21" t="str">
        <x:v>LEE2022_KPC_KP</x:v>
      </x:c>
      <x:c r="B21" t="str">
        <x:v>PRIMARY</x:v>
      </x:c>
      <x:c r="C21" t="str">
        <x:v>R2</x:v>
      </x:c>
      <x:c r="D21" t="str">
        <x:v>0–30</x:v>
      </x:c>
      <x:c r="E21" t="n">
        <x:v>0.625</x:v>
      </x:c>
      <x:c r="F21" t="n">
        <x:v>8</x:v>
      </x:c>
      <x:c r="G21" t="n">
        <x:v>4</x:v>
      </x:c>
      <x:c r="H21" s="127" t="n">
        <x:f>MIC_Harmonized!G10</x:f>
        <x:v>0.08443271767810026</x:v>
      </x:c>
      <x:c r="I21" s="127" t="n">
        <x:v>84.53</x:v>
      </x:c>
      <x:c r="J21" s="127" t="n">
        <x:v>87.38</x:v>
      </x:c>
      <x:c r="K21" s="127" t="n">
        <x:v>83.095</x:v>
      </x:c>
      <x:c r="L21" s="127" t="n">
        <x:f>H21*I21/100</x:f>
        <x:v>0.07137097625329815</x:v>
      </x:c>
      <x:c r="M21" s="127" t="n">
        <x:f>H21*J21/100</x:f>
        <x:v>0.07377730870712401</x:v>
      </x:c>
      <x:c r="N21" s="127" t="n">
        <x:f>H21*K21/100</x:f>
        <x:v>0.07015936675461741</x:v>
      </x:c>
      <x:c r="O21" t="str">
        <x:v>Lee et al. 2022, IJAA 60:106679, Table 3</x:v>
      </x:c>
    </x:row>
    <x:row r="22">
      <x:c r="A22" t="str">
        <x:v>LEE2022_KPC_KP</x:v>
      </x:c>
      <x:c r="B22" t="str">
        <x:v>PRIMARY</x:v>
      </x:c>
      <x:c r="C22" t="str">
        <x:v>R2</x:v>
      </x:c>
      <x:c r="D22" t="str">
        <x:v>0–30</x:v>
      </x:c>
      <x:c r="E22" t="n">
        <x:v>0.625</x:v>
      </x:c>
      <x:c r="F22" t="n">
        <x:v>8</x:v>
      </x:c>
      <x:c r="G22" t="n">
        <x:v>8</x:v>
      </x:c>
      <x:c r="H22" s="127" t="n">
        <x:f>MIC_Harmonized!G11</x:f>
        <x:v>0.010554089709762533</x:v>
      </x:c>
      <x:c r="I22" s="127" t="n">
        <x:v>54.510000000000005</x:v>
      </x:c>
      <x:c r="J22" s="127" t="n">
        <x:v>87.38</x:v>
      </x:c>
      <x:c r="K22" s="127" t="n">
        <x:v>54.510000000000005</x:v>
      </x:c>
      <x:c r="L22" s="127" t="n">
        <x:f>H22*I22/100</x:f>
        <x:v>0.005753034300791557</x:v>
      </x:c>
      <x:c r="M22" s="127" t="n">
        <x:f>H22*J22/100</x:f>
        <x:v>0.009222163588390501</x:v>
      </x:c>
      <x:c r="N22" s="127" t="n">
        <x:f>H22*K22/100</x:f>
        <x:v>0.005753034300791557</x:v>
      </x:c>
      <x:c r="O22" t="str">
        <x:v>Lee et al. 2022, IJAA 60:106679, Table 3</x:v>
      </x:c>
    </x:row>
    <x:row r="23">
      <x:c r="A23" t="str">
        <x:v>LEE2022_KPC_KP</x:v>
      </x:c>
      <x:c r="B23" t="str">
        <x:v>PRIMARY</x:v>
      </x:c>
      <x:c r="C23" t="str">
        <x:v>R2</x:v>
      </x:c>
      <x:c r="D23" t="str">
        <x:v>0–30</x:v>
      </x:c>
      <x:c r="E23" t="n">
        <x:v>0.625</x:v>
      </x:c>
      <x:c r="F23" t="n">
        <x:v>8</x:v>
      </x:c>
      <x:c r="G23" t="n">
        <x:v>16</x:v>
      </x:c>
      <x:c r="H23" s="127" t="n">
        <x:f>MIC_Harmonized!G12</x:f>
        <x:v>0.002638522427440633</x:v>
      </x:c>
      <x:c r="I23" s="127" t="n">
        <x:v>24.775</x:v>
      </x:c>
      <x:c r="J23" s="127" t="n">
        <x:v>87.38</x:v>
      </x:c>
      <x:c r="K23" s="127" t="n">
        <x:v>24.775</x:v>
      </x:c>
      <x:c r="L23" s="127" t="n">
        <x:f>H23*I23/100</x:f>
        <x:v>0.0006536939313984167</x:v>
      </x:c>
      <x:c r="M23" s="127" t="n">
        <x:f>H23*J23/100</x:f>
        <x:v>0.0023055408970976254</x:v>
      </x:c>
      <x:c r="N23" s="127" t="n">
        <x:f>H23*K23/100</x:f>
        <x:v>0.0006536939313984167</x:v>
      </x:c>
      <x:c r="O23" t="str">
        <x:v>Lee et al. 2022, IJAA 60:106679, Table 3</x:v>
      </x:c>
    </x:row>
    <x:row r="24">
      <x:c r="A24" t="str">
        <x:v>LEE2022_KPC_KP</x:v>
      </x:c>
      <x:c r="B24" t="str">
        <x:v>PRIMARY</x:v>
      </x:c>
      <x:c r="C24" t="str">
        <x:v>R2</x:v>
      </x:c>
      <x:c r="D24" t="str">
        <x:v>0–30</x:v>
      </x:c>
      <x:c r="E24" t="n">
        <x:v>0.625</x:v>
      </x:c>
      <x:c r="F24" t="n">
        <x:v>8</x:v>
      </x:c>
      <x:c r="G24" t="n">
        <x:v>32</x:v>
      </x:c>
      <x:c r="H24" s="127" t="n">
        <x:f>MIC_Harmonized!G13</x:f>
        <x:v>0</x:v>
      </x:c>
      <x:c r="I24" s="127" t="n">
        <x:v>9.47</x:v>
      </x:c>
      <x:c r="J24" s="127" t="n">
        <x:v>87.38</x:v>
      </x:c>
      <x:c r="K24" s="127" t="n">
        <x:v>9.47</x:v>
      </x:c>
      <x:c r="L24" s="127" t="n">
        <x:f>H24*I24/100</x:f>
        <x:v>0</x:v>
      </x:c>
      <x:c r="M24" s="127" t="n">
        <x:f>H24*J24/100</x:f>
        <x:v>0</x:v>
      </x:c>
      <x:c r="N24" s="127" t="n">
        <x:f>H24*K24/100</x:f>
        <x:v>0</x:v>
      </x:c>
      <x:c r="O24" t="str">
        <x:v>Lee et al. 2022, IJAA 60:106679, Table 3</x:v>
      </x:c>
    </x:row>
    <x:row r="25">
      <x:c r="A25" t="str">
        <x:v>LEE2022_KPC_KP</x:v>
      </x:c>
      <x:c r="B25" t="str">
        <x:v>PRIMARY</x:v>
      </x:c>
      <x:c r="C25" t="str">
        <x:v>R2</x:v>
      </x:c>
      <x:c r="D25" t="str">
        <x:v>0–30</x:v>
      </x:c>
      <x:c r="E25" t="n">
        <x:v>0.625</x:v>
      </x:c>
      <x:c r="F25" t="n">
        <x:v>8</x:v>
      </x:c>
      <x:c r="G25" t="n">
        <x:v>64</x:v>
      </x:c>
      <x:c r="H25" s="127" t="n">
        <x:f>MIC_Harmonized!G14</x:f>
        <x:v>0.002638522427440633</x:v>
      </x:c>
      <x:c r="I25" s="127" t="n">
        <x:v>3.3099999999999996</x:v>
      </x:c>
      <x:c r="J25" s="127" t="n">
        <x:v>87.38</x:v>
      </x:c>
      <x:c r="K25" s="127" t="n">
        <x:v>3.3099999999999996</x:v>
      </x:c>
      <x:c r="L25" s="127" t="n">
        <x:f>H25*I25/100</x:f>
        <x:v>0.00008733509234828493</x:v>
      </x:c>
      <x:c r="M25" s="127" t="n">
        <x:f>H25*J25/100</x:f>
        <x:v>0.0023055408970976254</x:v>
      </x:c>
      <x:c r="N25" s="127" t="n">
        <x:f>H25*K25/100</x:f>
        <x:v>0.00008733509234828493</x:v>
      </x:c>
      <x:c r="O25" t="str">
        <x:v>Lee et al. 2022, IJAA 60:106679, Table 3</x:v>
      </x:c>
    </x:row>
    <x:row r="26">
      <x:c r="A26" t="str">
        <x:v>LEE2022_KPC_KP</x:v>
      </x:c>
      <x:c r="B26" t="str">
        <x:v>PRIMARY</x:v>
      </x:c>
      <x:c r="C26" t="str">
        <x:v>R5</x:v>
      </x:c>
      <x:c r="D26" t="str">
        <x:v>31–60</x:v>
      </x:c>
      <x:c r="E26" t="n">
        <x:v>0.625</x:v>
      </x:c>
      <x:c r="F26" t="n">
        <x:v>8</x:v>
      </x:c>
      <x:c r="G26" t="n">
        <x:v>0.0625</x:v>
      </x:c>
      <x:c r="H26" s="127" t="n">
        <x:f>MIC_Harmonized!G4</x:f>
        <x:v>0.013192612137203167</x:v>
      </x:c>
      <x:c r="I26" s="127" t="n">
        <x:v>100</x:v>
      </x:c>
      <x:c r="J26" s="127" t="n">
        <x:v>44.964999999999996</x:v>
      </x:c>
      <x:c r="K26" s="127" t="n">
        <x:v>44.964999999999996</x:v>
      </x:c>
      <x:c r="L26" s="127" t="n">
        <x:f>H26*I26/100</x:f>
        <x:v>0.013192612137203165</x:v>
      </x:c>
      <x:c r="M26" s="127" t="n">
        <x:f>H26*J26/100</x:f>
        <x:v>0.005932058047493404</x:v>
      </x:c>
      <x:c r="N26" s="127" t="n">
        <x:f>H26*K26/100</x:f>
        <x:v>0.005932058047493404</x:v>
      </x:c>
      <x:c r="O26" t="str">
        <x:v>Lee et al. 2022, IJAA 60:106679, Table 3</x:v>
      </x:c>
    </x:row>
    <x:row r="27">
      <x:c r="A27" t="str">
        <x:v>LEE2022_KPC_KP</x:v>
      </x:c>
      <x:c r="B27" t="str">
        <x:v>PRIMARY</x:v>
      </x:c>
      <x:c r="C27" t="str">
        <x:v>R5</x:v>
      </x:c>
      <x:c r="D27" t="str">
        <x:v>31–60</x:v>
      </x:c>
      <x:c r="E27" t="n">
        <x:v>0.625</x:v>
      </x:c>
      <x:c r="F27" t="n">
        <x:v>8</x:v>
      </x:c>
      <x:c r="G27" t="n">
        <x:v>0.125</x:v>
      </x:c>
      <x:c r="H27" s="127" t="n">
        <x:f>MIC_Harmonized!G5</x:f>
        <x:v>0.005277044854881266</x:v>
      </x:c>
      <x:c r="I27" s="127" t="n">
        <x:v>100</x:v>
      </x:c>
      <x:c r="J27" s="127" t="n">
        <x:v>44.964999999999996</x:v>
      </x:c>
      <x:c r="K27" s="127" t="n">
        <x:v>44.964999999999996</x:v>
      </x:c>
      <x:c r="L27" s="127" t="n">
        <x:f>H27*I27/100</x:f>
        <x:v>0.005277044854881266</x:v>
      </x:c>
      <x:c r="M27" s="127" t="n">
        <x:f>H27*J27/100</x:f>
        <x:v>0.002372823218997361</x:v>
      </x:c>
      <x:c r="N27" s="127" t="n">
        <x:f>H27*K27/100</x:f>
        <x:v>0.002372823218997361</x:v>
      </x:c>
      <x:c r="O27" t="str">
        <x:v>Lee et al. 2022, IJAA 60:106679, Table 3</x:v>
      </x:c>
    </x:row>
    <x:row r="28">
      <x:c r="A28" t="str">
        <x:v>LEE2022_KPC_KP</x:v>
      </x:c>
      <x:c r="B28" t="str">
        <x:v>PRIMARY</x:v>
      </x:c>
      <x:c r="C28" t="str">
        <x:v>R5</x:v>
      </x:c>
      <x:c r="D28" t="str">
        <x:v>31–60</x:v>
      </x:c>
      <x:c r="E28" t="n">
        <x:v>0.625</x:v>
      </x:c>
      <x:c r="F28" t="n">
        <x:v>8</x:v>
      </x:c>
      <x:c r="G28" t="n">
        <x:v>0.25</x:v>
      </x:c>
      <x:c r="H28" s="127" t="n">
        <x:f>MIC_Harmonized!G6</x:f>
        <x:v>0.044854881266490766</x:v>
      </x:c>
      <x:c r="I28" s="127" t="n">
        <x:v>100</x:v>
      </x:c>
      <x:c r="J28" s="127" t="n">
        <x:v>44.964999999999996</x:v>
      </x:c>
      <x:c r="K28" s="127" t="n">
        <x:v>44.964999999999996</x:v>
      </x:c>
      <x:c r="L28" s="127" t="n">
        <x:f>H28*I28/100</x:f>
        <x:v>0.04485488126649076</x:v>
      </x:c>
      <x:c r="M28" s="127" t="n">
        <x:f>H28*J28/100</x:f>
        <x:v>0.02016899736147757</x:v>
      </x:c>
      <x:c r="N28" s="127" t="n">
        <x:f>H28*K28/100</x:f>
        <x:v>0.02016899736147757</x:v>
      </x:c>
      <x:c r="O28" t="str">
        <x:v>Lee et al. 2022, IJAA 60:106679, Table 3</x:v>
      </x:c>
    </x:row>
    <x:row r="29">
      <x:c r="A29" t="str">
        <x:v>LEE2022_KPC_KP</x:v>
      </x:c>
      <x:c r="B29" t="str">
        <x:v>PRIMARY</x:v>
      </x:c>
      <x:c r="C29" t="str">
        <x:v>R5</x:v>
      </x:c>
      <x:c r="D29" t="str">
        <x:v>31–60</x:v>
      </x:c>
      <x:c r="E29" t="n">
        <x:v>0.625</x:v>
      </x:c>
      <x:c r="F29" t="n">
        <x:v>8</x:v>
      </x:c>
      <x:c r="G29" t="n">
        <x:v>0.5</x:v>
      </x:c>
      <x:c r="H29" s="127" t="n">
        <x:f>MIC_Harmonized!G7</x:f>
        <x:v>0.1741424802110818</x:v>
      </x:c>
      <x:c r="I29" s="127" t="n">
        <x:v>99.935</x:v>
      </x:c>
      <x:c r="J29" s="127" t="n">
        <x:v>44.964999999999996</x:v>
      </x:c>
      <x:c r="K29" s="127" t="n">
        <x:v>44.964999999999996</x:v>
      </x:c>
      <x:c r="L29" s="127" t="n">
        <x:f>H29*I29/100</x:f>
        <x:v>0.17402928759894462</x:v>
      </x:c>
      <x:c r="M29" s="127" t="n">
        <x:f>H29*J29/100</x:f>
        <x:v>0.07830316622691293</x:v>
      </x:c>
      <x:c r="N29" s="127" t="n">
        <x:f>H29*K29/100</x:f>
        <x:v>0.07830316622691293</x:v>
      </x:c>
      <x:c r="O29" t="str">
        <x:v>Lee et al. 2022, IJAA 60:106679, Table 3</x:v>
      </x:c>
    </x:row>
    <x:row r="30">
      <x:c r="A30" t="str">
        <x:v>LEE2022_KPC_KP</x:v>
      </x:c>
      <x:c r="B30" t="str">
        <x:v>PRIMARY</x:v>
      </x:c>
      <x:c r="C30" t="str">
        <x:v>R5</x:v>
      </x:c>
      <x:c r="D30" t="str">
        <x:v>31–60</x:v>
      </x:c>
      <x:c r="E30" t="n">
        <x:v>0.625</x:v>
      </x:c>
      <x:c r="F30" t="n">
        <x:v>8</x:v>
      </x:c>
      <x:c r="G30" t="n">
        <x:v>1</x:v>
      </x:c>
      <x:c r="H30" s="127" t="n">
        <x:f>MIC_Harmonized!G8</x:f>
        <x:v>0.39313984168865435</x:v>
      </x:c>
      <x:c r="I30" s="127" t="n">
        <x:v>97.875</x:v>
      </x:c>
      <x:c r="J30" s="127" t="n">
        <x:v>44.964999999999996</x:v>
      </x:c>
      <x:c r="K30" s="127" t="n">
        <x:v>44.964999999999996</x:v>
      </x:c>
      <x:c r="L30" s="127" t="n">
        <x:f>H30*I30/100</x:f>
        <x:v>0.3847856200527704</x:v>
      </x:c>
      <x:c r="M30" s="127" t="n">
        <x:f>H30*J30/100</x:f>
        <x:v>0.17677532981530342</x:v>
      </x:c>
      <x:c r="N30" s="127" t="n">
        <x:f>H30*K30/100</x:f>
        <x:v>0.17677532981530342</x:v>
      </x:c>
      <x:c r="O30" t="str">
        <x:v>Lee et al. 2022, IJAA 60:106679, Table 3</x:v>
      </x:c>
    </x:row>
    <x:row r="31">
      <x:c r="A31" t="str">
        <x:v>LEE2022_KPC_KP</x:v>
      </x:c>
      <x:c r="B31" t="str">
        <x:v>PRIMARY</x:v>
      </x:c>
      <x:c r="C31" t="str">
        <x:v>R5</x:v>
      </x:c>
      <x:c r="D31" t="str">
        <x:v>31–60</x:v>
      </x:c>
      <x:c r="E31" t="n">
        <x:v>0.625</x:v>
      </x:c>
      <x:c r="F31" t="n">
        <x:v>8</x:v>
      </x:c>
      <x:c r="G31" t="n">
        <x:v>2</x:v>
      </x:c>
      <x:c r="H31" s="127" t="n">
        <x:f>MIC_Harmonized!G9</x:f>
        <x:v>0.2691292875989446</x:v>
      </x:c>
      <x:c r="I31" s="127" t="n">
        <x:v>82.75</x:v>
      </x:c>
      <x:c r="J31" s="127" t="n">
        <x:v>44.964999999999996</x:v>
      </x:c>
      <x:c r="K31" s="127" t="n">
        <x:v>44.964999999999996</x:v>
      </x:c>
      <x:c r="L31" s="127" t="n">
        <x:f>H31*I31/100</x:f>
        <x:v>0.22270448548812666</x:v>
      </x:c>
      <x:c r="M31" s="127" t="n">
        <x:f>H31*J31/100</x:f>
        <x:v>0.12101398416886543</x:v>
      </x:c>
      <x:c r="N31" s="127" t="n">
        <x:f>H31*K31/100</x:f>
        <x:v>0.12101398416886543</x:v>
      </x:c>
      <x:c r="O31" t="str">
        <x:v>Lee et al. 2022, IJAA 60:106679, Table 3</x:v>
      </x:c>
    </x:row>
    <x:row r="32">
      <x:c r="A32" t="str">
        <x:v>LEE2022_KPC_KP</x:v>
      </x:c>
      <x:c r="B32" t="str">
        <x:v>PRIMARY</x:v>
      </x:c>
      <x:c r="C32" t="str">
        <x:v>R5</x:v>
      </x:c>
      <x:c r="D32" t="str">
        <x:v>31–60</x:v>
      </x:c>
      <x:c r="E32" t="n">
        <x:v>0.625</x:v>
      </x:c>
      <x:c r="F32" t="n">
        <x:v>8</x:v>
      </x:c>
      <x:c r="G32" t="n">
        <x:v>4</x:v>
      </x:c>
      <x:c r="H32" s="127" t="n">
        <x:f>MIC_Harmonized!G10</x:f>
        <x:v>0.08443271767810026</x:v>
      </x:c>
      <x:c r="I32" s="127" t="n">
        <x:v>44.345</x:v>
      </x:c>
      <x:c r="J32" s="127" t="n">
        <x:v>44.964999999999996</x:v>
      </x:c>
      <x:c r="K32" s="127" t="n">
        <x:v>39.28</x:v>
      </x:c>
      <x:c r="L32" s="127" t="n">
        <x:f>H32*I32/100</x:f>
        <x:v>0.03744168865435356</x:v>
      </x:c>
      <x:c r="M32" s="127" t="n">
        <x:f>H32*J32/100</x:f>
        <x:v>0.03796517150395778</x:v>
      </x:c>
      <x:c r="N32" s="127" t="n">
        <x:f>H32*K32/100</x:f>
        <x:v>0.033165171503957785</x:v>
      </x:c>
      <x:c r="O32" t="str">
        <x:v>Lee et al. 2022, IJAA 60:106679, Table 3</x:v>
      </x:c>
    </x:row>
    <x:row r="33">
      <x:c r="A33" t="str">
        <x:v>LEE2022_KPC_KP</x:v>
      </x:c>
      <x:c r="B33" t="str">
        <x:v>PRIMARY</x:v>
      </x:c>
      <x:c r="C33" t="str">
        <x:v>R5</x:v>
      </x:c>
      <x:c r="D33" t="str">
        <x:v>31–60</x:v>
      </x:c>
      <x:c r="E33" t="n">
        <x:v>0.625</x:v>
      </x:c>
      <x:c r="F33" t="n">
        <x:v>8</x:v>
      </x:c>
      <x:c r="G33" t="n">
        <x:v>8</x:v>
      </x:c>
      <x:c r="H33" s="127" t="n">
        <x:f>MIC_Harmonized!G11</x:f>
        <x:v>0.010554089709762533</x:v>
      </x:c>
      <x:c r="I33" s="127" t="n">
        <x:v>10.32</x:v>
      </x:c>
      <x:c r="J33" s="127" t="n">
        <x:v>44.964999999999996</x:v>
      </x:c>
      <x:c r="K33" s="127" t="n">
        <x:v>10.32</x:v>
      </x:c>
      <x:c r="L33" s="127" t="n">
        <x:f>H33*I33/100</x:f>
        <x:v>0.0010891820580474934</x:v>
      </x:c>
      <x:c r="M33" s="127" t="n">
        <x:f>H33*J33/100</x:f>
        <x:v>0.004745646437994722</x:v>
      </x:c>
      <x:c r="N33" s="127" t="n">
        <x:f>H33*K33/100</x:f>
        <x:v>0.0010891820580474934</x:v>
      </x:c>
      <x:c r="O33" t="str">
        <x:v>Lee et al. 2022, IJAA 60:106679, Table 3</x:v>
      </x:c>
    </x:row>
    <x:row r="34">
      <x:c r="A34" t="str">
        <x:v>LEE2022_KPC_KP</x:v>
      </x:c>
      <x:c r="B34" t="str">
        <x:v>PRIMARY</x:v>
      </x:c>
      <x:c r="C34" t="str">
        <x:v>R5</x:v>
      </x:c>
      <x:c r="D34" t="str">
        <x:v>31–60</x:v>
      </x:c>
      <x:c r="E34" t="n">
        <x:v>0.625</x:v>
      </x:c>
      <x:c r="F34" t="n">
        <x:v>8</x:v>
      </x:c>
      <x:c r="G34" t="n">
        <x:v>16</x:v>
      </x:c>
      <x:c r="H34" s="127" t="n">
        <x:f>MIC_Harmonized!G12</x:f>
        <x:v>0.002638522427440633</x:v>
      </x:c>
      <x:c r="I34" s="127" t="n">
        <x:v>1.01</x:v>
      </x:c>
      <x:c r="J34" s="127" t="n">
        <x:v>44.964999999999996</x:v>
      </x:c>
      <x:c r="K34" s="127" t="n">
        <x:v>1.01</x:v>
      </x:c>
      <x:c r="L34" s="127" t="n">
        <x:f>H34*I34/100</x:f>
        <x:v>0.000026649076517150392</x:v>
      </x:c>
      <x:c r="M34" s="127" t="n">
        <x:f>H34*J34/100</x:f>
        <x:v>0.0011864116094986805</x:v>
      </x:c>
      <x:c r="N34" s="127" t="n">
        <x:f>H34*K34/100</x:f>
        <x:v>0.000026649076517150392</x:v>
      </x:c>
      <x:c r="O34" t="str">
        <x:v>Lee et al. 2022, IJAA 60:106679, Table 3</x:v>
      </x:c>
    </x:row>
    <x:row r="35">
      <x:c r="A35" t="str">
        <x:v>LEE2022_KPC_KP</x:v>
      </x:c>
      <x:c r="B35" t="str">
        <x:v>PRIMARY</x:v>
      </x:c>
      <x:c r="C35" t="str">
        <x:v>R5</x:v>
      </x:c>
      <x:c r="D35" t="str">
        <x:v>31–60</x:v>
      </x:c>
      <x:c r="E35" t="n">
        <x:v>0.625</x:v>
      </x:c>
      <x:c r="F35" t="n">
        <x:v>8</x:v>
      </x:c>
      <x:c r="G35" t="n">
        <x:v>32</x:v>
      </x:c>
      <x:c r="H35" s="127" t="n">
        <x:f>MIC_Harmonized!G13</x:f>
        <x:v>0</x:v>
      </x:c>
      <x:c r="I35" s="127" t="n">
        <x:v>0.03</x:v>
      </x:c>
      <x:c r="J35" s="127" t="n">
        <x:v>44.964999999999996</x:v>
      </x:c>
      <x:c r="K35" s="127" t="n">
        <x:v>0.03</x:v>
      </x:c>
      <x:c r="L35" s="127" t="n">
        <x:f>H35*I35/100</x:f>
        <x:v>0</x:v>
      </x:c>
      <x:c r="M35" s="127" t="n">
        <x:f>H35*J35/100</x:f>
        <x:v>0</x:v>
      </x:c>
      <x:c r="N35" s="127" t="n">
        <x:f>H35*K35/100</x:f>
        <x:v>0</x:v>
      </x:c>
      <x:c r="O35" t="str">
        <x:v>Lee et al. 2022, IJAA 60:106679, Table 3</x:v>
      </x:c>
    </x:row>
    <x:row r="36">
      <x:c r="A36" t="str">
        <x:v>LEE2022_KPC_KP</x:v>
      </x:c>
      <x:c r="B36" t="str">
        <x:v>PRIMARY</x:v>
      </x:c>
      <x:c r="C36" t="str">
        <x:v>R5</x:v>
      </x:c>
      <x:c r="D36" t="str">
        <x:v>31–60</x:v>
      </x:c>
      <x:c r="E36" t="n">
        <x:v>0.625</x:v>
      </x:c>
      <x:c r="F36" t="n">
        <x:v>8</x:v>
      </x:c>
      <x:c r="G36" t="n">
        <x:v>64</x:v>
      </x:c>
      <x:c r="H36" s="127" t="n">
        <x:f>MIC_Harmonized!G14</x:f>
        <x:v>0.002638522427440633</x:v>
      </x:c>
      <x:c r="I36" s="127" t="n">
        <x:v>0</x:v>
      </x:c>
      <x:c r="J36" s="127" t="n">
        <x:v>44.964999999999996</x:v>
      </x:c>
      <x:c r="K36" s="127" t="n">
        <x:v>0</x:v>
      </x:c>
      <x:c r="L36" s="127" t="n">
        <x:f>H36*I36/100</x:f>
        <x:v>0</x:v>
      </x:c>
      <x:c r="M36" s="127" t="n">
        <x:f>H36*J36/100</x:f>
        <x:v>0.0011864116094986805</x:v>
      </x:c>
      <x:c r="N36" s="127" t="n">
        <x:f>H36*K36/100</x:f>
        <x:v>0</x:v>
      </x:c>
      <x:c r="O36" t="str">
        <x:v>Lee et al. 2022, IJAA 60:106679, Table 3</x:v>
      </x:c>
    </x:row>
    <x:row r="37">
      <x:c r="A37" t="str">
        <x:v>LEE2022_KPC_KP</x:v>
      </x:c>
      <x:c r="B37" t="str">
        <x:v>PRIMARY</x:v>
      </x:c>
      <x:c r="C37" t="str">
        <x:v>R6</x:v>
      </x:c>
      <x:c r="D37" t="str">
        <x:v>31–60</x:v>
      </x:c>
      <x:c r="E37" t="n">
        <x:v>1.25</x:v>
      </x:c>
      <x:c r="F37" t="n">
        <x:v>12</x:v>
      </x:c>
      <x:c r="G37" t="n">
        <x:v>0.0625</x:v>
      </x:c>
      <x:c r="H37" s="127" t="n">
        <x:f>MIC_Harmonized!G4</x:f>
        <x:v>0.013192612137203167</x:v>
      </x:c>
      <x:c r="I37" s="127" t="n">
        <x:v>100</x:v>
      </x:c>
      <x:c r="J37" s="127" t="n">
        <x:v>61.035</x:v>
      </x:c>
      <x:c r="K37" s="127" t="n">
        <x:v>61.035</x:v>
      </x:c>
      <x:c r="L37" s="127" t="n">
        <x:f>H37*I37/100</x:f>
        <x:v>0.013192612137203165</x:v>
      </x:c>
      <x:c r="M37" s="127" t="n">
        <x:f>H37*J37/100</x:f>
        <x:v>0.008052110817941951</x:v>
      </x:c>
      <x:c r="N37" s="127" t="n">
        <x:f>H37*K37/100</x:f>
        <x:v>0.008052110817941951</x:v>
      </x:c>
      <x:c r="O37" t="str">
        <x:v>Lee et al. 2022, IJAA 60:106679, Table 3</x:v>
      </x:c>
    </x:row>
    <x:row r="38">
      <x:c r="A38" t="str">
        <x:v>LEE2022_KPC_KP</x:v>
      </x:c>
      <x:c r="B38" t="str">
        <x:v>PRIMARY</x:v>
      </x:c>
      <x:c r="C38" t="str">
        <x:v>R6</x:v>
      </x:c>
      <x:c r="D38" t="str">
        <x:v>31–60</x:v>
      </x:c>
      <x:c r="E38" t="n">
        <x:v>1.25</x:v>
      </x:c>
      <x:c r="F38" t="n">
        <x:v>12</x:v>
      </x:c>
      <x:c r="G38" t="n">
        <x:v>0.125</x:v>
      </x:c>
      <x:c r="H38" s="127" t="n">
        <x:f>MIC_Harmonized!G5</x:f>
        <x:v>0.005277044854881266</x:v>
      </x:c>
      <x:c r="I38" s="127" t="n">
        <x:v>100</x:v>
      </x:c>
      <x:c r="J38" s="127" t="n">
        <x:v>61.035</x:v>
      </x:c>
      <x:c r="K38" s="127" t="n">
        <x:v>61.035</x:v>
      </x:c>
      <x:c r="L38" s="127" t="n">
        <x:f>H38*I38/100</x:f>
        <x:v>0.005277044854881266</x:v>
      </x:c>
      <x:c r="M38" s="127" t="n">
        <x:f>H38*J38/100</x:f>
        <x:v>0.0032208443271767805</x:v>
      </x:c>
      <x:c r="N38" s="127" t="n">
        <x:f>H38*K38/100</x:f>
        <x:v>0.0032208443271767805</x:v>
      </x:c>
      <x:c r="O38" t="str">
        <x:v>Lee et al. 2022, IJAA 60:106679, Table 3</x:v>
      </x:c>
    </x:row>
    <x:row r="39">
      <x:c r="A39" t="str">
        <x:v>LEE2022_KPC_KP</x:v>
      </x:c>
      <x:c r="B39" t="str">
        <x:v>PRIMARY</x:v>
      </x:c>
      <x:c r="C39" t="str">
        <x:v>R6</x:v>
      </x:c>
      <x:c r="D39" t="str">
        <x:v>31–60</x:v>
      </x:c>
      <x:c r="E39" t="n">
        <x:v>1.25</x:v>
      </x:c>
      <x:c r="F39" t="n">
        <x:v>12</x:v>
      </x:c>
      <x:c r="G39" t="n">
        <x:v>0.25</x:v>
      </x:c>
      <x:c r="H39" s="127" t="n">
        <x:f>MIC_Harmonized!G6</x:f>
        <x:v>0.044854881266490766</x:v>
      </x:c>
      <x:c r="I39" s="127" t="n">
        <x:v>100</x:v>
      </x:c>
      <x:c r="J39" s="127" t="n">
        <x:v>61.035</x:v>
      </x:c>
      <x:c r="K39" s="127" t="n">
        <x:v>61.035</x:v>
      </x:c>
      <x:c r="L39" s="127" t="n">
        <x:f>H39*I39/100</x:f>
        <x:v>0.04485488126649076</x:v>
      </x:c>
      <x:c r="M39" s="127" t="n">
        <x:f>H39*J39/100</x:f>
        <x:v>0.02737717678100264</x:v>
      </x:c>
      <x:c r="N39" s="127" t="n">
        <x:f>H39*K39/100</x:f>
        <x:v>0.02737717678100264</x:v>
      </x:c>
      <x:c r="O39" t="str">
        <x:v>Lee et al. 2022, IJAA 60:106679, Table 3</x:v>
      </x:c>
    </x:row>
    <x:row r="40">
      <x:c r="A40" t="str">
        <x:v>LEE2022_KPC_KP</x:v>
      </x:c>
      <x:c r="B40" t="str">
        <x:v>PRIMARY</x:v>
      </x:c>
      <x:c r="C40" t="str">
        <x:v>R6</x:v>
      </x:c>
      <x:c r="D40" t="str">
        <x:v>31–60</x:v>
      </x:c>
      <x:c r="E40" t="n">
        <x:v>1.25</x:v>
      </x:c>
      <x:c r="F40" t="n">
        <x:v>12</x:v>
      </x:c>
      <x:c r="G40" t="n">
        <x:v>0.5</x:v>
      </x:c>
      <x:c r="H40" s="127" t="n">
        <x:f>MIC_Harmonized!G7</x:f>
        <x:v>0.1741424802110818</x:v>
      </x:c>
      <x:c r="I40" s="127" t="n">
        <x:v>99.995</x:v>
      </x:c>
      <x:c r="J40" s="127" t="n">
        <x:v>61.035</x:v>
      </x:c>
      <x:c r="K40" s="127" t="n">
        <x:v>61.035</x:v>
      </x:c>
      <x:c r="L40" s="127" t="n">
        <x:f>H40*I40/100</x:f>
        <x:v>0.17413377308707126</x:v>
      </x:c>
      <x:c r="M40" s="127" t="n">
        <x:f>H40*J40/100</x:f>
        <x:v>0.10628786279683376</x:v>
      </x:c>
      <x:c r="N40" s="127" t="n">
        <x:f>H40*K40/100</x:f>
        <x:v>0.10628786279683376</x:v>
      </x:c>
      <x:c r="O40" t="str">
        <x:v>Lee et al. 2022, IJAA 60:106679, Table 3</x:v>
      </x:c>
    </x:row>
    <x:row r="41">
      <x:c r="A41" t="str">
        <x:v>LEE2022_KPC_KP</x:v>
      </x:c>
      <x:c r="B41" t="str">
        <x:v>PRIMARY</x:v>
      </x:c>
      <x:c r="C41" t="str">
        <x:v>R6</x:v>
      </x:c>
      <x:c r="D41" t="str">
        <x:v>31–60</x:v>
      </x:c>
      <x:c r="E41" t="n">
        <x:v>1.25</x:v>
      </x:c>
      <x:c r="F41" t="n">
        <x:v>12</x:v>
      </x:c>
      <x:c r="G41" t="n">
        <x:v>1</x:v>
      </x:c>
      <x:c r="H41" s="127" t="n">
        <x:f>MIC_Harmonized!G8</x:f>
        <x:v>0.39313984168865435</x:v>
      </x:c>
      <x:c r="I41" s="127" t="n">
        <x:v>99.39</x:v>
      </x:c>
      <x:c r="J41" s="127" t="n">
        <x:v>61.035</x:v>
      </x:c>
      <x:c r="K41" s="127" t="n">
        <x:v>61.035</x:v>
      </x:c>
      <x:c r="L41" s="127" t="n">
        <x:f>H41*I41/100</x:f>
        <x:v>0.39074168865435355</x:v>
      </x:c>
      <x:c r="M41" s="127" t="n">
        <x:f>H41*J41/100</x:f>
        <x:v>0.23995290237467018</x:v>
      </x:c>
      <x:c r="N41" s="127" t="n">
        <x:f>H41*K41/100</x:f>
        <x:v>0.23995290237467018</x:v>
      </x:c>
      <x:c r="O41" t="str">
        <x:v>Lee et al. 2022, IJAA 60:106679, Table 3</x:v>
      </x:c>
    </x:row>
    <x:row r="42">
      <x:c r="A42" t="str">
        <x:v>LEE2022_KPC_KP</x:v>
      </x:c>
      <x:c r="B42" t="str">
        <x:v>PRIMARY</x:v>
      </x:c>
      <x:c r="C42" t="str">
        <x:v>R6</x:v>
      </x:c>
      <x:c r="D42" t="str">
        <x:v>31–60</x:v>
      </x:c>
      <x:c r="E42" t="n">
        <x:v>1.25</x:v>
      </x:c>
      <x:c r="F42" t="n">
        <x:v>12</x:v>
      </x:c>
      <x:c r="G42" t="n">
        <x:v>2</x:v>
      </x:c>
      <x:c r="H42" s="127" t="n">
        <x:f>MIC_Harmonized!G9</x:f>
        <x:v>0.2691292875989446</x:v>
      </x:c>
      <x:c r="I42" s="127" t="n">
        <x:v>91.82000000000001</x:v>
      </x:c>
      <x:c r="J42" s="127" t="n">
        <x:v>61.035</x:v>
      </x:c>
      <x:c r="K42" s="127" t="n">
        <x:v>61.035</x:v>
      </x:c>
      <x:c r="L42" s="127" t="n">
        <x:f>H42*I42/100</x:f>
        <x:v>0.24711451187335098</x:v>
      </x:c>
      <x:c r="M42" s="127" t="n">
        <x:f>H42*J42/100</x:f>
        <x:v>0.16426306068601584</x:v>
      </x:c>
      <x:c r="N42" s="127" t="n">
        <x:f>H42*K42/100</x:f>
        <x:v>0.16426306068601584</x:v>
      </x:c>
      <x:c r="O42" t="str">
        <x:v>Lee et al. 2022, IJAA 60:106679, Table 3</x:v>
      </x:c>
    </x:row>
    <x:row r="43">
      <x:c r="A43" t="str">
        <x:v>LEE2022_KPC_KP</x:v>
      </x:c>
      <x:c r="B43" t="str">
        <x:v>PRIMARY</x:v>
      </x:c>
      <x:c r="C43" t="str">
        <x:v>R6</x:v>
      </x:c>
      <x:c r="D43" t="str">
        <x:v>31–60</x:v>
      </x:c>
      <x:c r="E43" t="n">
        <x:v>1.25</x:v>
      </x:c>
      <x:c r="F43" t="n">
        <x:v>12</x:v>
      </x:c>
      <x:c r="G43" t="n">
        <x:v>4</x:v>
      </x:c>
      <x:c r="H43" s="127" t="n">
        <x:f>MIC_Harmonized!G10</x:f>
        <x:v>0.08443271767810026</x:v>
      </x:c>
      <x:c r="I43" s="127" t="n">
        <x:v>62.11</x:v>
      </x:c>
      <x:c r="J43" s="127" t="n">
        <x:v>61.035</x:v>
      </x:c>
      <x:c r="K43" s="127" t="n">
        <x:v>56.38999999999999</x:v>
      </x:c>
      <x:c r="L43" s="127" t="n">
        <x:f>H43*I43/100</x:f>
        <x:v>0.05244116094986807</x:v>
      </x:c>
      <x:c r="M43" s="127" t="n">
        <x:f>H43*J43/100</x:f>
        <x:v>0.05153350923482849</x:v>
      </x:c>
      <x:c r="N43" s="127" t="n">
        <x:f>H43*K43/100</x:f>
        <x:v>0.047611609498680735</x:v>
      </x:c>
      <x:c r="O43" t="str">
        <x:v>Lee et al. 2022, IJAA 60:106679, Table 3</x:v>
      </x:c>
    </x:row>
    <x:row r="44">
      <x:c r="A44" t="str">
        <x:v>LEE2022_KPC_KP</x:v>
      </x:c>
      <x:c r="B44" t="str">
        <x:v>PRIMARY</x:v>
      </x:c>
      <x:c r="C44" t="str">
        <x:v>R6</x:v>
      </x:c>
      <x:c r="D44" t="str">
        <x:v>31–60</x:v>
      </x:c>
      <x:c r="E44" t="n">
        <x:v>1.25</x:v>
      </x:c>
      <x:c r="F44" t="n">
        <x:v>12</x:v>
      </x:c>
      <x:c r="G44" t="n">
        <x:v>8</x:v>
      </x:c>
      <x:c r="H44" s="127" t="n">
        <x:f>MIC_Harmonized!G11</x:f>
        <x:v>0.010554089709762533</x:v>
      </x:c>
      <x:c r="I44" s="127" t="n">
        <x:v>21.85</x:v>
      </x:c>
      <x:c r="J44" s="127" t="n">
        <x:v>61.035</x:v>
      </x:c>
      <x:c r="K44" s="127" t="n">
        <x:v>21.84</x:v>
      </x:c>
      <x:c r="L44" s="127" t="n">
        <x:f>H44*I44/100</x:f>
        <x:v>0.0023060686015831137</x:v>
      </x:c>
      <x:c r="M44" s="127" t="n">
        <x:f>H44*J44/100</x:f>
        <x:v>0.006441688654353561</x:v>
      </x:c>
      <x:c r="N44" s="127" t="n">
        <x:f>H44*K44/100</x:f>
        <x:v>0.002305013192612137</x:v>
      </x:c>
      <x:c r="O44" t="str">
        <x:v>Lee et al. 2022, IJAA 60:106679, Table 3</x:v>
      </x:c>
    </x:row>
    <x:row r="45">
      <x:c r="A45" t="str">
        <x:v>LEE2022_KPC_KP</x:v>
      </x:c>
      <x:c r="B45" t="str">
        <x:v>PRIMARY</x:v>
      </x:c>
      <x:c r="C45" t="str">
        <x:v>R6</x:v>
      </x:c>
      <x:c r="D45" t="str">
        <x:v>31–60</x:v>
      </x:c>
      <x:c r="E45" t="n">
        <x:v>1.25</x:v>
      </x:c>
      <x:c r="F45" t="n">
        <x:v>12</x:v>
      </x:c>
      <x:c r="G45" t="n">
        <x:v>16</x:v>
      </x:c>
      <x:c r="H45" s="127" t="n">
        <x:f>MIC_Harmonized!G12</x:f>
        <x:v>0.002638522427440633</x:v>
      </x:c>
      <x:c r="I45" s="127" t="n">
        <x:v>2.93</x:v>
      </x:c>
      <x:c r="J45" s="127" t="n">
        <x:v>61.035</x:v>
      </x:c>
      <x:c r="K45" s="127" t="n">
        <x:v>2.93</x:v>
      </x:c>
      <x:c r="L45" s="127" t="n">
        <x:f>H45*I45/100</x:f>
        <x:v>0.00007730870712401055</x:v>
      </x:c>
      <x:c r="M45" s="127" t="n">
        <x:f>H45*J45/100</x:f>
        <x:v>0.0016104221635883903</x:v>
      </x:c>
      <x:c r="N45" s="127" t="n">
        <x:f>H45*K45/100</x:f>
        <x:v>0.00007730870712401055</x:v>
      </x:c>
      <x:c r="O45" t="str">
        <x:v>Lee et al. 2022, IJAA 60:106679, Table 3</x:v>
      </x:c>
    </x:row>
    <x:row r="46">
      <x:c r="A46" t="str">
        <x:v>LEE2022_KPC_KP</x:v>
      </x:c>
      <x:c r="B46" t="str">
        <x:v>PRIMARY</x:v>
      </x:c>
      <x:c r="C46" t="str">
        <x:v>R6</x:v>
      </x:c>
      <x:c r="D46" t="str">
        <x:v>31–60</x:v>
      </x:c>
      <x:c r="E46" t="n">
        <x:v>1.25</x:v>
      </x:c>
      <x:c r="F46" t="n">
        <x:v>12</x:v>
      </x:c>
      <x:c r="G46" t="n">
        <x:v>32</x:v>
      </x:c>
      <x:c r="H46" s="127" t="n">
        <x:f>MIC_Harmonized!G13</x:f>
        <x:v>0</x:v>
      </x:c>
      <x:c r="I46" s="127" t="n">
        <x:v>0.165</x:v>
      </x:c>
      <x:c r="J46" s="127" t="n">
        <x:v>61.035</x:v>
      </x:c>
      <x:c r="K46" s="127" t="n">
        <x:v>0.165</x:v>
      </x:c>
      <x:c r="L46" s="127" t="n">
        <x:f>H46*I46/100</x:f>
        <x:v>0</x:v>
      </x:c>
      <x:c r="M46" s="127" t="n">
        <x:f>H46*J46/100</x:f>
        <x:v>0</x:v>
      </x:c>
      <x:c r="N46" s="127" t="n">
        <x:f>H46*K46/100</x:f>
        <x:v>0</x:v>
      </x:c>
      <x:c r="O46" t="str">
        <x:v>Lee et al. 2022, IJAA 60:106679, Table 3</x:v>
      </x:c>
    </x:row>
    <x:row r="47">
      <x:c r="A47" t="str">
        <x:v>LEE2022_KPC_KP</x:v>
      </x:c>
      <x:c r="B47" t="str">
        <x:v>PRIMARY</x:v>
      </x:c>
      <x:c r="C47" t="str">
        <x:v>R6</x:v>
      </x:c>
      <x:c r="D47" t="str">
        <x:v>31–60</x:v>
      </x:c>
      <x:c r="E47" t="n">
        <x:v>1.25</x:v>
      </x:c>
      <x:c r="F47" t="n">
        <x:v>12</x:v>
      </x:c>
      <x:c r="G47" t="n">
        <x:v>64</x:v>
      </x:c>
      <x:c r="H47" s="127" t="n">
        <x:f>MIC_Harmonized!G14</x:f>
        <x:v>0.002638522427440633</x:v>
      </x:c>
      <x:c r="I47" s="127" t="n">
        <x:v>0</x:v>
      </x:c>
      <x:c r="J47" s="127" t="n">
        <x:v>61.035</x:v>
      </x:c>
      <x:c r="K47" s="127" t="n">
        <x:v>0</x:v>
      </x:c>
      <x:c r="L47" s="127" t="n">
        <x:f>H47*I47/100</x:f>
        <x:v>0</x:v>
      </x:c>
      <x:c r="M47" s="127" t="n">
        <x:f>H47*J47/100</x:f>
        <x:v>0.0016104221635883903</x:v>
      </x:c>
      <x:c r="N47" s="127" t="n">
        <x:f>H47*K47/100</x:f>
        <x:v>0</x:v>
      </x:c>
      <x:c r="O47" t="str">
        <x:v>Lee et al. 2022, IJAA 60:106679, Table 3</x:v>
      </x:c>
    </x:row>
    <x:row r="48">
      <x:c r="A48" t="str">
        <x:v>LEE2022_KPC_KP</x:v>
      </x:c>
      <x:c r="B48" t="str">
        <x:v>PRIMARY</x:v>
      </x:c>
      <x:c r="C48" t="str">
        <x:v>R7</x:v>
      </x:c>
      <x:c r="D48" t="str">
        <x:v>31–60</x:v>
      </x:c>
      <x:c r="E48" t="n">
        <x:v>1.25</x:v>
      </x:c>
      <x:c r="F48" t="n">
        <x:v>8</x:v>
      </x:c>
      <x:c r="G48" t="n">
        <x:v>0.0625</x:v>
      </x:c>
      <x:c r="H48" s="127" t="n">
        <x:f>MIC_Harmonized!G4</x:f>
        <x:v>0.013192612137203167</x:v>
      </x:c>
      <x:c r="I48" s="127" t="n">
        <x:v>100</x:v>
      </x:c>
      <x:c r="J48" s="127" t="n">
        <x:v>80.435</x:v>
      </x:c>
      <x:c r="K48" s="127" t="n">
        <x:v>80.435</x:v>
      </x:c>
      <x:c r="L48" s="127" t="n">
        <x:f>H48*I48/100</x:f>
        <x:v>0.013192612137203165</x:v>
      </x:c>
      <x:c r="M48" s="127" t="n">
        <x:f>H48*J48/100</x:f>
        <x:v>0.010611477572559367</x:v>
      </x:c>
      <x:c r="N48" s="127" t="n">
        <x:f>H48*K48/100</x:f>
        <x:v>0.010611477572559367</x:v>
      </x:c>
      <x:c r="O48" t="str">
        <x:v>Lee et al. 2022, IJAA 60:106679, Table 3</x:v>
      </x:c>
    </x:row>
    <x:row r="49">
      <x:c r="A49" t="str">
        <x:v>LEE2022_KPC_KP</x:v>
      </x:c>
      <x:c r="B49" t="str">
        <x:v>PRIMARY</x:v>
      </x:c>
      <x:c r="C49" t="str">
        <x:v>R7</x:v>
      </x:c>
      <x:c r="D49" t="str">
        <x:v>31–60</x:v>
      </x:c>
      <x:c r="E49" t="n">
        <x:v>1.25</x:v>
      </x:c>
      <x:c r="F49" t="n">
        <x:v>8</x:v>
      </x:c>
      <x:c r="G49" t="n">
        <x:v>0.125</x:v>
      </x:c>
      <x:c r="H49" s="127" t="n">
        <x:f>MIC_Harmonized!G5</x:f>
        <x:v>0.005277044854881266</x:v>
      </x:c>
      <x:c r="I49" s="127" t="n">
        <x:v>100</x:v>
      </x:c>
      <x:c r="J49" s="127" t="n">
        <x:v>80.435</x:v>
      </x:c>
      <x:c r="K49" s="127" t="n">
        <x:v>80.435</x:v>
      </x:c>
      <x:c r="L49" s="127" t="n">
        <x:f>H49*I49/100</x:f>
        <x:v>0.005277044854881266</x:v>
      </x:c>
      <x:c r="M49" s="127" t="n">
        <x:f>H49*J49/100</x:f>
        <x:v>0.004244591029023747</x:v>
      </x:c>
      <x:c r="N49" s="127" t="n">
        <x:f>H49*K49/100</x:f>
        <x:v>0.004244591029023747</x:v>
      </x:c>
      <x:c r="O49" t="str">
        <x:v>Lee et al. 2022, IJAA 60:106679, Table 3</x:v>
      </x:c>
    </x:row>
    <x:row r="50">
      <x:c r="A50" t="str">
        <x:v>LEE2022_KPC_KP</x:v>
      </x:c>
      <x:c r="B50" t="str">
        <x:v>PRIMARY</x:v>
      </x:c>
      <x:c r="C50" t="str">
        <x:v>R7</x:v>
      </x:c>
      <x:c r="D50" t="str">
        <x:v>31–60</x:v>
      </x:c>
      <x:c r="E50" t="n">
        <x:v>1.25</x:v>
      </x:c>
      <x:c r="F50" t="n">
        <x:v>8</x:v>
      </x:c>
      <x:c r="G50" t="n">
        <x:v>0.25</x:v>
      </x:c>
      <x:c r="H50" s="127" t="n">
        <x:f>MIC_Harmonized!G6</x:f>
        <x:v>0.044854881266490766</x:v>
      </x:c>
      <x:c r="I50" s="127" t="n">
        <x:v>100</x:v>
      </x:c>
      <x:c r="J50" s="127" t="n">
        <x:v>80.435</x:v>
      </x:c>
      <x:c r="K50" s="127" t="n">
        <x:v>80.435</x:v>
      </x:c>
      <x:c r="L50" s="127" t="n">
        <x:f>H50*I50/100</x:f>
        <x:v>0.04485488126649076</x:v>
      </x:c>
      <x:c r="M50" s="127" t="n">
        <x:f>H50*J50/100</x:f>
        <x:v>0.03607902374670185</x:v>
      </x:c>
      <x:c r="N50" s="127" t="n">
        <x:f>H50*K50/100</x:f>
        <x:v>0.03607902374670185</x:v>
      </x:c>
      <x:c r="O50" t="str">
        <x:v>Lee et al. 2022, IJAA 60:106679, Table 3</x:v>
      </x:c>
    </x:row>
    <x:row r="51">
      <x:c r="A51" t="str">
        <x:v>LEE2022_KPC_KP</x:v>
      </x:c>
      <x:c r="B51" t="str">
        <x:v>PRIMARY</x:v>
      </x:c>
      <x:c r="C51" t="str">
        <x:v>R7</x:v>
      </x:c>
      <x:c r="D51" t="str">
        <x:v>31–60</x:v>
      </x:c>
      <x:c r="E51" t="n">
        <x:v>1.25</x:v>
      </x:c>
      <x:c r="F51" t="n">
        <x:v>8</x:v>
      </x:c>
      <x:c r="G51" t="n">
        <x:v>0.5</x:v>
      </x:c>
      <x:c r="H51" s="127" t="n">
        <x:f>MIC_Harmonized!G7</x:f>
        <x:v>0.1741424802110818</x:v>
      </x:c>
      <x:c r="I51" s="127" t="n">
        <x:v>100</x:v>
      </x:c>
      <x:c r="J51" s="127" t="n">
        <x:v>80.435</x:v>
      </x:c>
      <x:c r="K51" s="127" t="n">
        <x:v>80.435</x:v>
      </x:c>
      <x:c r="L51" s="127" t="n">
        <x:f>H51*I51/100</x:f>
        <x:v>0.17414248021108178</x:v>
      </x:c>
      <x:c r="M51" s="127" t="n">
        <x:f>H51*J51/100</x:f>
        <x:v>0.14007150395778367</x:v>
      </x:c>
      <x:c r="N51" s="127" t="n">
        <x:f>H51*K51/100</x:f>
        <x:v>0.14007150395778367</x:v>
      </x:c>
      <x:c r="O51" t="str">
        <x:v>Lee et al. 2022, IJAA 60:106679, Table 3</x:v>
      </x:c>
    </x:row>
    <x:row r="52">
      <x:c r="A52" t="str">
        <x:v>LEE2022_KPC_KP</x:v>
      </x:c>
      <x:c r="B52" t="str">
        <x:v>PRIMARY</x:v>
      </x:c>
      <x:c r="C52" t="str">
        <x:v>R7</x:v>
      </x:c>
      <x:c r="D52" t="str">
        <x:v>31–60</x:v>
      </x:c>
      <x:c r="E52" t="n">
        <x:v>1.25</x:v>
      </x:c>
      <x:c r="F52" t="n">
        <x:v>8</x:v>
      </x:c>
      <x:c r="G52" t="n">
        <x:v>1</x:v>
      </x:c>
      <x:c r="H52" s="127" t="n">
        <x:f>MIC_Harmonized!G8</x:f>
        <x:v>0.39313984168865435</x:v>
      </x:c>
      <x:c r="I52" s="127" t="n">
        <x:v>99.935</x:v>
      </x:c>
      <x:c r="J52" s="127" t="n">
        <x:v>80.435</x:v>
      </x:c>
      <x:c r="K52" s="127" t="n">
        <x:v>80.435</x:v>
      </x:c>
      <x:c r="L52" s="127" t="n">
        <x:f>H52*I52/100</x:f>
        <x:v>0.39288430079155673</x:v>
      </x:c>
      <x:c r="M52" s="127" t="n">
        <x:f>H52*J52/100</x:f>
        <x:v>0.31622203166226914</x:v>
      </x:c>
      <x:c r="N52" s="127" t="n">
        <x:f>H52*K52/100</x:f>
        <x:v>0.31622203166226914</x:v>
      </x:c>
      <x:c r="O52" t="str">
        <x:v>Lee et al. 2022, IJAA 60:106679, Table 3</x:v>
      </x:c>
    </x:row>
    <x:row r="53">
      <x:c r="A53" t="str">
        <x:v>LEE2022_KPC_KP</x:v>
      </x:c>
      <x:c r="B53" t="str">
        <x:v>PRIMARY</x:v>
      </x:c>
      <x:c r="C53" t="str">
        <x:v>R7</x:v>
      </x:c>
      <x:c r="D53" t="str">
        <x:v>31–60</x:v>
      </x:c>
      <x:c r="E53" t="n">
        <x:v>1.25</x:v>
      </x:c>
      <x:c r="F53" t="n">
        <x:v>8</x:v>
      </x:c>
      <x:c r="G53" t="n">
        <x:v>2</x:v>
      </x:c>
      <x:c r="H53" s="127" t="n">
        <x:f>MIC_Harmonized!G9</x:f>
        <x:v>0.2691292875989446</x:v>
      </x:c>
      <x:c r="I53" s="127" t="n">
        <x:v>97.875</x:v>
      </x:c>
      <x:c r="J53" s="127" t="n">
        <x:v>80.435</x:v>
      </x:c>
      <x:c r="K53" s="127" t="n">
        <x:v>80.435</x:v>
      </x:c>
      <x:c r="L53" s="127" t="n">
        <x:f>H53*I53/100</x:f>
        <x:v>0.26341029023746704</x:v>
      </x:c>
      <x:c r="M53" s="127" t="n">
        <x:f>H53*J53/100</x:f>
        <x:v>0.2164741424802111</x:v>
      </x:c>
      <x:c r="N53" s="127" t="n">
        <x:f>H53*K53/100</x:f>
        <x:v>0.2164741424802111</x:v>
      </x:c>
      <x:c r="O53" t="str">
        <x:v>Lee et al. 2022, IJAA 60:106679, Table 3</x:v>
      </x:c>
    </x:row>
    <x:row r="54">
      <x:c r="A54" t="str">
        <x:v>LEE2022_KPC_KP</x:v>
      </x:c>
      <x:c r="B54" t="str">
        <x:v>PRIMARY</x:v>
      </x:c>
      <x:c r="C54" t="str">
        <x:v>R7</x:v>
      </x:c>
      <x:c r="D54" t="str">
        <x:v>31–60</x:v>
      </x:c>
      <x:c r="E54" t="n">
        <x:v>1.25</x:v>
      </x:c>
      <x:c r="F54" t="n">
        <x:v>8</x:v>
      </x:c>
      <x:c r="G54" t="n">
        <x:v>4</x:v>
      </x:c>
      <x:c r="H54" s="127" t="n">
        <x:f>MIC_Harmonized!G10</x:f>
        <x:v>0.08443271767810026</x:v>
      </x:c>
      <x:c r="I54" s="127" t="n">
        <x:v>82.75</x:v>
      </x:c>
      <x:c r="J54" s="127" t="n">
        <x:v>80.435</x:v>
      </x:c>
      <x:c r="K54" s="127" t="n">
        <x:v>77.89500000000001</x:v>
      </x:c>
      <x:c r="L54" s="127" t="n">
        <x:f>H54*I54/100</x:f>
        <x:v>0.06986807387862796</x:v>
      </x:c>
      <x:c r="M54" s="127" t="n">
        <x:f>H54*J54/100</x:f>
        <x:v>0.06791345646437995</x:v>
      </x:c>
      <x:c r="N54" s="127" t="n">
        <x:f>H54*K54/100</x:f>
        <x:v>0.0657688654353562</x:v>
      </x:c>
      <x:c r="O54" t="str">
        <x:v>Lee et al. 2022, IJAA 60:106679, Table 3</x:v>
      </x:c>
    </x:row>
    <x:row r="55">
      <x:c r="A55" t="str">
        <x:v>LEE2022_KPC_KP</x:v>
      </x:c>
      <x:c r="B55" t="str">
        <x:v>PRIMARY</x:v>
      </x:c>
      <x:c r="C55" t="str">
        <x:v>R7</x:v>
      </x:c>
      <x:c r="D55" t="str">
        <x:v>31–60</x:v>
      </x:c>
      <x:c r="E55" t="n">
        <x:v>1.25</x:v>
      </x:c>
      <x:c r="F55" t="n">
        <x:v>8</x:v>
      </x:c>
      <x:c r="G55" t="n">
        <x:v>8</x:v>
      </x:c>
      <x:c r="H55" s="127" t="n">
        <x:f>MIC_Harmonized!G11</x:f>
        <x:v>0.010554089709762533</x:v>
      </x:c>
      <x:c r="I55" s="127" t="n">
        <x:v>44.345</x:v>
      </x:c>
      <x:c r="J55" s="127" t="n">
        <x:v>80.435</x:v>
      </x:c>
      <x:c r="K55" s="127" t="n">
        <x:v>44.34</x:v>
      </x:c>
      <x:c r="L55" s="127" t="n">
        <x:f>H55*I55/100</x:f>
        <x:v>0.004680211081794195</x:v>
      </x:c>
      <x:c r="M55" s="127" t="n">
        <x:f>H55*J55/100</x:f>
        <x:v>0.008489182058047494</x:v>
      </x:c>
      <x:c r="N55" s="127" t="n">
        <x:f>H55*K55/100</x:f>
        <x:v>0.004679683377308707</x:v>
      </x:c>
      <x:c r="O55" t="str">
        <x:v>Lee et al. 2022, IJAA 60:106679, Table 3</x:v>
      </x:c>
    </x:row>
    <x:row r="56">
      <x:c r="A56" t="str">
        <x:v>LEE2022_KPC_KP</x:v>
      </x:c>
      <x:c r="B56" t="str">
        <x:v>PRIMARY</x:v>
      </x:c>
      <x:c r="C56" t="str">
        <x:v>R7</x:v>
      </x:c>
      <x:c r="D56" t="str">
        <x:v>31–60</x:v>
      </x:c>
      <x:c r="E56" t="n">
        <x:v>1.25</x:v>
      </x:c>
      <x:c r="F56" t="n">
        <x:v>8</x:v>
      </x:c>
      <x:c r="G56" t="n">
        <x:v>16</x:v>
      </x:c>
      <x:c r="H56" s="127" t="n">
        <x:f>MIC_Harmonized!G12</x:f>
        <x:v>0.002638522427440633</x:v>
      </x:c>
      <x:c r="I56" s="127" t="n">
        <x:v>10.32</x:v>
      </x:c>
      <x:c r="J56" s="127" t="n">
        <x:v>80.435</x:v>
      </x:c>
      <x:c r="K56" s="127" t="n">
        <x:v>10.32</x:v>
      </x:c>
      <x:c r="L56" s="127" t="n">
        <x:f>H56*I56/100</x:f>
        <x:v>0.00027229551451187335</x:v>
      </x:c>
      <x:c r="M56" s="127" t="n">
        <x:f>H56*J56/100</x:f>
        <x:v>0.0021222955145118734</x:v>
      </x:c>
      <x:c r="N56" s="127" t="n">
        <x:f>H56*K56/100</x:f>
        <x:v>0.00027229551451187335</x:v>
      </x:c>
      <x:c r="O56" t="str">
        <x:v>Lee et al. 2022, IJAA 60:106679, Table 3</x:v>
      </x:c>
    </x:row>
    <x:row r="57">
      <x:c r="A57" t="str">
        <x:v>LEE2022_KPC_KP</x:v>
      </x:c>
      <x:c r="B57" t="str">
        <x:v>PRIMARY</x:v>
      </x:c>
      <x:c r="C57" t="str">
        <x:v>R7</x:v>
      </x:c>
      <x:c r="D57" t="str">
        <x:v>31–60</x:v>
      </x:c>
      <x:c r="E57" t="n">
        <x:v>1.25</x:v>
      </x:c>
      <x:c r="F57" t="n">
        <x:v>8</x:v>
      </x:c>
      <x:c r="G57" t="n">
        <x:v>32</x:v>
      </x:c>
      <x:c r="H57" s="127" t="n">
        <x:f>MIC_Harmonized!G13</x:f>
        <x:v>0</x:v>
      </x:c>
      <x:c r="I57" s="127" t="n">
        <x:v>1.01</x:v>
      </x:c>
      <x:c r="J57" s="127" t="n">
        <x:v>80.435</x:v>
      </x:c>
      <x:c r="K57" s="127" t="n">
        <x:v>1.01</x:v>
      </x:c>
      <x:c r="L57" s="127" t="n">
        <x:f>H57*I57/100</x:f>
        <x:v>0</x:v>
      </x:c>
      <x:c r="M57" s="127" t="n">
        <x:f>H57*J57/100</x:f>
        <x:v>0</x:v>
      </x:c>
      <x:c r="N57" s="127" t="n">
        <x:f>H57*K57/100</x:f>
        <x:v>0</x:v>
      </x:c>
      <x:c r="O57" t="str">
        <x:v>Lee et al. 2022, IJAA 60:106679, Table 3</x:v>
      </x:c>
    </x:row>
    <x:row r="58">
      <x:c r="A58" t="str">
        <x:v>LEE2022_KPC_KP</x:v>
      </x:c>
      <x:c r="B58" t="str">
        <x:v>PRIMARY</x:v>
      </x:c>
      <x:c r="C58" t="str">
        <x:v>R7</x:v>
      </x:c>
      <x:c r="D58" t="str">
        <x:v>31–60</x:v>
      </x:c>
      <x:c r="E58" t="n">
        <x:v>1.25</x:v>
      </x:c>
      <x:c r="F58" t="n">
        <x:v>8</x:v>
      </x:c>
      <x:c r="G58" t="n">
        <x:v>64</x:v>
      </x:c>
      <x:c r="H58" s="127" t="n">
        <x:f>MIC_Harmonized!G14</x:f>
        <x:v>0.002638522427440633</x:v>
      </x:c>
      <x:c r="I58" s="127" t="n">
        <x:v>0.03</x:v>
      </x:c>
      <x:c r="J58" s="127" t="n">
        <x:v>80.435</x:v>
      </x:c>
      <x:c r="K58" s="127" t="n">
        <x:v>0.03</x:v>
      </x:c>
      <x:c r="L58" s="127" t="n">
        <x:f>H58*I58/100</x:f>
        <x:v>7.9155672823219e-7</x:v>
      </x:c>
      <x:c r="M58" s="127" t="n">
        <x:f>H58*J58/100</x:f>
        <x:v>0.0021222955145118734</x:v>
      </x:c>
      <x:c r="N58" s="127" t="n">
        <x:f>H58*K58/100</x:f>
        <x:v>7.9155672823219e-7</x:v>
      </x:c>
      <x:c r="O58" t="str">
        <x:v>Lee et al. 2022, IJAA 60:106679, Table 3</x:v>
      </x:c>
    </x:row>
    <x:row r="59">
      <x:c r="A59" t="str">
        <x:v>LEE2022_KPC_KP</x:v>
      </x:c>
      <x:c r="B59" t="str">
        <x:v>PRIMARY</x:v>
      </x:c>
      <x:c r="C59" t="str">
        <x:v>R8</x:v>
      </x:c>
      <x:c r="D59" t="str">
        <x:v>31–60</x:v>
      </x:c>
      <x:c r="E59" t="n">
        <x:v>2.5</x:v>
      </x:c>
      <x:c r="F59" t="n">
        <x:v>12</x:v>
      </x:c>
      <x:c r="G59" t="n">
        <x:v>0.0625</x:v>
      </x:c>
      <x:c r="H59" s="127" t="n">
        <x:f>MIC_Harmonized!G4</x:f>
        <x:v>0.013192612137203167</x:v>
      </x:c>
      <x:c r="I59" s="127" t="n">
        <x:v>100</x:v>
      </x:c>
      <x:c r="J59" s="127" t="n">
        <x:v>89.45</x:v>
      </x:c>
      <x:c r="K59" s="127" t="n">
        <x:v>89.45</x:v>
      </x:c>
      <x:c r="L59" s="127" t="n">
        <x:f>H59*I59/100</x:f>
        <x:v>0.013192612137203165</x:v>
      </x:c>
      <x:c r="M59" s="127" t="n">
        <x:f>H59*J59/100</x:f>
        <x:v>0.011800791556728234</x:v>
      </x:c>
      <x:c r="N59" s="127" t="n">
        <x:f>H59*K59/100</x:f>
        <x:v>0.011800791556728234</x:v>
      </x:c>
      <x:c r="O59" t="str">
        <x:v>Lee et al. 2022, IJAA 60:106679, Table 3</x:v>
      </x:c>
    </x:row>
    <x:row r="60">
      <x:c r="A60" t="str">
        <x:v>LEE2022_KPC_KP</x:v>
      </x:c>
      <x:c r="B60" t="str">
        <x:v>PRIMARY</x:v>
      </x:c>
      <x:c r="C60" t="str">
        <x:v>R8</x:v>
      </x:c>
      <x:c r="D60" t="str">
        <x:v>31–60</x:v>
      </x:c>
      <x:c r="E60" t="n">
        <x:v>2.5</x:v>
      </x:c>
      <x:c r="F60" t="n">
        <x:v>12</x:v>
      </x:c>
      <x:c r="G60" t="n">
        <x:v>0.125</x:v>
      </x:c>
      <x:c r="H60" s="127" t="n">
        <x:f>MIC_Harmonized!G5</x:f>
        <x:v>0.005277044854881266</x:v>
      </x:c>
      <x:c r="I60" s="127" t="n">
        <x:v>100</x:v>
      </x:c>
      <x:c r="J60" s="127" t="n">
        <x:v>89.45</x:v>
      </x:c>
      <x:c r="K60" s="127" t="n">
        <x:v>89.45</x:v>
      </x:c>
      <x:c r="L60" s="127" t="n">
        <x:f>H60*I60/100</x:f>
        <x:v>0.005277044854881266</x:v>
      </x:c>
      <x:c r="M60" s="127" t="n">
        <x:f>H60*J60/100</x:f>
        <x:v>0.004720316622691293</x:v>
      </x:c>
      <x:c r="N60" s="127" t="n">
        <x:f>H60*K60/100</x:f>
        <x:v>0.004720316622691293</x:v>
      </x:c>
      <x:c r="O60" t="str">
        <x:v>Lee et al. 2022, IJAA 60:106679, Table 3</x:v>
      </x:c>
    </x:row>
    <x:row r="61">
      <x:c r="A61" t="str">
        <x:v>LEE2022_KPC_KP</x:v>
      </x:c>
      <x:c r="B61" t="str">
        <x:v>PRIMARY</x:v>
      </x:c>
      <x:c r="C61" t="str">
        <x:v>R8</x:v>
      </x:c>
      <x:c r="D61" t="str">
        <x:v>31–60</x:v>
      </x:c>
      <x:c r="E61" t="n">
        <x:v>2.5</x:v>
      </x:c>
      <x:c r="F61" t="n">
        <x:v>12</x:v>
      </x:c>
      <x:c r="G61" t="n">
        <x:v>0.25</x:v>
      </x:c>
      <x:c r="H61" s="127" t="n">
        <x:f>MIC_Harmonized!G6</x:f>
        <x:v>0.044854881266490766</x:v>
      </x:c>
      <x:c r="I61" s="127" t="n">
        <x:v>100</x:v>
      </x:c>
      <x:c r="J61" s="127" t="n">
        <x:v>89.45</x:v>
      </x:c>
      <x:c r="K61" s="127" t="n">
        <x:v>89.45</x:v>
      </x:c>
      <x:c r="L61" s="127" t="n">
        <x:f>H61*I61/100</x:f>
        <x:v>0.04485488126649076</x:v>
      </x:c>
      <x:c r="M61" s="127" t="n">
        <x:f>H61*J61/100</x:f>
        <x:v>0.04012269129287599</x:v>
      </x:c>
      <x:c r="N61" s="127" t="n">
        <x:f>H61*K61/100</x:f>
        <x:v>0.04012269129287599</x:v>
      </x:c>
      <x:c r="O61" t="str">
        <x:v>Lee et al. 2022, IJAA 60:106679, Table 3</x:v>
      </x:c>
    </x:row>
    <x:row r="62">
      <x:c r="A62" t="str">
        <x:v>LEE2022_KPC_KP</x:v>
      </x:c>
      <x:c r="B62" t="str">
        <x:v>PRIMARY</x:v>
      </x:c>
      <x:c r="C62" t="str">
        <x:v>R8</x:v>
      </x:c>
      <x:c r="D62" t="str">
        <x:v>31–60</x:v>
      </x:c>
      <x:c r="E62" t="n">
        <x:v>2.5</x:v>
      </x:c>
      <x:c r="F62" t="n">
        <x:v>12</x:v>
      </x:c>
      <x:c r="G62" t="n">
        <x:v>0.5</x:v>
      </x:c>
      <x:c r="H62" s="127" t="n">
        <x:f>MIC_Harmonized!G7</x:f>
        <x:v>0.1741424802110818</x:v>
      </x:c>
      <x:c r="I62" s="127" t="n">
        <x:v>100</x:v>
      </x:c>
      <x:c r="J62" s="127" t="n">
        <x:v>89.45</x:v>
      </x:c>
      <x:c r="K62" s="127" t="n">
        <x:v>89.45</x:v>
      </x:c>
      <x:c r="L62" s="127" t="n">
        <x:f>H62*I62/100</x:f>
        <x:v>0.17414248021108178</x:v>
      </x:c>
      <x:c r="M62" s="127" t="n">
        <x:f>H62*J62/100</x:f>
        <x:v>0.1557704485488127</x:v>
      </x:c>
      <x:c r="N62" s="127" t="n">
        <x:f>H62*K62/100</x:f>
        <x:v>0.1557704485488127</x:v>
      </x:c>
      <x:c r="O62" t="str">
        <x:v>Lee et al. 2022, IJAA 60:106679, Table 3</x:v>
      </x:c>
    </x:row>
    <x:row r="63">
      <x:c r="A63" t="str">
        <x:v>LEE2022_KPC_KP</x:v>
      </x:c>
      <x:c r="B63" t="str">
        <x:v>PRIMARY</x:v>
      </x:c>
      <x:c r="C63" t="str">
        <x:v>R8</x:v>
      </x:c>
      <x:c r="D63" t="str">
        <x:v>31–60</x:v>
      </x:c>
      <x:c r="E63" t="n">
        <x:v>2.5</x:v>
      </x:c>
      <x:c r="F63" t="n">
        <x:v>12</x:v>
      </x:c>
      <x:c r="G63" t="n">
        <x:v>1</x:v>
      </x:c>
      <x:c r="H63" s="127" t="n">
        <x:f>MIC_Harmonized!G8</x:f>
        <x:v>0.39313984168865435</x:v>
      </x:c>
      <x:c r="I63" s="127" t="n">
        <x:v>99.995</x:v>
      </x:c>
      <x:c r="J63" s="127" t="n">
        <x:v>89.45</x:v>
      </x:c>
      <x:c r="K63" s="127" t="n">
        <x:v>89.45</x:v>
      </x:c>
      <x:c r="L63" s="127" t="n">
        <x:f>H63*I63/100</x:f>
        <x:v>0.3931201846965699</x:v>
      </x:c>
      <x:c r="M63" s="127" t="n">
        <x:f>H63*J63/100</x:f>
        <x:v>0.3516635883905013</x:v>
      </x:c>
      <x:c r="N63" s="127" t="n">
        <x:f>H63*K63/100</x:f>
        <x:v>0.3516635883905013</x:v>
      </x:c>
      <x:c r="O63" t="str">
        <x:v>Lee et al. 2022, IJAA 60:106679, Table 3</x:v>
      </x:c>
    </x:row>
    <x:row r="64">
      <x:c r="A64" t="str">
        <x:v>LEE2022_KPC_KP</x:v>
      </x:c>
      <x:c r="B64" t="str">
        <x:v>PRIMARY</x:v>
      </x:c>
      <x:c r="C64" t="str">
        <x:v>R8</x:v>
      </x:c>
      <x:c r="D64" t="str">
        <x:v>31–60</x:v>
      </x:c>
      <x:c r="E64" t="n">
        <x:v>2.5</x:v>
      </x:c>
      <x:c r="F64" t="n">
        <x:v>12</x:v>
      </x:c>
      <x:c r="G64" t="n">
        <x:v>2</x:v>
      </x:c>
      <x:c r="H64" s="127" t="n">
        <x:f>MIC_Harmonized!G9</x:f>
        <x:v>0.2691292875989446</x:v>
      </x:c>
      <x:c r="I64" s="127" t="n">
        <x:v>99.39</x:v>
      </x:c>
      <x:c r="J64" s="127" t="n">
        <x:v>89.45</x:v>
      </x:c>
      <x:c r="K64" s="127" t="n">
        <x:v>89.45</x:v>
      </x:c>
      <x:c r="L64" s="127" t="n">
        <x:f>H64*I64/100</x:f>
        <x:v>0.26748759894459107</x:v>
      </x:c>
      <x:c r="M64" s="127" t="n">
        <x:f>H64*J64/100</x:f>
        <x:v>0.24073614775725594</x:v>
      </x:c>
      <x:c r="N64" s="127" t="n">
        <x:f>H64*K64/100</x:f>
        <x:v>0.24073614775725594</x:v>
      </x:c>
      <x:c r="O64" t="str">
        <x:v>Lee et al. 2022, IJAA 60:106679, Table 3</x:v>
      </x:c>
    </x:row>
    <x:row r="65">
      <x:c r="A65" t="str">
        <x:v>LEE2022_KPC_KP</x:v>
      </x:c>
      <x:c r="B65" t="str">
        <x:v>PRIMARY</x:v>
      </x:c>
      <x:c r="C65" t="str">
        <x:v>R8</x:v>
      </x:c>
      <x:c r="D65" t="str">
        <x:v>31–60</x:v>
      </x:c>
      <x:c r="E65" t="n">
        <x:v>2.5</x:v>
      </x:c>
      <x:c r="F65" t="n">
        <x:v>12</x:v>
      </x:c>
      <x:c r="G65" t="n">
        <x:v>4</x:v>
      </x:c>
      <x:c r="H65" s="127" t="n">
        <x:f>MIC_Harmonized!G10</x:f>
        <x:v>0.08443271767810026</x:v>
      </x:c>
      <x:c r="I65" s="127" t="n">
        <x:v>91.82000000000001</x:v>
      </x:c>
      <x:c r="J65" s="127" t="n">
        <x:v>89.45</x:v>
      </x:c>
      <x:c r="K65" s="127" t="n">
        <x:v>88.28</x:v>
      </x:c>
      <x:c r="L65" s="127" t="n">
        <x:f>H65*I65/100</x:f>
        <x:v>0.07752612137203166</x:v>
      </x:c>
      <x:c r="M65" s="127" t="n">
        <x:f>H65*J65/100</x:f>
        <x:v>0.07552506596306069</x:v>
      </x:c>
      <x:c r="N65" s="127" t="n">
        <x:f>H65*K65/100</x:f>
        <x:v>0.07453720316622692</x:v>
      </x:c>
      <x:c r="O65" t="str">
        <x:v>Lee et al. 2022, IJAA 60:106679, Table 3</x:v>
      </x:c>
    </x:row>
    <x:row r="66">
      <x:c r="A66" t="str">
        <x:v>LEE2022_KPC_KP</x:v>
      </x:c>
      <x:c r="B66" t="str">
        <x:v>PRIMARY</x:v>
      </x:c>
      <x:c r="C66" t="str">
        <x:v>R8</x:v>
      </x:c>
      <x:c r="D66" t="str">
        <x:v>31–60</x:v>
      </x:c>
      <x:c r="E66" t="n">
        <x:v>2.5</x:v>
      </x:c>
      <x:c r="F66" t="n">
        <x:v>12</x:v>
      </x:c>
      <x:c r="G66" t="n">
        <x:v>8</x:v>
      </x:c>
      <x:c r="H66" s="127" t="n">
        <x:f>MIC_Harmonized!G11</x:f>
        <x:v>0.010554089709762533</x:v>
      </x:c>
      <x:c r="I66" s="127" t="n">
        <x:v>62.11</x:v>
      </x:c>
      <x:c r="J66" s="127" t="n">
        <x:v>89.45</x:v>
      </x:c>
      <x:c r="K66" s="127" t="n">
        <x:v>62.09</x:v>
      </x:c>
      <x:c r="L66" s="127" t="n">
        <x:f>H66*I66/100</x:f>
        <x:v>0.006555145118733508</x:v>
      </x:c>
      <x:c r="M66" s="127" t="n">
        <x:f>H66*J66/100</x:f>
        <x:v>0.009440633245382586</x:v>
      </x:c>
      <x:c r="N66" s="127" t="n">
        <x:f>H66*K66/100</x:f>
        <x:v>0.006553034300791557</x:v>
      </x:c>
      <x:c r="O66" t="str">
        <x:v>Lee et al. 2022, IJAA 60:106679, Table 3</x:v>
      </x:c>
    </x:row>
    <x:row r="67">
      <x:c r="A67" t="str">
        <x:v>LEE2022_KPC_KP</x:v>
      </x:c>
      <x:c r="B67" t="str">
        <x:v>PRIMARY</x:v>
      </x:c>
      <x:c r="C67" t="str">
        <x:v>R8</x:v>
      </x:c>
      <x:c r="D67" t="str">
        <x:v>31–60</x:v>
      </x:c>
      <x:c r="E67" t="n">
        <x:v>2.5</x:v>
      </x:c>
      <x:c r="F67" t="n">
        <x:v>12</x:v>
      </x:c>
      <x:c r="G67" t="n">
        <x:v>16</x:v>
      </x:c>
      <x:c r="H67" s="127" t="n">
        <x:f>MIC_Harmonized!G12</x:f>
        <x:v>0.002638522427440633</x:v>
      </x:c>
      <x:c r="I67" s="127" t="n">
        <x:v>21.85</x:v>
      </x:c>
      <x:c r="J67" s="127" t="n">
        <x:v>89.45</x:v>
      </x:c>
      <x:c r="K67" s="127" t="n">
        <x:v>21.85</x:v>
      </x:c>
      <x:c r="L67" s="127" t="n">
        <x:f>H67*I67/100</x:f>
        <x:v>0.0005765171503957784</x:v>
      </x:c>
      <x:c r="M67" s="127" t="n">
        <x:f>H67*J67/100</x:f>
        <x:v>0.0023601583113456465</x:v>
      </x:c>
      <x:c r="N67" s="127" t="n">
        <x:f>H67*K67/100</x:f>
        <x:v>0.0005765171503957784</x:v>
      </x:c>
      <x:c r="O67" t="str">
        <x:v>Lee et al. 2022, IJAA 60:106679, Table 3</x:v>
      </x:c>
    </x:row>
    <x:row r="68">
      <x:c r="A68" t="str">
        <x:v>LEE2022_KPC_KP</x:v>
      </x:c>
      <x:c r="B68" t="str">
        <x:v>PRIMARY</x:v>
      </x:c>
      <x:c r="C68" t="str">
        <x:v>R8</x:v>
      </x:c>
      <x:c r="D68" t="str">
        <x:v>31–60</x:v>
      </x:c>
      <x:c r="E68" t="n">
        <x:v>2.5</x:v>
      </x:c>
      <x:c r="F68" t="n">
        <x:v>12</x:v>
      </x:c>
      <x:c r="G68" t="n">
        <x:v>32</x:v>
      </x:c>
      <x:c r="H68" s="127" t="n">
        <x:f>MIC_Harmonized!G13</x:f>
        <x:v>0</x:v>
      </x:c>
      <x:c r="I68" s="127" t="n">
        <x:v>2.93</x:v>
      </x:c>
      <x:c r="J68" s="127" t="n">
        <x:v>89.45</x:v>
      </x:c>
      <x:c r="K68" s="127" t="n">
        <x:v>2.93</x:v>
      </x:c>
      <x:c r="L68" s="127" t="n">
        <x:f>H68*I68/100</x:f>
        <x:v>0</x:v>
      </x:c>
      <x:c r="M68" s="127" t="n">
        <x:f>H68*J68/100</x:f>
        <x:v>0</x:v>
      </x:c>
      <x:c r="N68" s="127" t="n">
        <x:f>H68*K68/100</x:f>
        <x:v>0</x:v>
      </x:c>
      <x:c r="O68" t="str">
        <x:v>Lee et al. 2022, IJAA 60:106679, Table 3</x:v>
      </x:c>
    </x:row>
    <x:row r="69">
      <x:c r="A69" t="str">
        <x:v>LEE2022_KPC_KP</x:v>
      </x:c>
      <x:c r="B69" t="str">
        <x:v>PRIMARY</x:v>
      </x:c>
      <x:c r="C69" t="str">
        <x:v>R8</x:v>
      </x:c>
      <x:c r="D69" t="str">
        <x:v>31–60</x:v>
      </x:c>
      <x:c r="E69" t="n">
        <x:v>2.5</x:v>
      </x:c>
      <x:c r="F69" t="n">
        <x:v>12</x:v>
      </x:c>
      <x:c r="G69" t="n">
        <x:v>64</x:v>
      </x:c>
      <x:c r="H69" s="127" t="n">
        <x:f>MIC_Harmonized!G14</x:f>
        <x:v>0.002638522427440633</x:v>
      </x:c>
      <x:c r="I69" s="127" t="n">
        <x:v>0.165</x:v>
      </x:c>
      <x:c r="J69" s="127" t="n">
        <x:v>89.45</x:v>
      </x:c>
      <x:c r="K69" s="127" t="n">
        <x:v>0.165</x:v>
      </x:c>
      <x:c r="L69" s="127" t="n">
        <x:f>H69*I69/100</x:f>
        <x:v>0.000004353562005277045</x:v>
      </x:c>
      <x:c r="M69" s="127" t="n">
        <x:f>H69*J69/100</x:f>
        <x:v>0.0023601583113456465</x:v>
      </x:c>
      <x:c r="N69" s="127" t="n">
        <x:f>H69*K69/100</x:f>
        <x:v>0.000004353562005277045</x:v>
      </x:c>
      <x:c r="O69" t="str">
        <x:v>Lee et al. 2022, IJAA 60:106679, Table 3</x:v>
      </x:c>
    </x:row>
    <x:row r="70">
      <x:c r="A70" t="str">
        <x:v>LEE2022_KPC_KP</x:v>
      </x:c>
      <x:c r="B70" t="str">
        <x:v>PRIMARY</x:v>
      </x:c>
      <x:c r="C70" t="str">
        <x:v>R9</x:v>
      </x:c>
      <x:c r="D70" t="str">
        <x:v>61–90</x:v>
      </x:c>
      <x:c r="E70" t="n">
        <x:v>2.5</x:v>
      </x:c>
      <x:c r="F70" t="n">
        <x:v>12</x:v>
      </x:c>
      <x:c r="G70" t="n">
        <x:v>0.0625</x:v>
      </x:c>
      <x:c r="H70" s="127" t="n">
        <x:f>MIC_Harmonized!G4</x:f>
        <x:v>0.013192612137203167</x:v>
      </x:c>
      <x:c r="I70" s="127" t="n">
        <x:v>100</x:v>
      </x:c>
      <x:c r="J70" s="127" t="n">
        <x:v>73.225</x:v>
      </x:c>
      <x:c r="K70" s="127" t="n">
        <x:v>73.225</x:v>
      </x:c>
      <x:c r="L70" s="127" t="n">
        <x:f>H70*I70/100</x:f>
        <x:v>0.013192612137203165</x:v>
      </x:c>
      <x:c r="M70" s="127" t="n">
        <x:f>H70*J70/100</x:f>
        <x:v>0.009660290237467018</x:v>
      </x:c>
      <x:c r="N70" s="127" t="n">
        <x:f>H70*K70/100</x:f>
        <x:v>0.009660290237467018</x:v>
      </x:c>
      <x:c r="O70" t="str">
        <x:v>Lee et al. 2022, IJAA 60:106679, Table 3</x:v>
      </x:c>
    </x:row>
    <x:row r="71">
      <x:c r="A71" t="str">
        <x:v>LEE2022_KPC_KP</x:v>
      </x:c>
      <x:c r="B71" t="str">
        <x:v>PRIMARY</x:v>
      </x:c>
      <x:c r="C71" t="str">
        <x:v>R9</x:v>
      </x:c>
      <x:c r="D71" t="str">
        <x:v>61–90</x:v>
      </x:c>
      <x:c r="E71" t="n">
        <x:v>2.5</x:v>
      </x:c>
      <x:c r="F71" t="n">
        <x:v>12</x:v>
      </x:c>
      <x:c r="G71" t="n">
        <x:v>0.125</x:v>
      </x:c>
      <x:c r="H71" s="127" t="n">
        <x:f>MIC_Harmonized!G5</x:f>
        <x:v>0.005277044854881266</x:v>
      </x:c>
      <x:c r="I71" s="127" t="n">
        <x:v>100</x:v>
      </x:c>
      <x:c r="J71" s="127" t="n">
        <x:v>73.225</x:v>
      </x:c>
      <x:c r="K71" s="127" t="n">
        <x:v>73.225</x:v>
      </x:c>
      <x:c r="L71" s="127" t="n">
        <x:f>H71*I71/100</x:f>
        <x:v>0.005277044854881266</x:v>
      </x:c>
      <x:c r="M71" s="127" t="n">
        <x:f>H71*J71/100</x:f>
        <x:v>0.003864116094986807</x:v>
      </x:c>
      <x:c r="N71" s="127" t="n">
        <x:f>H71*K71/100</x:f>
        <x:v>0.003864116094986807</x:v>
      </x:c>
      <x:c r="O71" t="str">
        <x:v>Lee et al. 2022, IJAA 60:106679, Table 3</x:v>
      </x:c>
    </x:row>
    <x:row r="72">
      <x:c r="A72" t="str">
        <x:v>LEE2022_KPC_KP</x:v>
      </x:c>
      <x:c r="B72" t="str">
        <x:v>PRIMARY</x:v>
      </x:c>
      <x:c r="C72" t="str">
        <x:v>R9</x:v>
      </x:c>
      <x:c r="D72" t="str">
        <x:v>61–90</x:v>
      </x:c>
      <x:c r="E72" t="n">
        <x:v>2.5</x:v>
      </x:c>
      <x:c r="F72" t="n">
        <x:v>12</x:v>
      </x:c>
      <x:c r="G72" t="n">
        <x:v>0.25</x:v>
      </x:c>
      <x:c r="H72" s="127" t="n">
        <x:f>MIC_Harmonized!G6</x:f>
        <x:v>0.044854881266490766</x:v>
      </x:c>
      <x:c r="I72" s="127" t="n">
        <x:v>100</x:v>
      </x:c>
      <x:c r="J72" s="127" t="n">
        <x:v>73.225</x:v>
      </x:c>
      <x:c r="K72" s="127" t="n">
        <x:v>73.225</x:v>
      </x:c>
      <x:c r="L72" s="127" t="n">
        <x:f>H72*I72/100</x:f>
        <x:v>0.04485488126649076</x:v>
      </x:c>
      <x:c r="M72" s="127" t="n">
        <x:f>H72*J72/100</x:f>
        <x:v>0.03284498680738786</x:v>
      </x:c>
      <x:c r="N72" s="127" t="n">
        <x:f>H72*K72/100</x:f>
        <x:v>0.03284498680738786</x:v>
      </x:c>
      <x:c r="O72" t="str">
        <x:v>Lee et al. 2022, IJAA 60:106679, Table 3</x:v>
      </x:c>
    </x:row>
    <x:row r="73">
      <x:c r="A73" t="str">
        <x:v>LEE2022_KPC_KP</x:v>
      </x:c>
      <x:c r="B73" t="str">
        <x:v>PRIMARY</x:v>
      </x:c>
      <x:c r="C73" t="str">
        <x:v>R9</x:v>
      </x:c>
      <x:c r="D73" t="str">
        <x:v>61–90</x:v>
      </x:c>
      <x:c r="E73" t="n">
        <x:v>2.5</x:v>
      </x:c>
      <x:c r="F73" t="n">
        <x:v>12</x:v>
      </x:c>
      <x:c r="G73" t="n">
        <x:v>0.5</x:v>
      </x:c>
      <x:c r="H73" s="127" t="n">
        <x:f>MIC_Harmonized!G7</x:f>
        <x:v>0.1741424802110818</x:v>
      </x:c>
      <x:c r="I73" s="127" t="n">
        <x:v>99.995</x:v>
      </x:c>
      <x:c r="J73" s="127" t="n">
        <x:v>73.225</x:v>
      </x:c>
      <x:c r="K73" s="127" t="n">
        <x:v>73.225</x:v>
      </x:c>
      <x:c r="L73" s="127" t="n">
        <x:f>H73*I73/100</x:f>
        <x:v>0.17413377308707126</x:v>
      </x:c>
      <x:c r="M73" s="127" t="n">
        <x:f>H73*J73/100</x:f>
        <x:v>0.12751583113456463</x:v>
      </x:c>
      <x:c r="N73" s="127" t="n">
        <x:f>H73*K73/100</x:f>
        <x:v>0.12751583113456463</x:v>
      </x:c>
      <x:c r="O73" t="str">
        <x:v>Lee et al. 2022, IJAA 60:106679, Table 3</x:v>
      </x:c>
    </x:row>
    <x:row r="74">
      <x:c r="A74" t="str">
        <x:v>LEE2022_KPC_KP</x:v>
      </x:c>
      <x:c r="B74" t="str">
        <x:v>PRIMARY</x:v>
      </x:c>
      <x:c r="C74" t="str">
        <x:v>R9</x:v>
      </x:c>
      <x:c r="D74" t="str">
        <x:v>61–90</x:v>
      </x:c>
      <x:c r="E74" t="n">
        <x:v>2.5</x:v>
      </x:c>
      <x:c r="F74" t="n">
        <x:v>12</x:v>
      </x:c>
      <x:c r="G74" t="n">
        <x:v>1</x:v>
      </x:c>
      <x:c r="H74" s="127" t="n">
        <x:f>MIC_Harmonized!G8</x:f>
        <x:v>0.39313984168865435</x:v>
      </x:c>
      <x:c r="I74" s="127" t="n">
        <x:v>99.91499999999999</x:v>
      </x:c>
      <x:c r="J74" s="127" t="n">
        <x:v>73.225</x:v>
      </x:c>
      <x:c r="K74" s="127" t="n">
        <x:v>73.225</x:v>
      </x:c>
      <x:c r="L74" s="127" t="n">
        <x:f>H74*I74/100</x:f>
        <x:v>0.392805672823219</x:v>
      </x:c>
      <x:c r="M74" s="127" t="n">
        <x:f>H74*J74/100</x:f>
        <x:v>0.2878766490765171</x:v>
      </x:c>
      <x:c r="N74" s="127" t="n">
        <x:f>H74*K74/100</x:f>
        <x:v>0.2878766490765171</x:v>
      </x:c>
      <x:c r="O74" t="str">
        <x:v>Lee et al. 2022, IJAA 60:106679, Table 3</x:v>
      </x:c>
    </x:row>
    <x:row r="75">
      <x:c r="A75" t="str">
        <x:v>LEE2022_KPC_KP</x:v>
      </x:c>
      <x:c r="B75" t="str">
        <x:v>PRIMARY</x:v>
      </x:c>
      <x:c r="C75" t="str">
        <x:v>R9</x:v>
      </x:c>
      <x:c r="D75" t="str">
        <x:v>61–90</x:v>
      </x:c>
      <x:c r="E75" t="n">
        <x:v>2.5</x:v>
      </x:c>
      <x:c r="F75" t="n">
        <x:v>12</x:v>
      </x:c>
      <x:c r="G75" t="n">
        <x:v>2</x:v>
      </x:c>
      <x:c r="H75" s="127" t="n">
        <x:f>MIC_Harmonized!G9</x:f>
        <x:v>0.2691292875989446</x:v>
      </x:c>
      <x:c r="I75" s="127" t="n">
        <x:v>97.315</x:v>
      </x:c>
      <x:c r="J75" s="127" t="n">
        <x:v>73.225</x:v>
      </x:c>
      <x:c r="K75" s="127" t="n">
        <x:v>73.225</x:v>
      </x:c>
      <x:c r="L75" s="127" t="n">
        <x:f>H75*I75/100</x:f>
        <x:v>0.26190316622691295</x:v>
      </x:c>
      <x:c r="M75" s="127" t="n">
        <x:f>H75*J75/100</x:f>
        <x:v>0.19706992084432717</x:v>
      </x:c>
      <x:c r="N75" s="127" t="n">
        <x:f>H75*K75/100</x:f>
        <x:v>0.19706992084432717</x:v>
      </x:c>
      <x:c r="O75" t="str">
        <x:v>Lee et al. 2022, IJAA 60:106679, Table 3</x:v>
      </x:c>
    </x:row>
    <x:row r="76">
      <x:c r="A76" t="str">
        <x:v>LEE2022_KPC_KP</x:v>
      </x:c>
      <x:c r="B76" t="str">
        <x:v>PRIMARY</x:v>
      </x:c>
      <x:c r="C76" t="str">
        <x:v>R9</x:v>
      </x:c>
      <x:c r="D76" t="str">
        <x:v>61–90</x:v>
      </x:c>
      <x:c r="E76" t="n">
        <x:v>2.5</x:v>
      </x:c>
      <x:c r="F76" t="n">
        <x:v>12</x:v>
      </x:c>
      <x:c r="G76" t="n">
        <x:v>4</x:v>
      </x:c>
      <x:c r="H76" s="127" t="n">
        <x:f>MIC_Harmonized!G10</x:f>
        <x:v>0.08443271767810026</x:v>
      </x:c>
      <x:c r="I76" s="127" t="n">
        <x:v>79.83</x:v>
      </x:c>
      <x:c r="J76" s="127" t="n">
        <x:v>73.225</x:v>
      </x:c>
      <x:c r="K76" s="127" t="n">
        <x:v>71.64500000000001</x:v>
      </x:c>
      <x:c r="L76" s="127" t="n">
        <x:f>H76*I76/100</x:f>
        <x:v>0.06740263852242744</x:v>
      </x:c>
      <x:c r="M76" s="127" t="n">
        <x:f>H76*J76/100</x:f>
        <x:v>0.06182585751978891</x:v>
      </x:c>
      <x:c r="N76" s="127" t="n">
        <x:f>H76*K76/100</x:f>
        <x:v>0.06049182058047494</x:v>
      </x:c>
      <x:c r="O76" t="str">
        <x:v>Lee et al. 2022, IJAA 60:106679, Table 3</x:v>
      </x:c>
    </x:row>
    <x:row r="77">
      <x:c r="A77" t="str">
        <x:v>LEE2022_KPC_KP</x:v>
      </x:c>
      <x:c r="B77" t="str">
        <x:v>PRIMARY</x:v>
      </x:c>
      <x:c r="C77" t="str">
        <x:v>R9</x:v>
      </x:c>
      <x:c r="D77" t="str">
        <x:v>61–90</x:v>
      </x:c>
      <x:c r="E77" t="n">
        <x:v>2.5</x:v>
      </x:c>
      <x:c r="F77" t="n">
        <x:v>12</x:v>
      </x:c>
      <x:c r="G77" t="n">
        <x:v>8</x:v>
      </x:c>
      <x:c r="H77" s="127" t="n">
        <x:f>MIC_Harmonized!G11</x:f>
        <x:v>0.010554089709762533</x:v>
      </x:c>
      <x:c r="I77" s="127" t="n">
        <x:v>40.085</x:v>
      </x:c>
      <x:c r="J77" s="127" t="n">
        <x:v>73.225</x:v>
      </x:c>
      <x:c r="K77" s="127" t="n">
        <x:v>40.08</x:v>
      </x:c>
      <x:c r="L77" s="127" t="n">
        <x:f>H77*I77/100</x:f>
        <x:v>0.004230606860158311</x:v>
      </x:c>
      <x:c r="M77" s="127" t="n">
        <x:f>H77*J77/100</x:f>
        <x:v>0.007728232189973614</x:v>
      </x:c>
      <x:c r="N77" s="127" t="n">
        <x:f>H77*K77/100</x:f>
        <x:v>0.004230079155672823</x:v>
      </x:c>
      <x:c r="O77" t="str">
        <x:v>Lee et al. 2022, IJAA 60:106679, Table 3</x:v>
      </x:c>
    </x:row>
    <x:row r="78">
      <x:c r="A78" t="str">
        <x:v>LEE2022_KPC_KP</x:v>
      </x:c>
      <x:c r="B78" t="str">
        <x:v>PRIMARY</x:v>
      </x:c>
      <x:c r="C78" t="str">
        <x:v>R9</x:v>
      </x:c>
      <x:c r="D78" t="str">
        <x:v>61–90</x:v>
      </x:c>
      <x:c r="E78" t="n">
        <x:v>2.5</x:v>
      </x:c>
      <x:c r="F78" t="n">
        <x:v>12</x:v>
      </x:c>
      <x:c r="G78" t="n">
        <x:v>16</x:v>
      </x:c>
      <x:c r="H78" s="127" t="n">
        <x:f>MIC_Harmonized!G12</x:f>
        <x:v>0.002638522427440633</x:v>
      </x:c>
      <x:c r="I78" s="127" t="n">
        <x:v>8.53</x:v>
      </x:c>
      <x:c r="J78" s="127" t="n">
        <x:v>73.225</x:v>
      </x:c>
      <x:c r="K78" s="127" t="n">
        <x:v>8.53</x:v>
      </x:c>
      <x:c r="L78" s="127" t="n">
        <x:f>H78*I78/100</x:f>
        <x:v>0.00022506596306068598</x:v>
      </x:c>
      <x:c r="M78" s="127" t="n">
        <x:f>H78*J78/100</x:f>
        <x:v>0.0019320580474934035</x:v>
      </x:c>
      <x:c r="N78" s="127" t="n">
        <x:f>H78*K78/100</x:f>
        <x:v>0.00022506596306068598</x:v>
      </x:c>
      <x:c r="O78" t="str">
        <x:v>Lee et al. 2022, IJAA 60:106679, Table 3</x:v>
      </x:c>
    </x:row>
    <x:row r="79">
      <x:c r="A79" t="str">
        <x:v>LEE2022_KPC_KP</x:v>
      </x:c>
      <x:c r="B79" t="str">
        <x:v>PRIMARY</x:v>
      </x:c>
      <x:c r="C79" t="str">
        <x:v>R9</x:v>
      </x:c>
      <x:c r="D79" t="str">
        <x:v>61–90</x:v>
      </x:c>
      <x:c r="E79" t="n">
        <x:v>2.5</x:v>
      </x:c>
      <x:c r="F79" t="n">
        <x:v>12</x:v>
      </x:c>
      <x:c r="G79" t="n">
        <x:v>32</x:v>
      </x:c>
      <x:c r="H79" s="127" t="n">
        <x:f>MIC_Harmonized!G13</x:f>
        <x:v>0</x:v>
      </x:c>
      <x:c r="I79" s="127" t="n">
        <x:v>0.62</x:v>
      </x:c>
      <x:c r="J79" s="127" t="n">
        <x:v>73.225</x:v>
      </x:c>
      <x:c r="K79" s="127" t="n">
        <x:v>0.62</x:v>
      </x:c>
      <x:c r="L79" s="127" t="n">
        <x:f>H79*I79/100</x:f>
        <x:v>0</x:v>
      </x:c>
      <x:c r="M79" s="127" t="n">
        <x:f>H79*J79/100</x:f>
        <x:v>0</x:v>
      </x:c>
      <x:c r="N79" s="127" t="n">
        <x:f>H79*K79/100</x:f>
        <x:v>0</x:v>
      </x:c>
      <x:c r="O79" t="str">
        <x:v>Lee et al. 2022, IJAA 60:106679, Table 3</x:v>
      </x:c>
    </x:row>
    <x:row r="80">
      <x:c r="A80" t="str">
        <x:v>LEE2022_KPC_KP</x:v>
      </x:c>
      <x:c r="B80" t="str">
        <x:v>PRIMARY</x:v>
      </x:c>
      <x:c r="C80" t="str">
        <x:v>R9</x:v>
      </x:c>
      <x:c r="D80" t="str">
        <x:v>61–90</x:v>
      </x:c>
      <x:c r="E80" t="n">
        <x:v>2.5</x:v>
      </x:c>
      <x:c r="F80" t="n">
        <x:v>12</x:v>
      </x:c>
      <x:c r="G80" t="n">
        <x:v>64</x:v>
      </x:c>
      <x:c r="H80" s="127" t="n">
        <x:f>MIC_Harmonized!G14</x:f>
        <x:v>0.002638522427440633</x:v>
      </x:c>
      <x:c r="I80" s="127" t="n">
        <x:v>0.04</x:v>
      </x:c>
      <x:c r="J80" s="127" t="n">
        <x:v>73.225</x:v>
      </x:c>
      <x:c r="K80" s="127" t="n">
        <x:v>0.04</x:v>
      </x:c>
      <x:c r="L80" s="127" t="n">
        <x:f>H80*I80/100</x:f>
        <x:v>0.0000010554089709762534</x:v>
      </x:c>
      <x:c r="M80" s="127" t="n">
        <x:f>H80*J80/100</x:f>
        <x:v>0.0019320580474934035</x:v>
      </x:c>
      <x:c r="N80" s="127" t="n">
        <x:f>H80*K80/100</x:f>
        <x:v>0.0000010554089709762534</x:v>
      </x:c>
      <x:c r="O80" t="str">
        <x:v>Lee et al. 2022, IJAA 60:106679, Table 3</x:v>
      </x:c>
    </x:row>
    <x:row r="81">
      <x:c r="A81" t="str">
        <x:v>LEE2022_KPC_KP</x:v>
      </x:c>
      <x:c r="B81" t="str">
        <x:v>PRIMARY</x:v>
      </x:c>
      <x:c r="C81" t="str">
        <x:v>R10</x:v>
      </x:c>
      <x:c r="D81" t="str">
        <x:v>61–90</x:v>
      </x:c>
      <x:c r="E81" t="n">
        <x:v>2.5</x:v>
      </x:c>
      <x:c r="F81" t="n">
        <x:v>8</x:v>
      </x:c>
      <x:c r="G81" t="n">
        <x:v>0.0625</x:v>
      </x:c>
      <x:c r="H81" s="127" t="n">
        <x:f>MIC_Harmonized!G4</x:f>
        <x:v>0.013192612137203167</x:v>
      </x:c>
      <x:c r="I81" s="127" t="n">
        <x:v>100</x:v>
      </x:c>
      <x:c r="J81" s="127" t="n">
        <x:v>88.405</x:v>
      </x:c>
      <x:c r="K81" s="127" t="n">
        <x:v>88.405</x:v>
      </x:c>
      <x:c r="L81" s="127" t="n">
        <x:f>H81*I81/100</x:f>
        <x:v>0.013192612137203165</x:v>
      </x:c>
      <x:c r="M81" s="127" t="n">
        <x:f>H81*J81/100</x:f>
        <x:v>0.01166292875989446</x:v>
      </x:c>
      <x:c r="N81" s="127" t="n">
        <x:f>H81*K81/100</x:f>
        <x:v>0.01166292875989446</x:v>
      </x:c>
      <x:c r="O81" t="str">
        <x:v>Lee et al. 2022, IJAA 60:106679, Table 3</x:v>
      </x:c>
    </x:row>
    <x:row r="82">
      <x:c r="A82" t="str">
        <x:v>LEE2022_KPC_KP</x:v>
      </x:c>
      <x:c r="B82" t="str">
        <x:v>PRIMARY</x:v>
      </x:c>
      <x:c r="C82" t="str">
        <x:v>R10</x:v>
      </x:c>
      <x:c r="D82" t="str">
        <x:v>61–90</x:v>
      </x:c>
      <x:c r="E82" t="n">
        <x:v>2.5</x:v>
      </x:c>
      <x:c r="F82" t="n">
        <x:v>8</x:v>
      </x:c>
      <x:c r="G82" t="n">
        <x:v>0.125</x:v>
      </x:c>
      <x:c r="H82" s="127" t="n">
        <x:f>MIC_Harmonized!G5</x:f>
        <x:v>0.005277044854881266</x:v>
      </x:c>
      <x:c r="I82" s="127" t="n">
        <x:v>100</x:v>
      </x:c>
      <x:c r="J82" s="127" t="n">
        <x:v>88.405</x:v>
      </x:c>
      <x:c r="K82" s="127" t="n">
        <x:v>88.405</x:v>
      </x:c>
      <x:c r="L82" s="127" t="n">
        <x:f>H82*I82/100</x:f>
        <x:v>0.005277044854881266</x:v>
      </x:c>
      <x:c r="M82" s="127" t="n">
        <x:f>H82*J82/100</x:f>
        <x:v>0.0046651715039577836</x:v>
      </x:c>
      <x:c r="N82" s="127" t="n">
        <x:f>H82*K82/100</x:f>
        <x:v>0.0046651715039577836</x:v>
      </x:c>
      <x:c r="O82" t="str">
        <x:v>Lee et al. 2022, IJAA 60:106679, Table 3</x:v>
      </x:c>
    </x:row>
    <x:row r="83">
      <x:c r="A83" t="str">
        <x:v>LEE2022_KPC_KP</x:v>
      </x:c>
      <x:c r="B83" t="str">
        <x:v>PRIMARY</x:v>
      </x:c>
      <x:c r="C83" t="str">
        <x:v>R10</x:v>
      </x:c>
      <x:c r="D83" t="str">
        <x:v>61–90</x:v>
      </x:c>
      <x:c r="E83" t="n">
        <x:v>2.5</x:v>
      </x:c>
      <x:c r="F83" t="n">
        <x:v>8</x:v>
      </x:c>
      <x:c r="G83" t="n">
        <x:v>0.25</x:v>
      </x:c>
      <x:c r="H83" s="127" t="n">
        <x:f>MIC_Harmonized!G6</x:f>
        <x:v>0.044854881266490766</x:v>
      </x:c>
      <x:c r="I83" s="127" t="n">
        <x:v>100</x:v>
      </x:c>
      <x:c r="J83" s="127" t="n">
        <x:v>88.405</x:v>
      </x:c>
      <x:c r="K83" s="127" t="n">
        <x:v>88.405</x:v>
      </x:c>
      <x:c r="L83" s="127" t="n">
        <x:f>H83*I83/100</x:f>
        <x:v>0.04485488126649076</x:v>
      </x:c>
      <x:c r="M83" s="127" t="n">
        <x:f>H83*J83/100</x:f>
        <x:v>0.03965395778364116</x:v>
      </x:c>
      <x:c r="N83" s="127" t="n">
        <x:f>H83*K83/100</x:f>
        <x:v>0.03965395778364116</x:v>
      </x:c>
      <x:c r="O83" t="str">
        <x:v>Lee et al. 2022, IJAA 60:106679, Table 3</x:v>
      </x:c>
    </x:row>
    <x:row r="84">
      <x:c r="A84" t="str">
        <x:v>LEE2022_KPC_KP</x:v>
      </x:c>
      <x:c r="B84" t="str">
        <x:v>PRIMARY</x:v>
      </x:c>
      <x:c r="C84" t="str">
        <x:v>R10</x:v>
      </x:c>
      <x:c r="D84" t="str">
        <x:v>61–90</x:v>
      </x:c>
      <x:c r="E84" t="n">
        <x:v>2.5</x:v>
      </x:c>
      <x:c r="F84" t="n">
        <x:v>8</x:v>
      </x:c>
      <x:c r="G84" t="n">
        <x:v>0.5</x:v>
      </x:c>
      <x:c r="H84" s="127" t="n">
        <x:f>MIC_Harmonized!G7</x:f>
        <x:v>0.1741424802110818</x:v>
      </x:c>
      <x:c r="I84" s="127" t="n">
        <x:v>100</x:v>
      </x:c>
      <x:c r="J84" s="127" t="n">
        <x:v>88.405</x:v>
      </x:c>
      <x:c r="K84" s="127" t="n">
        <x:v>88.405</x:v>
      </x:c>
      <x:c r="L84" s="127" t="n">
        <x:f>H84*I84/100</x:f>
        <x:v>0.17414248021108178</x:v>
      </x:c>
      <x:c r="M84" s="127" t="n">
        <x:f>H84*J84/100</x:f>
        <x:v>0.1539506596306069</x:v>
      </x:c>
      <x:c r="N84" s="127" t="n">
        <x:f>H84*K84/100</x:f>
        <x:v>0.1539506596306069</x:v>
      </x:c>
      <x:c r="O84" t="str">
        <x:v>Lee et al. 2022, IJAA 60:106679, Table 3</x:v>
      </x:c>
    </x:row>
    <x:row r="85">
      <x:c r="A85" t="str">
        <x:v>LEE2022_KPC_KP</x:v>
      </x:c>
      <x:c r="B85" t="str">
        <x:v>PRIMARY</x:v>
      </x:c>
      <x:c r="C85" t="str">
        <x:v>R10</x:v>
      </x:c>
      <x:c r="D85" t="str">
        <x:v>61–90</x:v>
      </x:c>
      <x:c r="E85" t="n">
        <x:v>2.5</x:v>
      </x:c>
      <x:c r="F85" t="n">
        <x:v>8</x:v>
      </x:c>
      <x:c r="G85" t="n">
        <x:v>1</x:v>
      </x:c>
      <x:c r="H85" s="127" t="n">
        <x:f>MIC_Harmonized!G8</x:f>
        <x:v>0.39313984168865435</x:v>
      </x:c>
      <x:c r="I85" s="127" t="n">
        <x:v>99.995</x:v>
      </x:c>
      <x:c r="J85" s="127" t="n">
        <x:v>88.405</x:v>
      </x:c>
      <x:c r="K85" s="127" t="n">
        <x:v>88.405</x:v>
      </x:c>
      <x:c r="L85" s="127" t="n">
        <x:f>H85*I85/100</x:f>
        <x:v>0.3931201846965699</x:v>
      </x:c>
      <x:c r="M85" s="127" t="n">
        <x:f>H85*J85/100</x:f>
        <x:v>0.3475552770448549</x:v>
      </x:c>
      <x:c r="N85" s="127" t="n">
        <x:f>H85*K85/100</x:f>
        <x:v>0.3475552770448549</x:v>
      </x:c>
      <x:c r="O85" t="str">
        <x:v>Lee et al. 2022, IJAA 60:106679, Table 3</x:v>
      </x:c>
    </x:row>
    <x:row r="86">
      <x:c r="A86" t="str">
        <x:v>LEE2022_KPC_KP</x:v>
      </x:c>
      <x:c r="B86" t="str">
        <x:v>PRIMARY</x:v>
      </x:c>
      <x:c r="C86" t="str">
        <x:v>R10</x:v>
      </x:c>
      <x:c r="D86" t="str">
        <x:v>61–90</x:v>
      </x:c>
      <x:c r="E86" t="n">
        <x:v>2.5</x:v>
      </x:c>
      <x:c r="F86" t="n">
        <x:v>8</x:v>
      </x:c>
      <x:c r="G86" t="n">
        <x:v>2</x:v>
      </x:c>
      <x:c r="H86" s="127" t="n">
        <x:f>MIC_Harmonized!G9</x:f>
        <x:v>0.2691292875989446</x:v>
      </x:c>
      <x:c r="I86" s="127" t="n">
        <x:v>99.555</x:v>
      </x:c>
      <x:c r="J86" s="127" t="n">
        <x:v>88.405</x:v>
      </x:c>
      <x:c r="K86" s="127" t="n">
        <x:v>88.405</x:v>
      </x:c>
      <x:c r="L86" s="127" t="n">
        <x:f>H86*I86/100</x:f>
        <x:v>0.26793166226912934</x:v>
      </x:c>
      <x:c r="M86" s="127" t="n">
        <x:f>H86*J86/100</x:f>
        <x:v>0.237923746701847</x:v>
      </x:c>
      <x:c r="N86" s="127" t="n">
        <x:f>H86*K86/100</x:f>
        <x:v>0.237923746701847</x:v>
      </x:c>
      <x:c r="O86" t="str">
        <x:v>Lee et al. 2022, IJAA 60:106679, Table 3</x:v>
      </x:c>
    </x:row>
    <x:row r="87">
      <x:c r="A87" t="str">
        <x:v>LEE2022_KPC_KP</x:v>
      </x:c>
      <x:c r="B87" t="str">
        <x:v>PRIMARY</x:v>
      </x:c>
      <x:c r="C87" t="str">
        <x:v>R10</x:v>
      </x:c>
      <x:c r="D87" t="str">
        <x:v>61–90</x:v>
      </x:c>
      <x:c r="E87" t="n">
        <x:v>2.5</x:v>
      </x:c>
      <x:c r="F87" t="n">
        <x:v>8</x:v>
      </x:c>
      <x:c r="G87" t="n">
        <x:v>4</x:v>
      </x:c>
      <x:c r="H87" s="127" t="n">
        <x:f>MIC_Harmonized!G10</x:f>
        <x:v>0.08443271767810026</x:v>
      </x:c>
      <x:c r="I87" s="127" t="n">
        <x:v>93.105</x:v>
      </x:c>
      <x:c r="J87" s="127" t="n">
        <x:v>88.405</x:v>
      </x:c>
      <x:c r="K87" s="127" t="n">
        <x:v>87.76</x:v>
      </x:c>
      <x:c r="L87" s="127" t="n">
        <x:f>H87*I87/100</x:f>
        <x:v>0.07861108179419525</x:v>
      </x:c>
      <x:c r="M87" s="127" t="n">
        <x:f>H87*J87/100</x:f>
        <x:v>0.07464274406332454</x:v>
      </x:c>
      <x:c r="N87" s="127" t="n">
        <x:f>H87*K87/100</x:f>
        <x:v>0.0740981530343008</x:v>
      </x:c>
      <x:c r="O87" t="str">
        <x:v>Lee et al. 2022, IJAA 60:106679, Table 3</x:v>
      </x:c>
    </x:row>
    <x:row r="88">
      <x:c r="A88" t="str">
        <x:v>LEE2022_KPC_KP</x:v>
      </x:c>
      <x:c r="B88" t="str">
        <x:v>PRIMARY</x:v>
      </x:c>
      <x:c r="C88" t="str">
        <x:v>R10</x:v>
      </x:c>
      <x:c r="D88" t="str">
        <x:v>61–90</x:v>
      </x:c>
      <x:c r="E88" t="n">
        <x:v>2.5</x:v>
      </x:c>
      <x:c r="F88" t="n">
        <x:v>8</x:v>
      </x:c>
      <x:c r="G88" t="n">
        <x:v>8</x:v>
      </x:c>
      <x:c r="H88" s="127" t="n">
        <x:f>MIC_Harmonized!G11</x:f>
        <x:v>0.010554089709762533</x:v>
      </x:c>
      <x:c r="I88" s="127" t="n">
        <x:v>64.945</x:v>
      </x:c>
      <x:c r="J88" s="127" t="n">
        <x:v>88.405</x:v>
      </x:c>
      <x:c r="K88" s="127" t="n">
        <x:v>64.92999999999999</x:v>
      </x:c>
      <x:c r="L88" s="127" t="n">
        <x:f>H88*I88/100</x:f>
        <x:v>0.006854353562005276</x:v>
      </x:c>
      <x:c r="M88" s="127" t="n">
        <x:f>H88*J88/100</x:f>
        <x:v>0.009330343007915567</x:v>
      </x:c>
      <x:c r="N88" s="127" t="n">
        <x:f>H88*K88/100</x:f>
        <x:v>0.006852770448548812</x:v>
      </x:c>
      <x:c r="O88" t="str">
        <x:v>Lee et al. 2022, IJAA 60:106679, Table 3</x:v>
      </x:c>
    </x:row>
    <x:row r="89">
      <x:c r="A89" t="str">
        <x:v>LEE2022_KPC_KP</x:v>
      </x:c>
      <x:c r="B89" t="str">
        <x:v>PRIMARY</x:v>
      </x:c>
      <x:c r="C89" t="str">
        <x:v>R10</x:v>
      </x:c>
      <x:c r="D89" t="str">
        <x:v>61–90</x:v>
      </x:c>
      <x:c r="E89" t="n">
        <x:v>2.5</x:v>
      </x:c>
      <x:c r="F89" t="n">
        <x:v>8</x:v>
      </x:c>
      <x:c r="G89" t="n">
        <x:v>16</x:v>
      </x:c>
      <x:c r="H89" s="127" t="n">
        <x:f>MIC_Harmonized!G12</x:f>
        <x:v>0.002638522427440633</x:v>
      </x:c>
      <x:c r="I89" s="127" t="n">
        <x:v>23.75</x:v>
      </x:c>
      <x:c r="J89" s="127" t="n">
        <x:v>88.405</x:v>
      </x:c>
      <x:c r="K89" s="127" t="n">
        <x:v>23.75</x:v>
      </x:c>
      <x:c r="L89" s="127" t="n">
        <x:f>H89*I89/100</x:f>
        <x:v>0.0006266490765171503</x:v>
      </x:c>
      <x:c r="M89" s="127" t="n">
        <x:f>H89*J89/100</x:f>
        <x:v>0.0023325857519788918</x:v>
      </x:c>
      <x:c r="N89" s="127" t="n">
        <x:f>H89*K89/100</x:f>
        <x:v>0.0006266490765171503</x:v>
      </x:c>
      <x:c r="O89" t="str">
        <x:v>Lee et al. 2022, IJAA 60:106679, Table 3</x:v>
      </x:c>
    </x:row>
    <x:row r="90">
      <x:c r="A90" t="str">
        <x:v>LEE2022_KPC_KP</x:v>
      </x:c>
      <x:c r="B90" t="str">
        <x:v>PRIMARY</x:v>
      </x:c>
      <x:c r="C90" t="str">
        <x:v>R10</x:v>
      </x:c>
      <x:c r="D90" t="str">
        <x:v>61–90</x:v>
      </x:c>
      <x:c r="E90" t="n">
        <x:v>2.5</x:v>
      </x:c>
      <x:c r="F90" t="n">
        <x:v>8</x:v>
      </x:c>
      <x:c r="G90" t="n">
        <x:v>32</x:v>
      </x:c>
      <x:c r="H90" s="127" t="n">
        <x:f>MIC_Harmonized!G13</x:f>
        <x:v>0</x:v>
      </x:c>
      <x:c r="I90" s="127" t="n">
        <x:v>3.485</x:v>
      </x:c>
      <x:c r="J90" s="127" t="n">
        <x:v>88.405</x:v>
      </x:c>
      <x:c r="K90" s="127" t="n">
        <x:v>3.485</x:v>
      </x:c>
      <x:c r="L90" s="127" t="n">
        <x:f>H90*I90/100</x:f>
        <x:v>0</x:v>
      </x:c>
      <x:c r="M90" s="127" t="n">
        <x:f>H90*J90/100</x:f>
        <x:v>0</x:v>
      </x:c>
      <x:c r="N90" s="127" t="n">
        <x:f>H90*K90/100</x:f>
        <x:v>0</x:v>
      </x:c>
      <x:c r="O90" t="str">
        <x:v>Lee et al. 2022, IJAA 60:106679, Table 3</x:v>
      </x:c>
    </x:row>
    <x:row r="91">
      <x:c r="A91" t="str">
        <x:v>LEE2022_KPC_KP</x:v>
      </x:c>
      <x:c r="B91" t="str">
        <x:v>PRIMARY</x:v>
      </x:c>
      <x:c r="C91" t="str">
        <x:v>R10</x:v>
      </x:c>
      <x:c r="D91" t="str">
        <x:v>61–90</x:v>
      </x:c>
      <x:c r="E91" t="n">
        <x:v>2.5</x:v>
      </x:c>
      <x:c r="F91" t="n">
        <x:v>8</x:v>
      </x:c>
      <x:c r="G91" t="n">
        <x:v>64</x:v>
      </x:c>
      <x:c r="H91" s="127" t="n">
        <x:f>MIC_Harmonized!G14</x:f>
        <x:v>0.002638522427440633</x:v>
      </x:c>
      <x:c r="I91" s="127" t="n">
        <x:v>0.11499999999999999</x:v>
      </x:c>
      <x:c r="J91" s="127" t="n">
        <x:v>88.405</x:v>
      </x:c>
      <x:c r="K91" s="127" t="n">
        <x:v>0.11499999999999999</x:v>
      </x:c>
      <x:c r="L91" s="127" t="n">
        <x:f>H91*I91/100</x:f>
        <x:v>0.000003034300791556728</x:v>
      </x:c>
      <x:c r="M91" s="127" t="n">
        <x:f>H91*J91/100</x:f>
        <x:v>0.0023325857519788918</x:v>
      </x:c>
      <x:c r="N91" s="127" t="n">
        <x:f>H91*K91/100</x:f>
        <x:v>0.000003034300791556728</x:v>
      </x:c>
      <x:c r="O91" t="str">
        <x:v>Lee et al. 2022, IJAA 60:106679, Table 3</x:v>
      </x:c>
    </x:row>
    <x:row r="92">
      <x:c r="A92" t="str">
        <x:v>LEE2022_KPC_KP</x:v>
      </x:c>
      <x:c r="B92" t="str">
        <x:v>PRIMARY</x:v>
      </x:c>
      <x:c r="C92" t="str">
        <x:v>R11</x:v>
      </x:c>
      <x:c r="D92" t="str">
        <x:v>91–120</x:v>
      </x:c>
      <x:c r="E92" t="n">
        <x:v>2.5</x:v>
      </x:c>
      <x:c r="F92" t="n">
        <x:v>8</x:v>
      </x:c>
      <x:c r="G92" t="n">
        <x:v>0.0625</x:v>
      </x:c>
      <x:c r="H92" s="127" t="n">
        <x:f>MIC_Harmonized!G4</x:f>
        <x:v>0.013192612137203167</x:v>
      </x:c>
      <x:c r="I92" s="127" t="n">
        <x:v>100</x:v>
      </x:c>
      <x:c r="J92" s="127" t="n">
        <x:v>78.18</x:v>
      </x:c>
      <x:c r="K92" s="127" t="n">
        <x:v>78.18</x:v>
      </x:c>
      <x:c r="L92" s="127" t="n">
        <x:f>H92*I92/100</x:f>
        <x:v>0.013192612137203165</x:v>
      </x:c>
      <x:c r="M92" s="127" t="n">
        <x:f>H92*J92/100</x:f>
        <x:v>0.010313984168865437</x:v>
      </x:c>
      <x:c r="N92" s="127" t="n">
        <x:f>H92*K92/100</x:f>
        <x:v>0.010313984168865437</x:v>
      </x:c>
      <x:c r="O92" t="str">
        <x:v>Lee et al. 2022, IJAA 60:106679, Table 3</x:v>
      </x:c>
    </x:row>
    <x:row r="93">
      <x:c r="A93" t="str">
        <x:v>LEE2022_KPC_KP</x:v>
      </x:c>
      <x:c r="B93" t="str">
        <x:v>PRIMARY</x:v>
      </x:c>
      <x:c r="C93" t="str">
        <x:v>R11</x:v>
      </x:c>
      <x:c r="D93" t="str">
        <x:v>91–120</x:v>
      </x:c>
      <x:c r="E93" t="n">
        <x:v>2.5</x:v>
      </x:c>
      <x:c r="F93" t="n">
        <x:v>8</x:v>
      </x:c>
      <x:c r="G93" t="n">
        <x:v>0.125</x:v>
      </x:c>
      <x:c r="H93" s="127" t="n">
        <x:f>MIC_Harmonized!G5</x:f>
        <x:v>0.005277044854881266</x:v>
      </x:c>
      <x:c r="I93" s="127" t="n">
        <x:v>100</x:v>
      </x:c>
      <x:c r="J93" s="127" t="n">
        <x:v>78.18</x:v>
      </x:c>
      <x:c r="K93" s="127" t="n">
        <x:v>78.18</x:v>
      </x:c>
      <x:c r="L93" s="127" t="n">
        <x:f>H93*I93/100</x:f>
        <x:v>0.005277044854881266</x:v>
      </x:c>
      <x:c r="M93" s="127" t="n">
        <x:f>H93*J93/100</x:f>
        <x:v>0.004125593667546175</x:v>
      </x:c>
      <x:c r="N93" s="127" t="n">
        <x:f>H93*K93/100</x:f>
        <x:v>0.004125593667546175</x:v>
      </x:c>
      <x:c r="O93" t="str">
        <x:v>Lee et al. 2022, IJAA 60:106679, Table 3</x:v>
      </x:c>
    </x:row>
    <x:row r="94">
      <x:c r="A94" t="str">
        <x:v>LEE2022_KPC_KP</x:v>
      </x:c>
      <x:c r="B94" t="str">
        <x:v>PRIMARY</x:v>
      </x:c>
      <x:c r="C94" t="str">
        <x:v>R11</x:v>
      </x:c>
      <x:c r="D94" t="str">
        <x:v>91–120</x:v>
      </x:c>
      <x:c r="E94" t="n">
        <x:v>2.5</x:v>
      </x:c>
      <x:c r="F94" t="n">
        <x:v>8</x:v>
      </x:c>
      <x:c r="G94" t="n">
        <x:v>0.25</x:v>
      </x:c>
      <x:c r="H94" s="127" t="n">
        <x:f>MIC_Harmonized!G6</x:f>
        <x:v>0.044854881266490766</x:v>
      </x:c>
      <x:c r="I94" s="127" t="n">
        <x:v>100</x:v>
      </x:c>
      <x:c r="J94" s="127" t="n">
        <x:v>78.18</x:v>
      </x:c>
      <x:c r="K94" s="127" t="n">
        <x:v>78.18</x:v>
      </x:c>
      <x:c r="L94" s="127" t="n">
        <x:f>H94*I94/100</x:f>
        <x:v>0.04485488126649076</x:v>
      </x:c>
      <x:c r="M94" s="127" t="n">
        <x:f>H94*J94/100</x:f>
        <x:v>0.03506754617414248</x:v>
      </x:c>
      <x:c r="N94" s="127" t="n">
        <x:f>H94*K94/100</x:f>
        <x:v>0.03506754617414248</x:v>
      </x:c>
      <x:c r="O94" t="str">
        <x:v>Lee et al. 2022, IJAA 60:106679, Table 3</x:v>
      </x:c>
    </x:row>
    <x:row r="95">
      <x:c r="A95" t="str">
        <x:v>LEE2022_KPC_KP</x:v>
      </x:c>
      <x:c r="B95" t="str">
        <x:v>PRIMARY</x:v>
      </x:c>
      <x:c r="C95" t="str">
        <x:v>R11</x:v>
      </x:c>
      <x:c r="D95" t="str">
        <x:v>91–120</x:v>
      </x:c>
      <x:c r="E95" t="n">
        <x:v>2.5</x:v>
      </x:c>
      <x:c r="F95" t="n">
        <x:v>8</x:v>
      </x:c>
      <x:c r="G95" t="n">
        <x:v>0.5</x:v>
      </x:c>
      <x:c r="H95" s="127" t="n">
        <x:f>MIC_Harmonized!G7</x:f>
        <x:v>0.1741424802110818</x:v>
      </x:c>
      <x:c r="I95" s="127" t="n">
        <x:v>99.995</x:v>
      </x:c>
      <x:c r="J95" s="127" t="n">
        <x:v>78.18</x:v>
      </x:c>
      <x:c r="K95" s="127" t="n">
        <x:v>78.18</x:v>
      </x:c>
      <x:c r="L95" s="127" t="n">
        <x:f>H95*I95/100</x:f>
        <x:v>0.17413377308707126</x:v>
      </x:c>
      <x:c r="M95" s="127" t="n">
        <x:f>H95*J95/100</x:f>
        <x:v>0.13614459102902376</x:v>
      </x:c>
      <x:c r="N95" s="127" t="n">
        <x:f>H95*K95/100</x:f>
        <x:v>0.13614459102902376</x:v>
      </x:c>
      <x:c r="O95" t="str">
        <x:v>Lee et al. 2022, IJAA 60:106679, Table 3</x:v>
      </x:c>
    </x:row>
    <x:row r="96">
      <x:c r="A96" t="str">
        <x:v>LEE2022_KPC_KP</x:v>
      </x:c>
      <x:c r="B96" t="str">
        <x:v>PRIMARY</x:v>
      </x:c>
      <x:c r="C96" t="str">
        <x:v>R11</x:v>
      </x:c>
      <x:c r="D96" t="str">
        <x:v>91–120</x:v>
      </x:c>
      <x:c r="E96" t="n">
        <x:v>2.5</x:v>
      </x:c>
      <x:c r="F96" t="n">
        <x:v>8</x:v>
      </x:c>
      <x:c r="G96" t="n">
        <x:v>1</x:v>
      </x:c>
      <x:c r="H96" s="127" t="n">
        <x:f>MIC_Harmonized!G8</x:f>
        <x:v>0.39313984168865435</x:v>
      </x:c>
      <x:c r="I96" s="127" t="n">
        <x:v>99.95</x:v>
      </x:c>
      <x:c r="J96" s="127" t="n">
        <x:v>78.18</x:v>
      </x:c>
      <x:c r="K96" s="127" t="n">
        <x:v>78.18</x:v>
      </x:c>
      <x:c r="L96" s="127" t="n">
        <x:f>H96*I96/100</x:f>
        <x:v>0.39294327176781</x:v>
      </x:c>
      <x:c r="M96" s="127" t="n">
        <x:f>H96*J96/100</x:f>
        <x:v>0.30735672823218996</x:v>
      </x:c>
      <x:c r="N96" s="127" t="n">
        <x:f>H96*K96/100</x:f>
        <x:v>0.30735672823218996</x:v>
      </x:c>
      <x:c r="O96" t="str">
        <x:v>Lee et al. 2022, IJAA 60:106679, Table 3</x:v>
      </x:c>
    </x:row>
    <x:row r="97">
      <x:c r="A97" t="str">
        <x:v>LEE2022_KPC_KP</x:v>
      </x:c>
      <x:c r="B97" t="str">
        <x:v>PRIMARY</x:v>
      </x:c>
      <x:c r="C97" t="str">
        <x:v>R11</x:v>
      </x:c>
      <x:c r="D97" t="str">
        <x:v>91–120</x:v>
      </x:c>
      <x:c r="E97" t="n">
        <x:v>2.5</x:v>
      </x:c>
      <x:c r="F97" t="n">
        <x:v>8</x:v>
      </x:c>
      <x:c r="G97" t="n">
        <x:v>2</x:v>
      </x:c>
      <x:c r="H97" s="127" t="n">
        <x:f>MIC_Harmonized!G9</x:f>
        <x:v>0.2691292875989446</x:v>
      </x:c>
      <x:c r="I97" s="127" t="n">
        <x:v>98.77</x:v>
      </x:c>
      <x:c r="J97" s="127" t="n">
        <x:v>78.18</x:v>
      </x:c>
      <x:c r="K97" s="127" t="n">
        <x:v>78.18</x:v>
      </x:c>
      <x:c r="L97" s="127" t="n">
        <x:f>H97*I97/100</x:f>
        <x:v>0.26581899736147757</x:v>
      </x:c>
      <x:c r="M97" s="127" t="n">
        <x:f>H97*J97/100</x:f>
        <x:v>0.2104052770448549</x:v>
      </x:c>
      <x:c r="N97" s="127" t="n">
        <x:f>H97*K97/100</x:f>
        <x:v>0.2104052770448549</x:v>
      </x:c>
      <x:c r="O97" t="str">
        <x:v>Lee et al. 2022, IJAA 60:106679, Table 3</x:v>
      </x:c>
    </x:row>
    <x:row r="98">
      <x:c r="A98" t="str">
        <x:v>LEE2022_KPC_KP</x:v>
      </x:c>
      <x:c r="B98" t="str">
        <x:v>PRIMARY</x:v>
      </x:c>
      <x:c r="C98" t="str">
        <x:v>R11</x:v>
      </x:c>
      <x:c r="D98" t="str">
        <x:v>91–120</x:v>
      </x:c>
      <x:c r="E98" t="n">
        <x:v>2.5</x:v>
      </x:c>
      <x:c r="F98" t="n">
        <x:v>8</x:v>
      </x:c>
      <x:c r="G98" t="n">
        <x:v>4</x:v>
      </x:c>
      <x:c r="H98" s="127" t="n">
        <x:f>MIC_Harmonized!G10</x:f>
        <x:v>0.08443271767810026</x:v>
      </x:c>
      <x:c r="I98" s="127" t="n">
        <x:v>86.905</x:v>
      </x:c>
      <x:c r="J98" s="127" t="n">
        <x:v>78.18</x:v>
      </x:c>
      <x:c r="K98" s="127" t="n">
        <x:v>77.46</x:v>
      </x:c>
      <x:c r="L98" s="127" t="n">
        <x:f>H98*I98/100</x:f>
        <x:v>0.07337625329815303</x:v>
      </x:c>
      <x:c r="M98" s="127" t="n">
        <x:f>H98*J98/100</x:f>
        <x:v>0.0660094986807388</x:v>
      </x:c>
      <x:c r="N98" s="127" t="n">
        <x:f>H98*K98/100</x:f>
        <x:v>0.06540158311345647</x:v>
      </x:c>
      <x:c r="O98" t="str">
        <x:v>Lee et al. 2022, IJAA 60:106679, Table 3</x:v>
      </x:c>
    </x:row>
    <x:row r="99">
      <x:c r="A99" t="str">
        <x:v>LEE2022_KPC_KP</x:v>
      </x:c>
      <x:c r="B99" t="str">
        <x:v>PRIMARY</x:v>
      </x:c>
      <x:c r="C99" t="str">
        <x:v>R11</x:v>
      </x:c>
      <x:c r="D99" t="str">
        <x:v>91–120</x:v>
      </x:c>
      <x:c r="E99" t="n">
        <x:v>2.5</x:v>
      </x:c>
      <x:c r="F99" t="n">
        <x:v>8</x:v>
      </x:c>
      <x:c r="G99" t="n">
        <x:v>8</x:v>
      </x:c>
      <x:c r="H99" s="127" t="n">
        <x:f>MIC_Harmonized!G11</x:f>
        <x:v>0.010554089709762533</x:v>
      </x:c>
      <x:c r="I99" s="127" t="n">
        <x:v>50.690000000000005</x:v>
      </x:c>
      <x:c r="J99" s="127" t="n">
        <x:v>78.18</x:v>
      </x:c>
      <x:c r="K99" s="127" t="n">
        <x:v>50.665000000000006</x:v>
      </x:c>
      <x:c r="L99" s="127" t="n">
        <x:f>H99*I99/100</x:f>
        <x:v>0.005349868073878629</x:v>
      </x:c>
      <x:c r="M99" s="127" t="n">
        <x:f>H99*J99/100</x:f>
        <x:v>0.00825118733509235</x:v>
      </x:c>
      <x:c r="N99" s="127" t="n">
        <x:f>H99*K99/100</x:f>
        <x:v>0.005347229551451188</x:v>
      </x:c>
      <x:c r="O99" t="str">
        <x:v>Lee et al. 2022, IJAA 60:106679, Table 3</x:v>
      </x:c>
    </x:row>
    <x:row r="100">
      <x:c r="A100" t="str">
        <x:v>LEE2022_KPC_KP</x:v>
      </x:c>
      <x:c r="B100" t="str">
        <x:v>PRIMARY</x:v>
      </x:c>
      <x:c r="C100" t="str">
        <x:v>R11</x:v>
      </x:c>
      <x:c r="D100" t="str">
        <x:v>91–120</x:v>
      </x:c>
      <x:c r="E100" t="n">
        <x:v>2.5</x:v>
      </x:c>
      <x:c r="F100" t="n">
        <x:v>8</x:v>
      </x:c>
      <x:c r="G100" t="n">
        <x:v>16</x:v>
      </x:c>
      <x:c r="H100" s="127" t="n">
        <x:f>MIC_Harmonized!G12</x:f>
        <x:v>0.002638522427440633</x:v>
      </x:c>
      <x:c r="I100" s="127" t="n">
        <x:v>13.469999999999999</x:v>
      </x:c>
      <x:c r="J100" s="127" t="n">
        <x:v>78.18</x:v>
      </x:c>
      <x:c r="K100" s="127" t="n">
        <x:v>13.469999999999999</x:v>
      </x:c>
      <x:c r="L100" s="127" t="n">
        <x:f>H100*I100/100</x:f>
        <x:v>0.00035540897097625327</x:v>
      </x:c>
      <x:c r="M100" s="127" t="n">
        <x:f>H100*J100/100</x:f>
        <x:v>0.0020627968337730875</x:v>
      </x:c>
      <x:c r="N100" s="127" t="n">
        <x:f>H100*K100/100</x:f>
        <x:v>0.00035540897097625327</x:v>
      </x:c>
      <x:c r="O100" t="str">
        <x:v>Lee et al. 2022, IJAA 60:106679, Table 3</x:v>
      </x:c>
    </x:row>
    <x:row r="101">
      <x:c r="A101" t="str">
        <x:v>LEE2022_KPC_KP</x:v>
      </x:c>
      <x:c r="B101" t="str">
        <x:v>PRIMARY</x:v>
      </x:c>
      <x:c r="C101" t="str">
        <x:v>R11</x:v>
      </x:c>
      <x:c r="D101" t="str">
        <x:v>91–120</x:v>
      </x:c>
      <x:c r="E101" t="n">
        <x:v>2.5</x:v>
      </x:c>
      <x:c r="F101" t="n">
        <x:v>8</x:v>
      </x:c>
      <x:c r="G101" t="n">
        <x:v>32</x:v>
      </x:c>
      <x:c r="H101" s="127" t="n">
        <x:f>MIC_Harmonized!G13</x:f>
        <x:v>0</x:v>
      </x:c>
      <x:c r="I101" s="127" t="n">
        <x:v>1.29</x:v>
      </x:c>
      <x:c r="J101" s="127" t="n">
        <x:v>78.18</x:v>
      </x:c>
      <x:c r="K101" s="127" t="n">
        <x:v>1.29</x:v>
      </x:c>
      <x:c r="L101" s="127" t="n">
        <x:f>H101*I101/100</x:f>
        <x:v>0</x:v>
      </x:c>
      <x:c r="M101" s="127" t="n">
        <x:f>H101*J101/100</x:f>
        <x:v>0</x:v>
      </x:c>
      <x:c r="N101" s="127" t="n">
        <x:f>H101*K101/100</x:f>
        <x:v>0</x:v>
      </x:c>
      <x:c r="O101" t="str">
        <x:v>Lee et al. 2022, IJAA 60:106679, Table 3</x:v>
      </x:c>
    </x:row>
    <x:row r="102">
      <x:c r="A102" t="str">
        <x:v>LEE2022_KPC_KP</x:v>
      </x:c>
      <x:c r="B102" t="str">
        <x:v>PRIMARY</x:v>
      </x:c>
      <x:c r="C102" t="str">
        <x:v>R11</x:v>
      </x:c>
      <x:c r="D102" t="str">
        <x:v>91–120</x:v>
      </x:c>
      <x:c r="E102" t="n">
        <x:v>2.5</x:v>
      </x:c>
      <x:c r="F102" t="n">
        <x:v>8</x:v>
      </x:c>
      <x:c r="G102" t="n">
        <x:v>64</x:v>
      </x:c>
      <x:c r="H102" s="127" t="n">
        <x:f>MIC_Harmonized!G14</x:f>
        <x:v>0.002638522427440633</x:v>
      </x:c>
      <x:c r="I102" s="127" t="n">
        <x:v>0.015</x:v>
      </x:c>
      <x:c r="J102" s="127" t="n">
        <x:v>78.18</x:v>
      </x:c>
      <x:c r="K102" s="127" t="n">
        <x:v>0.015</x:v>
      </x:c>
      <x:c r="L102" s="127" t="n">
        <x:f>H102*I102/100</x:f>
        <x:v>3.95778364116095e-7</x:v>
      </x:c>
      <x:c r="M102" s="127" t="n">
        <x:f>H102*J102/100</x:f>
        <x:v>0.0020627968337730875</x:v>
      </x:c>
      <x:c r="N102" s="127" t="n">
        <x:f>H102*K102/100</x:f>
        <x:v>3.95778364116095e-7</x:v>
      </x:c>
      <x:c r="O102" t="str">
        <x:v>Lee et al. 2022, IJAA 60:106679, Table 3</x:v>
      </x:c>
    </x:row>
    <x:row r="103">
      <x:c r="A103" t="str">
        <x:v>LEE2022_KPC_KP</x:v>
      </x:c>
      <x:c r="B103" t="str">
        <x:v>PRIMARY</x:v>
      </x:c>
      <x:c r="C103" t="str">
        <x:v>R12</x:v>
      </x:c>
      <x:c r="D103" t="str">
        <x:v>91–120</x:v>
      </x:c>
      <x:c r="E103" t="n">
        <x:v>2.5</x:v>
      </x:c>
      <x:c r="F103" t="n">
        <x:v>6</x:v>
      </x:c>
      <x:c r="G103" t="n">
        <x:v>0.0625</x:v>
      </x:c>
      <x:c r="H103" s="127" t="n">
        <x:f>MIC_Harmonized!G4</x:f>
        <x:v>0.013192612137203167</x:v>
      </x:c>
      <x:c r="I103" s="127" t="n">
        <x:v>100</x:v>
      </x:c>
      <x:c r="J103" s="127" t="n">
        <x:v>88.46000000000001</x:v>
      </x:c>
      <x:c r="K103" s="127" t="n">
        <x:v>88.46000000000001</x:v>
      </x:c>
      <x:c r="L103" s="127" t="n">
        <x:f>H103*I103/100</x:f>
        <x:v>0.013192612137203165</x:v>
      </x:c>
      <x:c r="M103" s="127" t="n">
        <x:f>H103*J103/100</x:f>
        <x:v>0.011670184696569923</x:v>
      </x:c>
      <x:c r="N103" s="127" t="n">
        <x:f>H103*K103/100</x:f>
        <x:v>0.011670184696569923</x:v>
      </x:c>
      <x:c r="O103" t="str">
        <x:v>Lee et al. 2022, IJAA 60:106679, Table 3</x:v>
      </x:c>
    </x:row>
    <x:row r="104">
      <x:c r="A104" t="str">
        <x:v>LEE2022_KPC_KP</x:v>
      </x:c>
      <x:c r="B104" t="str">
        <x:v>PRIMARY</x:v>
      </x:c>
      <x:c r="C104" t="str">
        <x:v>R12</x:v>
      </x:c>
      <x:c r="D104" t="str">
        <x:v>91–120</x:v>
      </x:c>
      <x:c r="E104" t="n">
        <x:v>2.5</x:v>
      </x:c>
      <x:c r="F104" t="n">
        <x:v>6</x:v>
      </x:c>
      <x:c r="G104" t="n">
        <x:v>0.125</x:v>
      </x:c>
      <x:c r="H104" s="127" t="n">
        <x:f>MIC_Harmonized!G5</x:f>
        <x:v>0.005277044854881266</x:v>
      </x:c>
      <x:c r="I104" s="127" t="n">
        <x:v>100</x:v>
      </x:c>
      <x:c r="J104" s="127" t="n">
        <x:v>88.46000000000001</x:v>
      </x:c>
      <x:c r="K104" s="127" t="n">
        <x:v>88.46000000000001</x:v>
      </x:c>
      <x:c r="L104" s="127" t="n">
        <x:f>H104*I104/100</x:f>
        <x:v>0.005277044854881266</x:v>
      </x:c>
      <x:c r="M104" s="127" t="n">
        <x:f>H104*J104/100</x:f>
        <x:v>0.004668073878627968</x:v>
      </x:c>
      <x:c r="N104" s="127" t="n">
        <x:f>H104*K104/100</x:f>
        <x:v>0.004668073878627968</x:v>
      </x:c>
      <x:c r="O104" t="str">
        <x:v>Lee et al. 2022, IJAA 60:106679, Table 3</x:v>
      </x:c>
    </x:row>
    <x:row r="105">
      <x:c r="A105" t="str">
        <x:v>LEE2022_KPC_KP</x:v>
      </x:c>
      <x:c r="B105" t="str">
        <x:v>PRIMARY</x:v>
      </x:c>
      <x:c r="C105" t="str">
        <x:v>R12</x:v>
      </x:c>
      <x:c r="D105" t="str">
        <x:v>91–120</x:v>
      </x:c>
      <x:c r="E105" t="n">
        <x:v>2.5</x:v>
      </x:c>
      <x:c r="F105" t="n">
        <x:v>6</x:v>
      </x:c>
      <x:c r="G105" t="n">
        <x:v>0.25</x:v>
      </x:c>
      <x:c r="H105" s="127" t="n">
        <x:f>MIC_Harmonized!G6</x:f>
        <x:v>0.044854881266490766</x:v>
      </x:c>
      <x:c r="I105" s="127" t="n">
        <x:v>100</x:v>
      </x:c>
      <x:c r="J105" s="127" t="n">
        <x:v>88.46000000000001</x:v>
      </x:c>
      <x:c r="K105" s="127" t="n">
        <x:v>88.46000000000001</x:v>
      </x:c>
      <x:c r="L105" s="127" t="n">
        <x:f>H105*I105/100</x:f>
        <x:v>0.04485488126649076</x:v>
      </x:c>
      <x:c r="M105" s="127" t="n">
        <x:f>H105*J105/100</x:f>
        <x:v>0.03967862796833774</x:v>
      </x:c>
      <x:c r="N105" s="127" t="n">
        <x:f>H105*K105/100</x:f>
        <x:v>0.03967862796833774</x:v>
      </x:c>
      <x:c r="O105" t="str">
        <x:v>Lee et al. 2022, IJAA 60:106679, Table 3</x:v>
      </x:c>
    </x:row>
    <x:row r="106">
      <x:c r="A106" t="str">
        <x:v>LEE2022_KPC_KP</x:v>
      </x:c>
      <x:c r="B106" t="str">
        <x:v>PRIMARY</x:v>
      </x:c>
      <x:c r="C106" t="str">
        <x:v>R12</x:v>
      </x:c>
      <x:c r="D106" t="str">
        <x:v>91–120</x:v>
      </x:c>
      <x:c r="E106" t="n">
        <x:v>2.5</x:v>
      </x:c>
      <x:c r="F106" t="n">
        <x:v>6</x:v>
      </x:c>
      <x:c r="G106" t="n">
        <x:v>0.5</x:v>
      </x:c>
      <x:c r="H106" s="127" t="n">
        <x:f>MIC_Harmonized!G7</x:f>
        <x:v>0.1741424802110818</x:v>
      </x:c>
      <x:c r="I106" s="127" t="n">
        <x:v>100</x:v>
      </x:c>
      <x:c r="J106" s="127" t="n">
        <x:v>88.46000000000001</x:v>
      </x:c>
      <x:c r="K106" s="127" t="n">
        <x:v>88.46000000000001</x:v>
      </x:c>
      <x:c r="L106" s="127" t="n">
        <x:f>H106*I106/100</x:f>
        <x:v>0.17414248021108178</x:v>
      </x:c>
      <x:c r="M106" s="127" t="n">
        <x:f>H106*J106/100</x:f>
        <x:v>0.15404643799472298</x:v>
      </x:c>
      <x:c r="N106" s="127" t="n">
        <x:f>H106*K106/100</x:f>
        <x:v>0.15404643799472298</x:v>
      </x:c>
      <x:c r="O106" t="str">
        <x:v>Lee et al. 2022, IJAA 60:106679, Table 3</x:v>
      </x:c>
    </x:row>
    <x:row r="107">
      <x:c r="A107" t="str">
        <x:v>LEE2022_KPC_KP</x:v>
      </x:c>
      <x:c r="B107" t="str">
        <x:v>PRIMARY</x:v>
      </x:c>
      <x:c r="C107" t="str">
        <x:v>R12</x:v>
      </x:c>
      <x:c r="D107" t="str">
        <x:v>91–120</x:v>
      </x:c>
      <x:c r="E107" t="n">
        <x:v>2.5</x:v>
      </x:c>
      <x:c r="F107" t="n">
        <x:v>6</x:v>
      </x:c>
      <x:c r="G107" t="n">
        <x:v>1</x:v>
      </x:c>
      <x:c r="H107" s="127" t="n">
        <x:f>MIC_Harmonized!G8</x:f>
        <x:v>0.39313984168865435</x:v>
      </x:c>
      <x:c r="I107" s="127" t="n">
        <x:v>99.99</x:v>
      </x:c>
      <x:c r="J107" s="127" t="n">
        <x:v>88.46000000000001</x:v>
      </x:c>
      <x:c r="K107" s="127" t="n">
        <x:v>88.46000000000001</x:v>
      </x:c>
      <x:c r="L107" s="127" t="n">
        <x:f>H107*I107/100</x:f>
        <x:v>0.39310052770448545</x:v>
      </x:c>
      <x:c r="M107" s="127" t="n">
        <x:f>H107*J107/100</x:f>
        <x:v>0.3477715039577836</x:v>
      </x:c>
      <x:c r="N107" s="127" t="n">
        <x:f>H107*K107/100</x:f>
        <x:v>0.3477715039577836</x:v>
      </x:c>
      <x:c r="O107" t="str">
        <x:v>Lee et al. 2022, IJAA 60:106679, Table 3</x:v>
      </x:c>
    </x:row>
    <x:row r="108">
      <x:c r="A108" t="str">
        <x:v>LEE2022_KPC_KP</x:v>
      </x:c>
      <x:c r="B108" t="str">
        <x:v>PRIMARY</x:v>
      </x:c>
      <x:c r="C108" t="str">
        <x:v>R12</x:v>
      </x:c>
      <x:c r="D108" t="str">
        <x:v>91–120</x:v>
      </x:c>
      <x:c r="E108" t="n">
        <x:v>2.5</x:v>
      </x:c>
      <x:c r="F108" t="n">
        <x:v>6</x:v>
      </x:c>
      <x:c r="G108" t="n">
        <x:v>2</x:v>
      </x:c>
      <x:c r="H108" s="127" t="n">
        <x:f>MIC_Harmonized!G9</x:f>
        <x:v>0.2691292875989446</x:v>
      </x:c>
      <x:c r="I108" s="127" t="n">
        <x:v>99.68</x:v>
      </x:c>
      <x:c r="J108" s="127" t="n">
        <x:v>88.46000000000001</x:v>
      </x:c>
      <x:c r="K108" s="127" t="n">
        <x:v>88.46000000000001</x:v>
      </x:c>
      <x:c r="L108" s="127" t="n">
        <x:f>H108*I108/100</x:f>
        <x:v>0.268268073878628</x:v>
      </x:c>
      <x:c r="M108" s="127" t="n">
        <x:f>H108*J108/100</x:f>
        <x:v>0.23807176781002642</x:v>
      </x:c>
      <x:c r="N108" s="127" t="n">
        <x:f>H108*K108/100</x:f>
        <x:v>0.23807176781002642</x:v>
      </x:c>
      <x:c r="O108" t="str">
        <x:v>Lee et al. 2022, IJAA 60:106679, Table 3</x:v>
      </x:c>
    </x:row>
    <x:row r="109">
      <x:c r="A109" t="str">
        <x:v>LEE2022_KPC_KP</x:v>
      </x:c>
      <x:c r="B109" t="str">
        <x:v>PRIMARY</x:v>
      </x:c>
      <x:c r="C109" t="str">
        <x:v>R12</x:v>
      </x:c>
      <x:c r="D109" t="str">
        <x:v>91–120</x:v>
      </x:c>
      <x:c r="E109" t="n">
        <x:v>2.5</x:v>
      </x:c>
      <x:c r="F109" t="n">
        <x:v>6</x:v>
      </x:c>
      <x:c r="G109" t="n">
        <x:v>4</x:v>
      </x:c>
      <x:c r="H109" s="127" t="n">
        <x:f>MIC_Harmonized!G10</x:f>
        <x:v>0.08443271767810026</x:v>
      </x:c>
      <x:c r="I109" s="127" t="n">
        <x:v>94.405</x:v>
      </x:c>
      <x:c r="J109" s="127" t="n">
        <x:v>88.46000000000001</x:v>
      </x:c>
      <x:c r="K109" s="127" t="n">
        <x:v>88.07000000000001</x:v>
      </x:c>
      <x:c r="L109" s="127" t="n">
        <x:f>H109*I109/100</x:f>
        <x:v>0.07970870712401056</x:v>
      </x:c>
      <x:c r="M109" s="127" t="n">
        <x:f>H109*J109/100</x:f>
        <x:v>0.07468918205804749</x:v>
      </x:c>
      <x:c r="N109" s="127" t="n">
        <x:f>H109*K109/100</x:f>
        <x:v>0.0743598944591029</x:v>
      </x:c>
      <x:c r="O109" t="str">
        <x:v>Lee et al. 2022, IJAA 60:106679, Table 3</x:v>
      </x:c>
    </x:row>
    <x:row r="110">
      <x:c r="A110" t="str">
        <x:v>LEE2022_KPC_KP</x:v>
      </x:c>
      <x:c r="B110" t="str">
        <x:v>PRIMARY</x:v>
      </x:c>
      <x:c r="C110" t="str">
        <x:v>R12</x:v>
      </x:c>
      <x:c r="D110" t="str">
        <x:v>91–120</x:v>
      </x:c>
      <x:c r="E110" t="n">
        <x:v>2.5</x:v>
      </x:c>
      <x:c r="F110" t="n">
        <x:v>6</x:v>
      </x:c>
      <x:c r="G110" t="n">
        <x:v>8</x:v>
      </x:c>
      <x:c r="H110" s="127" t="n">
        <x:f>MIC_Harmonized!G11</x:f>
        <x:v>0.010554089709762533</x:v>
      </x:c>
      <x:c r="I110" s="127" t="n">
        <x:v>68.11500000000001</x:v>
      </x:c>
      <x:c r="J110" s="127" t="n">
        <x:v>88.46000000000001</x:v>
      </x:c>
      <x:c r="K110" s="127" t="n">
        <x:v>68.045</x:v>
      </x:c>
      <x:c r="L110" s="127" t="n">
        <x:f>H110*I110/100</x:f>
        <x:v>0.00718891820580475</x:v>
      </x:c>
      <x:c r="M110" s="127" t="n">
        <x:f>H110*J110/100</x:f>
        <x:v>0.009336147757255936</x:v>
      </x:c>
      <x:c r="N110" s="127" t="n">
        <x:f>H110*K110/100</x:f>
        <x:v>0.007181530343007916</x:v>
      </x:c>
      <x:c r="O110" t="str">
        <x:v>Lee et al. 2022, IJAA 60:106679, Table 3</x:v>
      </x:c>
    </x:row>
    <x:row r="111">
      <x:c r="A111" t="str">
        <x:v>LEE2022_KPC_KP</x:v>
      </x:c>
      <x:c r="B111" t="str">
        <x:v>PRIMARY</x:v>
      </x:c>
      <x:c r="C111" t="str">
        <x:v>R12</x:v>
      </x:c>
      <x:c r="D111" t="str">
        <x:v>91–120</x:v>
      </x:c>
      <x:c r="E111" t="n">
        <x:v>2.5</x:v>
      </x:c>
      <x:c r="F111" t="n">
        <x:v>6</x:v>
      </x:c>
      <x:c r="G111" t="n">
        <x:v>16</x:v>
      </x:c>
      <x:c r="H111" s="127" t="n">
        <x:f>MIC_Harmonized!G12</x:f>
        <x:v>0.002638522427440633</x:v>
      </x:c>
      <x:c r="I111" s="127" t="n">
        <x:v>26.174999999999997</x:v>
      </x:c>
      <x:c r="J111" s="127" t="n">
        <x:v>88.46000000000001</x:v>
      </x:c>
      <x:c r="K111" s="127" t="n">
        <x:v>26.174999999999997</x:v>
      </x:c>
      <x:c r="L111" s="127" t="n">
        <x:f>H111*I111/100</x:f>
        <x:v>0.0006906332453825857</x:v>
      </x:c>
      <x:c r="M111" s="127" t="n">
        <x:f>H111*J111/100</x:f>
        <x:v>0.002334036939313984</x:v>
      </x:c>
      <x:c r="N111" s="127" t="n">
        <x:f>H111*K111/100</x:f>
        <x:v>0.0006906332453825857</x:v>
      </x:c>
      <x:c r="O111" t="str">
        <x:v>Lee et al. 2022, IJAA 60:106679, Table 3</x:v>
      </x:c>
    </x:row>
    <x:row r="112">
      <x:c r="A112" t="str">
        <x:v>LEE2022_KPC_KP</x:v>
      </x:c>
      <x:c r="B112" t="str">
        <x:v>PRIMARY</x:v>
      </x:c>
      <x:c r="C112" t="str">
        <x:v>R12</x:v>
      </x:c>
      <x:c r="D112" t="str">
        <x:v>91–120</x:v>
      </x:c>
      <x:c r="E112" t="n">
        <x:v>2.5</x:v>
      </x:c>
      <x:c r="F112" t="n">
        <x:v>6</x:v>
      </x:c>
      <x:c r="G112" t="n">
        <x:v>32</x:v>
      </x:c>
      <x:c r="H112" s="127" t="n">
        <x:f>MIC_Harmonized!G13</x:f>
        <x:v>0</x:v>
      </x:c>
      <x:c r="I112" s="127" t="n">
        <x:v>3.7800000000000002</x:v>
      </x:c>
      <x:c r="J112" s="127" t="n">
        <x:v>88.46000000000001</x:v>
      </x:c>
      <x:c r="K112" s="127" t="n">
        <x:v>3.7800000000000002</x:v>
      </x:c>
      <x:c r="L112" s="127" t="n">
        <x:f>H112*I112/100</x:f>
        <x:v>0</x:v>
      </x:c>
      <x:c r="M112" s="127" t="n">
        <x:f>H112*J112/100</x:f>
        <x:v>0</x:v>
      </x:c>
      <x:c r="N112" s="127" t="n">
        <x:f>H112*K112/100</x:f>
        <x:v>0</x:v>
      </x:c>
      <x:c r="O112" t="str">
        <x:v>Lee et al. 2022, IJAA 60:106679, Table 3</x:v>
      </x:c>
    </x:row>
    <x:row r="113">
      <x:c r="A113" t="str">
        <x:v>LEE2022_KPC_KP</x:v>
      </x:c>
      <x:c r="B113" t="str">
        <x:v>PRIMARY</x:v>
      </x:c>
      <x:c r="C113" t="str">
        <x:v>R12</x:v>
      </x:c>
      <x:c r="D113" t="str">
        <x:v>91–120</x:v>
      </x:c>
      <x:c r="E113" t="n">
        <x:v>2.5</x:v>
      </x:c>
      <x:c r="F113" t="n">
        <x:v>6</x:v>
      </x:c>
      <x:c r="G113" t="n">
        <x:v>64</x:v>
      </x:c>
      <x:c r="H113" s="127" t="n">
        <x:f>MIC_Harmonized!G14</x:f>
        <x:v>0.002638522427440633</x:v>
      </x:c>
      <x:c r="I113" s="127" t="n">
        <x:v>0.2</x:v>
      </x:c>
      <x:c r="J113" s="127" t="n">
        <x:v>88.46000000000001</x:v>
      </x:c>
      <x:c r="K113" s="127" t="n">
        <x:v>0.2</x:v>
      </x:c>
      <x:c r="L113" s="127" t="n">
        <x:f>H113*I113/100</x:f>
        <x:v>0.0000052770448548812665</x:v>
      </x:c>
      <x:c r="M113" s="127" t="n">
        <x:f>H113*J113/100</x:f>
        <x:v>0.002334036939313984</x:v>
      </x:c>
      <x:c r="N113" s="127" t="n">
        <x:f>H113*K113/100</x:f>
        <x:v>0.0000052770448548812665</x:v>
      </x:c>
      <x:c r="O113" t="str">
        <x:v>Lee et al. 2022, IJAA 60:106679, Table 3</x:v>
      </x:c>
    </x:row>
    <x:row r="114">
      <x:c r="A114" t="str">
        <x:v>LEE2022_KPC_KP</x:v>
      </x:c>
      <x:c r="B114" t="str">
        <x:v>PRIMARY</x:v>
      </x:c>
      <x:c r="C114" t="str">
        <x:v>R13</x:v>
      </x:c>
      <x:c r="D114" t="str">
        <x:v>121–150</x:v>
      </x:c>
      <x:c r="E114" t="n">
        <x:v>2.5</x:v>
      </x:c>
      <x:c r="F114" t="n">
        <x:v>6</x:v>
      </x:c>
      <x:c r="G114" t="n">
        <x:v>0.0625</x:v>
      </x:c>
      <x:c r="H114" s="127" t="n">
        <x:f>MIC_Harmonized!G4</x:f>
        <x:v>0.013192612137203167</x:v>
      </x:c>
      <x:c r="I114" s="127" t="n">
        <x:v>100</x:v>
      </x:c>
      <x:c r="J114" s="127" t="n">
        <x:v>81.245</x:v>
      </x:c>
      <x:c r="K114" s="127" t="n">
        <x:v>81.245</x:v>
      </x:c>
      <x:c r="L114" s="127" t="n">
        <x:f>H114*I114/100</x:f>
        <x:v>0.013192612137203165</x:v>
      </x:c>
      <x:c r="M114" s="127" t="n">
        <x:f>H114*J114/100</x:f>
        <x:v>0.010718337730870713</x:v>
      </x:c>
      <x:c r="N114" s="127" t="n">
        <x:f>H114*K114/100</x:f>
        <x:v>0.010718337730870713</x:v>
      </x:c>
      <x:c r="O114" t="str">
        <x:v>Lee et al. 2022, IJAA 60:106679, Table 3</x:v>
      </x:c>
    </x:row>
    <x:row r="115">
      <x:c r="A115" t="str">
        <x:v>LEE2022_KPC_KP</x:v>
      </x:c>
      <x:c r="B115" t="str">
        <x:v>PRIMARY</x:v>
      </x:c>
      <x:c r="C115" t="str">
        <x:v>R13</x:v>
      </x:c>
      <x:c r="D115" t="str">
        <x:v>121–150</x:v>
      </x:c>
      <x:c r="E115" t="n">
        <x:v>2.5</x:v>
      </x:c>
      <x:c r="F115" t="n">
        <x:v>6</x:v>
      </x:c>
      <x:c r="G115" t="n">
        <x:v>0.125</x:v>
      </x:c>
      <x:c r="H115" s="127" t="n">
        <x:f>MIC_Harmonized!G5</x:f>
        <x:v>0.005277044854881266</x:v>
      </x:c>
      <x:c r="I115" s="127" t="n">
        <x:v>100</x:v>
      </x:c>
      <x:c r="J115" s="127" t="n">
        <x:v>81.245</x:v>
      </x:c>
      <x:c r="K115" s="127" t="n">
        <x:v>81.245</x:v>
      </x:c>
      <x:c r="L115" s="127" t="n">
        <x:f>H115*I115/100</x:f>
        <x:v>0.005277044854881266</x:v>
      </x:c>
      <x:c r="M115" s="127" t="n">
        <x:f>H115*J115/100</x:f>
        <x:v>0.004287335092348285</x:v>
      </x:c>
      <x:c r="N115" s="127" t="n">
        <x:f>H115*K115/100</x:f>
        <x:v>0.004287335092348285</x:v>
      </x:c>
      <x:c r="O115" t="str">
        <x:v>Lee et al. 2022, IJAA 60:106679, Table 3</x:v>
      </x:c>
    </x:row>
    <x:row r="116">
      <x:c r="A116" t="str">
        <x:v>LEE2022_KPC_KP</x:v>
      </x:c>
      <x:c r="B116" t="str">
        <x:v>PRIMARY</x:v>
      </x:c>
      <x:c r="C116" t="str">
        <x:v>R13</x:v>
      </x:c>
      <x:c r="D116" t="str">
        <x:v>121–150</x:v>
      </x:c>
      <x:c r="E116" t="n">
        <x:v>2.5</x:v>
      </x:c>
      <x:c r="F116" t="n">
        <x:v>6</x:v>
      </x:c>
      <x:c r="G116" t="n">
        <x:v>0.25</x:v>
      </x:c>
      <x:c r="H116" s="127" t="n">
        <x:f>MIC_Harmonized!G6</x:f>
        <x:v>0.044854881266490766</x:v>
      </x:c>
      <x:c r="I116" s="127" t="n">
        <x:v>100</x:v>
      </x:c>
      <x:c r="J116" s="127" t="n">
        <x:v>81.245</x:v>
      </x:c>
      <x:c r="K116" s="127" t="n">
        <x:v>81.245</x:v>
      </x:c>
      <x:c r="L116" s="127" t="n">
        <x:f>H116*I116/100</x:f>
        <x:v>0.04485488126649076</x:v>
      </x:c>
      <x:c r="M116" s="127" t="n">
        <x:f>H116*J116/100</x:f>
        <x:v>0.03644234828496042</x:v>
      </x:c>
      <x:c r="N116" s="127" t="n">
        <x:f>H116*K116/100</x:f>
        <x:v>0.03644234828496042</x:v>
      </x:c>
      <x:c r="O116" t="str">
        <x:v>Lee et al. 2022, IJAA 60:106679, Table 3</x:v>
      </x:c>
    </x:row>
    <x:row r="117">
      <x:c r="A117" t="str">
        <x:v>LEE2022_KPC_KP</x:v>
      </x:c>
      <x:c r="B117" t="str">
        <x:v>PRIMARY</x:v>
      </x:c>
      <x:c r="C117" t="str">
        <x:v>R13</x:v>
      </x:c>
      <x:c r="D117" t="str">
        <x:v>121–150</x:v>
      </x:c>
      <x:c r="E117" t="n">
        <x:v>2.5</x:v>
      </x:c>
      <x:c r="F117" t="n">
        <x:v>6</x:v>
      </x:c>
      <x:c r="G117" t="n">
        <x:v>0.5</x:v>
      </x:c>
      <x:c r="H117" s="127" t="n">
        <x:f>MIC_Harmonized!G7</x:f>
        <x:v>0.1741424802110818</x:v>
      </x:c>
      <x:c r="I117" s="127" t="n">
        <x:v>100</x:v>
      </x:c>
      <x:c r="J117" s="127" t="n">
        <x:v>81.245</x:v>
      </x:c>
      <x:c r="K117" s="127" t="n">
        <x:v>81.245</x:v>
      </x:c>
      <x:c r="L117" s="127" t="n">
        <x:f>H117*I117/100</x:f>
        <x:v>0.17414248021108178</x:v>
      </x:c>
      <x:c r="M117" s="127" t="n">
        <x:f>H117*J117/100</x:f>
        <x:v>0.14148205804749342</x:v>
      </x:c>
      <x:c r="N117" s="127" t="n">
        <x:f>H117*K117/100</x:f>
        <x:v>0.14148205804749342</x:v>
      </x:c>
      <x:c r="O117" t="str">
        <x:v>Lee et al. 2022, IJAA 60:106679, Table 3</x:v>
      </x:c>
    </x:row>
    <x:row r="118">
      <x:c r="A118" t="str">
        <x:v>LEE2022_KPC_KP</x:v>
      </x:c>
      <x:c r="B118" t="str">
        <x:v>PRIMARY</x:v>
      </x:c>
      <x:c r="C118" t="str">
        <x:v>R13</x:v>
      </x:c>
      <x:c r="D118" t="str">
        <x:v>121–150</x:v>
      </x:c>
      <x:c r="E118" t="n">
        <x:v>2.5</x:v>
      </x:c>
      <x:c r="F118" t="n">
        <x:v>6</x:v>
      </x:c>
      <x:c r="G118" t="n">
        <x:v>1</x:v>
      </x:c>
      <x:c r="H118" s="127" t="n">
        <x:f>MIC_Harmonized!G8</x:f>
        <x:v>0.39313984168865435</x:v>
      </x:c>
      <x:c r="I118" s="127" t="n">
        <x:v>99.985</x:v>
      </x:c>
      <x:c r="J118" s="127" t="n">
        <x:v>81.245</x:v>
      </x:c>
      <x:c r="K118" s="127" t="n">
        <x:v>81.245</x:v>
      </x:c>
      <x:c r="L118" s="127" t="n">
        <x:f>H118*I118/100</x:f>
        <x:v>0.393080870712401</x:v>
      </x:c>
      <x:c r="M118" s="127" t="n">
        <x:f>H118*J118/100</x:f>
        <x:v>0.31940646437994724</x:v>
      </x:c>
      <x:c r="N118" s="127" t="n">
        <x:f>H118*K118/100</x:f>
        <x:v>0.31940646437994724</x:v>
      </x:c>
      <x:c r="O118" t="str">
        <x:v>Lee et al. 2022, IJAA 60:106679, Table 3</x:v>
      </x:c>
    </x:row>
    <x:row r="119">
      <x:c r="A119" t="str">
        <x:v>LEE2022_KPC_KP</x:v>
      </x:c>
      <x:c r="B119" t="str">
        <x:v>PRIMARY</x:v>
      </x:c>
      <x:c r="C119" t="str">
        <x:v>R13</x:v>
      </x:c>
      <x:c r="D119" t="str">
        <x:v>121–150</x:v>
      </x:c>
      <x:c r="E119" t="n">
        <x:v>2.5</x:v>
      </x:c>
      <x:c r="F119" t="n">
        <x:v>6</x:v>
      </x:c>
      <x:c r="G119" t="n">
        <x:v>2</x:v>
      </x:c>
      <x:c r="H119" s="127" t="n">
        <x:f>MIC_Harmonized!G9</x:f>
        <x:v>0.2691292875989446</x:v>
      </x:c>
      <x:c r="I119" s="127" t="n">
        <x:v>99.18</x:v>
      </x:c>
      <x:c r="J119" s="127" t="n">
        <x:v>81.245</x:v>
      </x:c>
      <x:c r="K119" s="127" t="n">
        <x:v>81.245</x:v>
      </x:c>
      <x:c r="L119" s="127" t="n">
        <x:f>H119*I119/100</x:f>
        <x:v>0.26692242744063327</x:v>
      </x:c>
      <x:c r="M119" s="127" t="n">
        <x:f>H119*J119/100</x:f>
        <x:v>0.21865408970976255</x:v>
      </x:c>
      <x:c r="N119" s="127" t="n">
        <x:f>H119*K119/100</x:f>
        <x:v>0.21865408970976255</x:v>
      </x:c>
      <x:c r="O119" t="str">
        <x:v>Lee et al. 2022, IJAA 60:106679, Table 3</x:v>
      </x:c>
    </x:row>
    <x:row r="120">
      <x:c r="A120" t="str">
        <x:v>LEE2022_KPC_KP</x:v>
      </x:c>
      <x:c r="B120" t="str">
        <x:v>PRIMARY</x:v>
      </x:c>
      <x:c r="C120" t="str">
        <x:v>R13</x:v>
      </x:c>
      <x:c r="D120" t="str">
        <x:v>121–150</x:v>
      </x:c>
      <x:c r="E120" t="n">
        <x:v>2.5</x:v>
      </x:c>
      <x:c r="F120" t="n">
        <x:v>6</x:v>
      </x:c>
      <x:c r="G120" t="n">
        <x:v>4</x:v>
      </x:c>
      <x:c r="H120" s="127" t="n">
        <x:f>MIC_Harmonized!G10</x:f>
        <x:v>0.08443271767810026</x:v>
      </x:c>
      <x:c r="I120" s="127" t="n">
        <x:v>90.425</x:v>
      </x:c>
      <x:c r="J120" s="127" t="n">
        <x:v>81.245</x:v>
      </x:c>
      <x:c r="K120" s="127" t="n">
        <x:v>80.805</x:v>
      </x:c>
      <x:c r="L120" s="127" t="n">
        <x:f>H120*I120/100</x:f>
        <x:v>0.07634828496042216</x:v>
      </x:c>
      <x:c r="M120" s="127" t="n">
        <x:f>H120*J120/100</x:f>
        <x:v>0.06859736147757256</x:v>
      </x:c>
      <x:c r="N120" s="127" t="n">
        <x:f>H120*K120/100</x:f>
        <x:v>0.06822585751978892</x:v>
      </x:c>
      <x:c r="O120" t="str">
        <x:v>Lee et al. 2022, IJAA 60:106679, Table 3</x:v>
      </x:c>
    </x:row>
    <x:row r="121">
      <x:c r="A121" t="str">
        <x:v>LEE2022_KPC_KP</x:v>
      </x:c>
      <x:c r="B121" t="str">
        <x:v>PRIMARY</x:v>
      </x:c>
      <x:c r="C121" t="str">
        <x:v>R13</x:v>
      </x:c>
      <x:c r="D121" t="str">
        <x:v>121–150</x:v>
      </x:c>
      <x:c r="E121" t="n">
        <x:v>2.5</x:v>
      </x:c>
      <x:c r="F121" t="n">
        <x:v>6</x:v>
      </x:c>
      <x:c r="G121" t="n">
        <x:v>8</x:v>
      </x:c>
      <x:c r="H121" s="127" t="n">
        <x:f>MIC_Harmonized!G11</x:f>
        <x:v>0.010554089709762533</x:v>
      </x:c>
      <x:c r="I121" s="127" t="n">
        <x:v>57.30499999999999</x:v>
      </x:c>
      <x:c r="J121" s="127" t="n">
        <x:v>81.245</x:v>
      </x:c>
      <x:c r="K121" s="127" t="n">
        <x:v>57.205</x:v>
      </x:c>
      <x:c r="L121" s="127" t="n">
        <x:f>H121*I121/100</x:f>
        <x:v>0.006048021108179419</x:v>
      </x:c>
      <x:c r="M121" s="127" t="n">
        <x:f>H121*J121/100</x:f>
        <x:v>0.00857467018469657</x:v>
      </x:c>
      <x:c r="N121" s="127" t="n">
        <x:f>H121*K121/100</x:f>
        <x:v>0.006037467018469657</x:v>
      </x:c>
      <x:c r="O121" t="str">
        <x:v>Lee et al. 2022, IJAA 60:106679, Table 3</x:v>
      </x:c>
    </x:row>
    <x:row r="122">
      <x:c r="A122" t="str">
        <x:v>LEE2022_KPC_KP</x:v>
      </x:c>
      <x:c r="B122" t="str">
        <x:v>PRIMARY</x:v>
      </x:c>
      <x:c r="C122" t="str">
        <x:v>R13</x:v>
      </x:c>
      <x:c r="D122" t="str">
        <x:v>121–150</x:v>
      </x:c>
      <x:c r="E122" t="n">
        <x:v>2.5</x:v>
      </x:c>
      <x:c r="F122" t="n">
        <x:v>6</x:v>
      </x:c>
      <x:c r="G122" t="n">
        <x:v>16</x:v>
      </x:c>
      <x:c r="H122" s="127" t="n">
        <x:f>MIC_Harmonized!G12</x:f>
        <x:v>0.002638522427440633</x:v>
      </x:c>
      <x:c r="I122" s="127" t="n">
        <x:v>17.7</x:v>
      </x:c>
      <x:c r="J122" s="127" t="n">
        <x:v>81.245</x:v>
      </x:c>
      <x:c r="K122" s="127" t="n">
        <x:v>17.7</x:v>
      </x:c>
      <x:c r="L122" s="127" t="n">
        <x:f>H122*I122/100</x:f>
        <x:v>0.00046701846965699204</x:v>
      </x:c>
      <x:c r="M122" s="127" t="n">
        <x:f>H122*J122/100</x:f>
        <x:v>0.0021436675461741425</x:v>
      </x:c>
      <x:c r="N122" s="127" t="n">
        <x:f>H122*K122/100</x:f>
        <x:v>0.00046701846965699204</x:v>
      </x:c>
      <x:c r="O122" t="str">
        <x:v>Lee et al. 2022, IJAA 60:106679, Table 3</x:v>
      </x:c>
    </x:row>
    <x:row r="123">
      <x:c r="A123" t="str">
        <x:v>LEE2022_KPC_KP</x:v>
      </x:c>
      <x:c r="B123" t="str">
        <x:v>PRIMARY</x:v>
      </x:c>
      <x:c r="C123" t="str">
        <x:v>R13</x:v>
      </x:c>
      <x:c r="D123" t="str">
        <x:v>121–150</x:v>
      </x:c>
      <x:c r="E123" t="n">
        <x:v>2.5</x:v>
      </x:c>
      <x:c r="F123" t="n">
        <x:v>6</x:v>
      </x:c>
      <x:c r="G123" t="n">
        <x:v>32</x:v>
      </x:c>
      <x:c r="H123" s="127" t="n">
        <x:f>MIC_Harmonized!G13</x:f>
        <x:v>0</x:v>
      </x:c>
      <x:c r="I123" s="127" t="n">
        <x:v>2.105</x:v>
      </x:c>
      <x:c r="J123" s="127" t="n">
        <x:v>81.245</x:v>
      </x:c>
      <x:c r="K123" s="127" t="n">
        <x:v>2.105</x:v>
      </x:c>
      <x:c r="L123" s="127" t="n">
        <x:f>H123*I123/100</x:f>
        <x:v>0</x:v>
      </x:c>
      <x:c r="M123" s="127" t="n">
        <x:f>H123*J123/100</x:f>
        <x:v>0</x:v>
      </x:c>
      <x:c r="N123" s="127" t="n">
        <x:f>H123*K123/100</x:f>
        <x:v>0</x:v>
      </x:c>
      <x:c r="O123" t="str">
        <x:v>Lee et al. 2022, IJAA 60:106679, Table 3</x:v>
      </x:c>
    </x:row>
    <x:row r="124">
      <x:c r="A124" t="str">
        <x:v>LEE2022_KPC_KP</x:v>
      </x:c>
      <x:c r="B124" t="str">
        <x:v>PRIMARY</x:v>
      </x:c>
      <x:c r="C124" t="str">
        <x:v>R13</x:v>
      </x:c>
      <x:c r="D124" t="str">
        <x:v>121–150</x:v>
      </x:c>
      <x:c r="E124" t="n">
        <x:v>2.5</x:v>
      </x:c>
      <x:c r="F124" t="n">
        <x:v>6</x:v>
      </x:c>
      <x:c r="G124" t="n">
        <x:v>64</x:v>
      </x:c>
      <x:c r="H124" s="127" t="n">
        <x:f>MIC_Harmonized!G14</x:f>
        <x:v>0.002638522427440633</x:v>
      </x:c>
      <x:c r="I124" s="127" t="n">
        <x:v>0.06</x:v>
      </x:c>
      <x:c r="J124" s="127" t="n">
        <x:v>81.245</x:v>
      </x:c>
      <x:c r="K124" s="127" t="n">
        <x:v>0.06</x:v>
      </x:c>
      <x:c r="L124" s="127" t="n">
        <x:f>H124*I124/100</x:f>
        <x:v>0.00000158311345646438</x:v>
      </x:c>
      <x:c r="M124" s="127" t="n">
        <x:f>H124*J124/100</x:f>
        <x:v>0.0021436675461741425</x:v>
      </x:c>
      <x:c r="N124" s="127" t="n">
        <x:f>H124*K124/100</x:f>
        <x:v>0.00000158311345646438</x:v>
      </x:c>
      <x:c r="O124" t="str">
        <x:v>Lee et al. 2022, IJAA 60:106679, Table 3</x:v>
      </x:c>
    </x:row>
    <x:row r="125">
      <x:c r="A125" t="str">
        <x:v>LEE2022_OXA_KP</x:v>
      </x:c>
      <x:c r="B125" t="str">
        <x:v>PRIMARY</x:v>
      </x:c>
      <x:c r="C125" t="str">
        <x:v>R1</x:v>
      </x:c>
      <x:c r="D125" t="str">
        <x:v>0–30</x:v>
      </x:c>
      <x:c r="E125" t="n">
        <x:v>0.625</x:v>
      </x:c>
      <x:c r="F125" t="n">
        <x:v>12</x:v>
      </x:c>
      <x:c r="G125" t="n">
        <x:v>0.0625</x:v>
      </x:c>
      <x:c r="H125" s="127" t="n">
        <x:f>MIC_Harmonized!G15</x:f>
        <x:v>0</x:v>
      </x:c>
      <x:c r="I125" s="127" t="n">
        <x:v>100</x:v>
      </x:c>
      <x:c r="J125" s="127" t="n">
        <x:v>74.88</x:v>
      </x:c>
      <x:c r="K125" s="127" t="n">
        <x:v>74.88</x:v>
      </x:c>
      <x:c r="L125" s="127" t="n">
        <x:f>H125*I125/100</x:f>
        <x:v>0</x:v>
      </x:c>
      <x:c r="M125" s="127" t="n">
        <x:f>H125*J125/100</x:f>
        <x:v>0</x:v>
      </x:c>
      <x:c r="N125" s="127" t="n">
        <x:f>H125*K125/100</x:f>
        <x:v>0</x:v>
      </x:c>
      <x:c r="O125" t="str">
        <x:v>Lee et al. 2022, IJAA 60:106679, Table 3</x:v>
      </x:c>
    </x:row>
    <x:row r="126">
      <x:c r="A126" t="str">
        <x:v>LEE2022_OXA_KP</x:v>
      </x:c>
      <x:c r="B126" t="str">
        <x:v>PRIMARY</x:v>
      </x:c>
      <x:c r="C126" t="str">
        <x:v>R1</x:v>
      </x:c>
      <x:c r="D126" t="str">
        <x:v>0–30</x:v>
      </x:c>
      <x:c r="E126" t="n">
        <x:v>0.625</x:v>
      </x:c>
      <x:c r="F126" t="n">
        <x:v>12</x:v>
      </x:c>
      <x:c r="G126" t="n">
        <x:v>0.125</x:v>
      </x:c>
      <x:c r="H126" s="127" t="n">
        <x:f>MIC_Harmonized!G16</x:f>
        <x:v>0</x:v>
      </x:c>
      <x:c r="I126" s="127" t="n">
        <x:v>100</x:v>
      </x:c>
      <x:c r="J126" s="127" t="n">
        <x:v>74.88</x:v>
      </x:c>
      <x:c r="K126" s="127" t="n">
        <x:v>74.88</x:v>
      </x:c>
      <x:c r="L126" s="127" t="n">
        <x:f>H126*I126/100</x:f>
        <x:v>0</x:v>
      </x:c>
      <x:c r="M126" s="127" t="n">
        <x:f>H126*J126/100</x:f>
        <x:v>0</x:v>
      </x:c>
      <x:c r="N126" s="127" t="n">
        <x:f>H126*K126/100</x:f>
        <x:v>0</x:v>
      </x:c>
      <x:c r="O126" t="str">
        <x:v>Lee et al. 2022, IJAA 60:106679, Table 3</x:v>
      </x:c>
    </x:row>
    <x:row r="127">
      <x:c r="A127" t="str">
        <x:v>LEE2022_OXA_KP</x:v>
      </x:c>
      <x:c r="B127" t="str">
        <x:v>PRIMARY</x:v>
      </x:c>
      <x:c r="C127" t="str">
        <x:v>R1</x:v>
      </x:c>
      <x:c r="D127" t="str">
        <x:v>0–30</x:v>
      </x:c>
      <x:c r="E127" t="n">
        <x:v>0.625</x:v>
      </x:c>
      <x:c r="F127" t="n">
        <x:v>12</x:v>
      </x:c>
      <x:c r="G127" t="n">
        <x:v>0.25</x:v>
      </x:c>
      <x:c r="H127" s="127" t="n">
        <x:f>MIC_Harmonized!G17</x:f>
        <x:v>0.038135593220338986</x:v>
      </x:c>
      <x:c r="I127" s="127" t="n">
        <x:v>100</x:v>
      </x:c>
      <x:c r="J127" s="127" t="n">
        <x:v>74.88</x:v>
      </x:c>
      <x:c r="K127" s="127" t="n">
        <x:v>74.88</x:v>
      </x:c>
      <x:c r="L127" s="127" t="n">
        <x:f>H127*I127/100</x:f>
        <x:v>0.038135593220338986</x:v>
      </x:c>
      <x:c r="M127" s="127" t="n">
        <x:f>H127*J127/100</x:f>
        <x:v>0.02855593220338983</x:v>
      </x:c>
      <x:c r="N127" s="127" t="n">
        <x:f>H127*K127/100</x:f>
        <x:v>0.02855593220338983</x:v>
      </x:c>
      <x:c r="O127" t="str">
        <x:v>Lee et al. 2022, IJAA 60:106679, Table 3</x:v>
      </x:c>
    </x:row>
    <x:row r="128">
      <x:c r="A128" t="str">
        <x:v>LEE2022_OXA_KP</x:v>
      </x:c>
      <x:c r="B128" t="str">
        <x:v>PRIMARY</x:v>
      </x:c>
      <x:c r="C128" t="str">
        <x:v>R1</x:v>
      </x:c>
      <x:c r="D128" t="str">
        <x:v>0–30</x:v>
      </x:c>
      <x:c r="E128" t="n">
        <x:v>0.625</x:v>
      </x:c>
      <x:c r="F128" t="n">
        <x:v>12</x:v>
      </x:c>
      <x:c r="G128" t="n">
        <x:v>0.5</x:v>
      </x:c>
      <x:c r="H128" s="127" t="n">
        <x:f>MIC_Harmonized!G18</x:f>
        <x:v>0.18220338983050846</x:v>
      </x:c>
      <x:c r="I128" s="127" t="n">
        <x:v>99.94</x:v>
      </x:c>
      <x:c r="J128" s="127" t="n">
        <x:v>74.88</x:v>
      </x:c>
      <x:c r="K128" s="127" t="n">
        <x:v>74.88</x:v>
      </x:c>
      <x:c r="L128" s="127" t="n">
        <x:f>H128*I128/100</x:f>
        <x:v>0.18209406779661017</x:v>
      </x:c>
      <x:c r="M128" s="127" t="n">
        <x:f>H128*J128/100</x:f>
        <x:v>0.13643389830508473</x:v>
      </x:c>
      <x:c r="N128" s="127" t="n">
        <x:f>H128*K128/100</x:f>
        <x:v>0.13643389830508473</x:v>
      </x:c>
      <x:c r="O128" t="str">
        <x:v>Lee et al. 2022, IJAA 60:106679, Table 3</x:v>
      </x:c>
    </x:row>
    <x:row r="129">
      <x:c r="A129" t="str">
        <x:v>LEE2022_OXA_KP</x:v>
      </x:c>
      <x:c r="B129" t="str">
        <x:v>PRIMARY</x:v>
      </x:c>
      <x:c r="C129" t="str">
        <x:v>R1</x:v>
      </x:c>
      <x:c r="D129" t="str">
        <x:v>0–30</x:v>
      </x:c>
      <x:c r="E129" t="n">
        <x:v>0.625</x:v>
      </x:c>
      <x:c r="F129" t="n">
        <x:v>12</x:v>
      </x:c>
      <x:c r="G129" t="n">
        <x:v>1</x:v>
      </x:c>
      <x:c r="H129" s="127" t="n">
        <x:f>MIC_Harmonized!G19</x:f>
        <x:v>0.5254237288135594</x:v>
      </x:c>
      <x:c r="I129" s="127" t="n">
        <x:v>99.13499999999999</x:v>
      </x:c>
      <x:c r="J129" s="127" t="n">
        <x:v>74.88</x:v>
      </x:c>
      <x:c r="K129" s="127" t="n">
        <x:v>74.88</x:v>
      </x:c>
      <x:c r="L129" s="127" t="n">
        <x:f>H129*I129/100</x:f>
        <x:v>0.5208788135593221</x:v>
      </x:c>
      <x:c r="M129" s="127" t="n">
        <x:f>H129*J129/100</x:f>
        <x:v>0.39343728813559325</x:v>
      </x:c>
      <x:c r="N129" s="127" t="n">
        <x:f>H129*K129/100</x:f>
        <x:v>0.39343728813559325</x:v>
      </x:c>
      <x:c r="O129" t="str">
        <x:v>Lee et al. 2022, IJAA 60:106679, Table 3</x:v>
      </x:c>
    </x:row>
    <x:row r="130">
      <x:c r="A130" t="str">
        <x:v>LEE2022_OXA_KP</x:v>
      </x:c>
      <x:c r="B130" t="str">
        <x:v>PRIMARY</x:v>
      </x:c>
      <x:c r="C130" t="str">
        <x:v>R1</x:v>
      </x:c>
      <x:c r="D130" t="str">
        <x:v>0–30</x:v>
      </x:c>
      <x:c r="E130" t="n">
        <x:v>0.625</x:v>
      </x:c>
      <x:c r="F130" t="n">
        <x:v>12</x:v>
      </x:c>
      <x:c r="G130" t="n">
        <x:v>2</x:v>
      </x:c>
      <x:c r="H130" s="127" t="n">
        <x:f>MIC_Harmonized!G20</x:f>
        <x:v>0.211864406779661</x:v>
      </x:c>
      <x:c r="I130" s="127" t="n">
        <x:v>92.08</x:v>
      </x:c>
      <x:c r="J130" s="127" t="n">
        <x:v>74.88</x:v>
      </x:c>
      <x:c r="K130" s="127" t="n">
        <x:v>74.86500000000001</x:v>
      </x:c>
      <x:c r="L130" s="127" t="n">
        <x:f>H130*I130/100</x:f>
        <x:v>0.19508474576271187</x:v>
      </x:c>
      <x:c r="M130" s="127" t="n">
        <x:f>H130*J130/100</x:f>
        <x:v>0.15864406779661017</x:v>
      </x:c>
      <x:c r="N130" s="127" t="n">
        <x:f>H130*K130/100</x:f>
        <x:v>0.15861228813559325</x:v>
      </x:c>
      <x:c r="O130" t="str">
        <x:v>Lee et al. 2022, IJAA 60:106679, Table 3</x:v>
      </x:c>
    </x:row>
    <x:row r="131">
      <x:c r="A131" t="str">
        <x:v>LEE2022_OXA_KP</x:v>
      </x:c>
      <x:c r="B131" t="str">
        <x:v>PRIMARY</x:v>
      </x:c>
      <x:c r="C131" t="str">
        <x:v>R1</x:v>
      </x:c>
      <x:c r="D131" t="str">
        <x:v>0–30</x:v>
      </x:c>
      <x:c r="E131" t="n">
        <x:v>0.625</x:v>
      </x:c>
      <x:c r="F131" t="n">
        <x:v>12</x:v>
      </x:c>
      <x:c r="G131" t="n">
        <x:v>4</x:v>
      </x:c>
      <x:c r="H131" s="127" t="n">
        <x:f>MIC_Harmonized!G21</x:f>
        <x:v>0.025423728813559324</x:v>
      </x:c>
      <x:c r="I131" s="127" t="n">
        <x:v>68.575</x:v>
      </x:c>
      <x:c r="J131" s="127" t="n">
        <x:v>74.88</x:v>
      </x:c>
      <x:c r="K131" s="127" t="n">
        <x:v>67.045</x:v>
      </x:c>
      <x:c r="L131" s="127" t="n">
        <x:f>H131*I131/100</x:f>
        <x:v>0.017434322033898306</x:v>
      </x:c>
      <x:c r="M131" s="127" t="n">
        <x:f>H131*J131/100</x:f>
        <x:v>0.01903728813559322</x:v>
      </x:c>
      <x:c r="N131" s="127" t="n">
        <x:f>H131*K131/100</x:f>
        <x:v>0.01704533898305085</x:v>
      </x:c>
      <x:c r="O131" t="str">
        <x:v>Lee et al. 2022, IJAA 60:106679, Table 3</x:v>
      </x:c>
    </x:row>
    <x:row r="132">
      <x:c r="A132" t="str">
        <x:v>LEE2022_OXA_KP</x:v>
      </x:c>
      <x:c r="B132" t="str">
        <x:v>PRIMARY</x:v>
      </x:c>
      <x:c r="C132" t="str">
        <x:v>R1</x:v>
      </x:c>
      <x:c r="D132" t="str">
        <x:v>0–30</x:v>
      </x:c>
      <x:c r="E132" t="n">
        <x:v>0.625</x:v>
      </x:c>
      <x:c r="F132" t="n">
        <x:v>12</x:v>
      </x:c>
      <x:c r="G132" t="n">
        <x:v>8</x:v>
      </x:c>
      <x:c r="H132" s="127" t="n">
        <x:f>MIC_Harmonized!G22</x:f>
        <x:v>0.00423728813559322</x:v>
      </x:c>
      <x:c r="I132" s="127" t="n">
        <x:v>35.775</x:v>
      </x:c>
      <x:c r="J132" s="127" t="n">
        <x:v>74.88</x:v>
      </x:c>
      <x:c r="K132" s="127" t="n">
        <x:v>35.775</x:v>
      </x:c>
      <x:c r="L132" s="127" t="n">
        <x:f>H132*I132/100</x:f>
        <x:v>0.0015158898305084746</x:v>
      </x:c>
      <x:c r="M132" s="127" t="n">
        <x:f>H132*J132/100</x:f>
        <x:v>0.003172881355932203</x:v>
      </x:c>
      <x:c r="N132" s="127" t="n">
        <x:f>H132*K132/100</x:f>
        <x:v>0.0015158898305084746</x:v>
      </x:c>
      <x:c r="O132" t="str">
        <x:v>Lee et al. 2022, IJAA 60:106679, Table 3</x:v>
      </x:c>
    </x:row>
    <x:row r="133">
      <x:c r="A133" t="str">
        <x:v>LEE2022_OXA_KP</x:v>
      </x:c>
      <x:c r="B133" t="str">
        <x:v>PRIMARY</x:v>
      </x:c>
      <x:c r="C133" t="str">
        <x:v>R1</x:v>
      </x:c>
      <x:c r="D133" t="str">
        <x:v>0–30</x:v>
      </x:c>
      <x:c r="E133" t="n">
        <x:v>0.625</x:v>
      </x:c>
      <x:c r="F133" t="n">
        <x:v>12</x:v>
      </x:c>
      <x:c r="G133" t="n">
        <x:v>16</x:v>
      </x:c>
      <x:c r="H133" s="127" t="n">
        <x:f>MIC_Harmonized!G23</x:f>
        <x:v>0</x:v>
      </x:c>
      <x:c r="I133" s="127" t="n">
        <x:v>14.344999999999999</x:v>
      </x:c>
      <x:c r="J133" s="127" t="n">
        <x:v>74.88</x:v>
      </x:c>
      <x:c r="K133" s="127" t="n">
        <x:v>14.344999999999999</x:v>
      </x:c>
      <x:c r="L133" s="127" t="n">
        <x:f>H133*I133/100</x:f>
        <x:v>0</x:v>
      </x:c>
      <x:c r="M133" s="127" t="n">
        <x:f>H133*J133/100</x:f>
        <x:v>0</x:v>
      </x:c>
      <x:c r="N133" s="127" t="n">
        <x:f>H133*K133/100</x:f>
        <x:v>0</x:v>
      </x:c>
      <x:c r="O133" t="str">
        <x:v>Lee et al. 2022, IJAA 60:106679, Table 3</x:v>
      </x:c>
    </x:row>
    <x:row r="134">
      <x:c r="A134" t="str">
        <x:v>LEE2022_OXA_KP</x:v>
      </x:c>
      <x:c r="B134" t="str">
        <x:v>PRIMARY</x:v>
      </x:c>
      <x:c r="C134" t="str">
        <x:v>R1</x:v>
      </x:c>
      <x:c r="D134" t="str">
        <x:v>0–30</x:v>
      </x:c>
      <x:c r="E134" t="n">
        <x:v>0.625</x:v>
      </x:c>
      <x:c r="F134" t="n">
        <x:v>12</x:v>
      </x:c>
      <x:c r="G134" t="n">
        <x:v>32</x:v>
      </x:c>
      <x:c r="H134" s="127" t="n">
        <x:f>MIC_Harmonized!G24</x:f>
        <x:v>0.00423728813559322</x:v>
      </x:c>
      <x:c r="I134" s="127" t="n">
        <x:v>4.984999999999999</x:v>
      </x:c>
      <x:c r="J134" s="127" t="n">
        <x:v>74.88</x:v>
      </x:c>
      <x:c r="K134" s="127" t="n">
        <x:v>4.984999999999999</x:v>
      </x:c>
      <x:c r="L134" s="127" t="n">
        <x:f>H134*I134/100</x:f>
        <x:v>0.000211228813559322</x:v>
      </x:c>
      <x:c r="M134" s="127" t="n">
        <x:f>H134*J134/100</x:f>
        <x:v>0.003172881355932203</x:v>
      </x:c>
      <x:c r="N134" s="127" t="n">
        <x:f>H134*K134/100</x:f>
        <x:v>0.000211228813559322</x:v>
      </x:c>
      <x:c r="O134" t="str">
        <x:v>Lee et al. 2022, IJAA 60:106679, Table 3</x:v>
      </x:c>
    </x:row>
    <x:row r="135">
      <x:c r="A135" t="str">
        <x:v>LEE2022_OXA_KP</x:v>
      </x:c>
      <x:c r="B135" t="str">
        <x:v>PRIMARY</x:v>
      </x:c>
      <x:c r="C135" t="str">
        <x:v>R1</x:v>
      </x:c>
      <x:c r="D135" t="str">
        <x:v>0–30</x:v>
      </x:c>
      <x:c r="E135" t="n">
        <x:v>0.625</x:v>
      </x:c>
      <x:c r="F135" t="n">
        <x:v>12</x:v>
      </x:c>
      <x:c r="G135" t="n">
        <x:v>64</x:v>
      </x:c>
      <x:c r="H135" s="127" t="n">
        <x:f>MIC_Harmonized!G25</x:f>
        <x:v>0.00847457627118644</x:v>
      </x:c>
      <x:c r="I135" s="127" t="n">
        <x:v>1.7399999999999998</x:v>
      </x:c>
      <x:c r="J135" s="127" t="n">
        <x:v>74.88</x:v>
      </x:c>
      <x:c r="K135" s="127" t="n">
        <x:v>1.7399999999999998</x:v>
      </x:c>
      <x:c r="L135" s="127" t="n">
        <x:f>H135*I135/100</x:f>
        <x:v>0.00014745762711864405</x:v>
      </x:c>
      <x:c r="M135" s="127" t="n">
        <x:f>H135*J135/100</x:f>
        <x:v>0.006345762711864406</x:v>
      </x:c>
      <x:c r="N135" s="127" t="n">
        <x:f>H135*K135/100</x:f>
        <x:v>0.00014745762711864405</x:v>
      </x:c>
      <x:c r="O135" t="str">
        <x:v>Lee et al. 2022, IJAA 60:106679, Table 3</x:v>
      </x:c>
    </x:row>
    <x:row r="136">
      <x:c r="A136" t="str">
        <x:v>LEE2022_OXA_KP</x:v>
      </x:c>
      <x:c r="B136" t="str">
        <x:v>PRIMARY</x:v>
      </x:c>
      <x:c r="C136" t="str">
        <x:v>R2</x:v>
      </x:c>
      <x:c r="D136" t="str">
        <x:v>0–30</x:v>
      </x:c>
      <x:c r="E136" t="n">
        <x:v>0.625</x:v>
      </x:c>
      <x:c r="F136" t="n">
        <x:v>8</x:v>
      </x:c>
      <x:c r="G136" t="n">
        <x:v>0.0625</x:v>
      </x:c>
      <x:c r="H136" s="127" t="n">
        <x:f>MIC_Harmonized!G15</x:f>
        <x:v>0</x:v>
      </x:c>
      <x:c r="I136" s="127" t="n">
        <x:v>100</x:v>
      </x:c>
      <x:c r="J136" s="127" t="n">
        <x:v>87.38</x:v>
      </x:c>
      <x:c r="K136" s="127" t="n">
        <x:v>87.38</x:v>
      </x:c>
      <x:c r="L136" s="127" t="n">
        <x:f>H136*I136/100</x:f>
        <x:v>0</x:v>
      </x:c>
      <x:c r="M136" s="127" t="n">
        <x:f>H136*J136/100</x:f>
        <x:v>0</x:v>
      </x:c>
      <x:c r="N136" s="127" t="n">
        <x:f>H136*K136/100</x:f>
        <x:v>0</x:v>
      </x:c>
      <x:c r="O136" t="str">
        <x:v>Lee et al. 2022, IJAA 60:106679, Table 3</x:v>
      </x:c>
    </x:row>
    <x:row r="137">
      <x:c r="A137" t="str">
        <x:v>LEE2022_OXA_KP</x:v>
      </x:c>
      <x:c r="B137" t="str">
        <x:v>PRIMARY</x:v>
      </x:c>
      <x:c r="C137" t="str">
        <x:v>R2</x:v>
      </x:c>
      <x:c r="D137" t="str">
        <x:v>0–30</x:v>
      </x:c>
      <x:c r="E137" t="n">
        <x:v>0.625</x:v>
      </x:c>
      <x:c r="F137" t="n">
        <x:v>8</x:v>
      </x:c>
      <x:c r="G137" t="n">
        <x:v>0.125</x:v>
      </x:c>
      <x:c r="H137" s="127" t="n">
        <x:f>MIC_Harmonized!G16</x:f>
        <x:v>0</x:v>
      </x:c>
      <x:c r="I137" s="127" t="n">
        <x:v>100</x:v>
      </x:c>
      <x:c r="J137" s="127" t="n">
        <x:v>87.38</x:v>
      </x:c>
      <x:c r="K137" s="127" t="n">
        <x:v>87.38</x:v>
      </x:c>
      <x:c r="L137" s="127" t="n">
        <x:f>H137*I137/100</x:f>
        <x:v>0</x:v>
      </x:c>
      <x:c r="M137" s="127" t="n">
        <x:f>H137*J137/100</x:f>
        <x:v>0</x:v>
      </x:c>
      <x:c r="N137" s="127" t="n">
        <x:f>H137*K137/100</x:f>
        <x:v>0</x:v>
      </x:c>
      <x:c r="O137" t="str">
        <x:v>Lee et al. 2022, IJAA 60:106679, Table 3</x:v>
      </x:c>
    </x:row>
    <x:row r="138">
      <x:c r="A138" t="str">
        <x:v>LEE2022_OXA_KP</x:v>
      </x:c>
      <x:c r="B138" t="str">
        <x:v>PRIMARY</x:v>
      </x:c>
      <x:c r="C138" t="str">
        <x:v>R2</x:v>
      </x:c>
      <x:c r="D138" t="str">
        <x:v>0–30</x:v>
      </x:c>
      <x:c r="E138" t="n">
        <x:v>0.625</x:v>
      </x:c>
      <x:c r="F138" t="n">
        <x:v>8</x:v>
      </x:c>
      <x:c r="G138" t="n">
        <x:v>0.25</x:v>
      </x:c>
      <x:c r="H138" s="127" t="n">
        <x:f>MIC_Harmonized!G17</x:f>
        <x:v>0.038135593220338986</x:v>
      </x:c>
      <x:c r="I138" s="127" t="n">
        <x:v>100</x:v>
      </x:c>
      <x:c r="J138" s="127" t="n">
        <x:v>87.38</x:v>
      </x:c>
      <x:c r="K138" s="127" t="n">
        <x:v>87.38</x:v>
      </x:c>
      <x:c r="L138" s="127" t="n">
        <x:f>H138*I138/100</x:f>
        <x:v>0.038135593220338986</x:v>
      </x:c>
      <x:c r="M138" s="127" t="n">
        <x:f>H138*J138/100</x:f>
        <x:v>0.033322881355932206</x:v>
      </x:c>
      <x:c r="N138" s="127" t="n">
        <x:f>H138*K138/100</x:f>
        <x:v>0.033322881355932206</x:v>
      </x:c>
      <x:c r="O138" t="str">
        <x:v>Lee et al. 2022, IJAA 60:106679, Table 3</x:v>
      </x:c>
    </x:row>
    <x:row r="139">
      <x:c r="A139" t="str">
        <x:v>LEE2022_OXA_KP</x:v>
      </x:c>
      <x:c r="B139" t="str">
        <x:v>PRIMARY</x:v>
      </x:c>
      <x:c r="C139" t="str">
        <x:v>R2</x:v>
      </x:c>
      <x:c r="D139" t="str">
        <x:v>0–30</x:v>
      </x:c>
      <x:c r="E139" t="n">
        <x:v>0.625</x:v>
      </x:c>
      <x:c r="F139" t="n">
        <x:v>8</x:v>
      </x:c>
      <x:c r="G139" t="n">
        <x:v>0.5</x:v>
      </x:c>
      <x:c r="H139" s="127" t="n">
        <x:f>MIC_Harmonized!G18</x:f>
        <x:v>0.18220338983050846</x:v>
      </x:c>
      <x:c r="I139" s="127" t="n">
        <x:v>100</x:v>
      </x:c>
      <x:c r="J139" s="127" t="n">
        <x:v>87.38</x:v>
      </x:c>
      <x:c r="K139" s="127" t="n">
        <x:v>87.38</x:v>
      </x:c>
      <x:c r="L139" s="127" t="n">
        <x:f>H139*I139/100</x:f>
        <x:v>0.1822033898305085</x:v>
      </x:c>
      <x:c r="M139" s="127" t="n">
        <x:f>H139*J139/100</x:f>
        <x:v>0.1592093220338983</x:v>
      </x:c>
      <x:c r="N139" s="127" t="n">
        <x:f>H139*K139/100</x:f>
        <x:v>0.1592093220338983</x:v>
      </x:c>
      <x:c r="O139" t="str">
        <x:v>Lee et al. 2022, IJAA 60:106679, Table 3</x:v>
      </x:c>
    </x:row>
    <x:row r="140">
      <x:c r="A140" t="str">
        <x:v>LEE2022_OXA_KP</x:v>
      </x:c>
      <x:c r="B140" t="str">
        <x:v>PRIMARY</x:v>
      </x:c>
      <x:c r="C140" t="str">
        <x:v>R2</x:v>
      </x:c>
      <x:c r="D140" t="str">
        <x:v>0–30</x:v>
      </x:c>
      <x:c r="E140" t="n">
        <x:v>0.625</x:v>
      </x:c>
      <x:c r="F140" t="n">
        <x:v>8</x:v>
      </x:c>
      <x:c r="G140" t="n">
        <x:v>1</x:v>
      </x:c>
      <x:c r="H140" s="127" t="n">
        <x:f>MIC_Harmonized!G19</x:f>
        <x:v>0.5254237288135594</x:v>
      </x:c>
      <x:c r="I140" s="127" t="n">
        <x:v>99.88</x:v>
      </x:c>
      <x:c r="J140" s="127" t="n">
        <x:v>87.38</x:v>
      </x:c>
      <x:c r="K140" s="127" t="n">
        <x:v>87.38</x:v>
      </x:c>
      <x:c r="L140" s="127" t="n">
        <x:f>H140*I140/100</x:f>
        <x:v>0.524793220338983</x:v>
      </x:c>
      <x:c r="M140" s="127" t="n">
        <x:f>H140*J140/100</x:f>
        <x:v>0.45911525423728816</x:v>
      </x:c>
      <x:c r="N140" s="127" t="n">
        <x:f>H140*K140/100</x:f>
        <x:v>0.45911525423728816</x:v>
      </x:c>
      <x:c r="O140" t="str">
        <x:v>Lee et al. 2022, IJAA 60:106679, Table 3</x:v>
      </x:c>
    </x:row>
    <x:row r="141">
      <x:c r="A141" t="str">
        <x:v>LEE2022_OXA_KP</x:v>
      </x:c>
      <x:c r="B141" t="str">
        <x:v>PRIMARY</x:v>
      </x:c>
      <x:c r="C141" t="str">
        <x:v>R2</x:v>
      </x:c>
      <x:c r="D141" t="str">
        <x:v>0–30</x:v>
      </x:c>
      <x:c r="E141" t="n">
        <x:v>0.625</x:v>
      </x:c>
      <x:c r="F141" t="n">
        <x:v>8</x:v>
      </x:c>
      <x:c r="G141" t="n">
        <x:v>2</x:v>
      </x:c>
      <x:c r="H141" s="127" t="n">
        <x:f>MIC_Harmonized!G20</x:f>
        <x:v>0.211864406779661</x:v>
      </x:c>
      <x:c r="I141" s="127" t="n">
        <x:v>97.63</x:v>
      </x:c>
      <x:c r="J141" s="127" t="n">
        <x:v>87.38</x:v>
      </x:c>
      <x:c r="K141" s="127" t="n">
        <x:v>87.38</x:v>
      </x:c>
      <x:c r="L141" s="127" t="n">
        <x:f>H141*I141/100</x:f>
        <x:v>0.20684322033898306</x:v>
      </x:c>
      <x:c r="M141" s="127" t="n">
        <x:f>H141*J141/100</x:f>
        <x:v>0.18512711864406778</x:v>
      </x:c>
      <x:c r="N141" s="127" t="n">
        <x:f>H141*K141/100</x:f>
        <x:v>0.18512711864406778</x:v>
      </x:c>
      <x:c r="O141" t="str">
        <x:v>Lee et al. 2022, IJAA 60:106679, Table 3</x:v>
      </x:c>
    </x:row>
    <x:row r="142">
      <x:c r="A142" t="str">
        <x:v>LEE2022_OXA_KP</x:v>
      </x:c>
      <x:c r="B142" t="str">
        <x:v>PRIMARY</x:v>
      </x:c>
      <x:c r="C142" t="str">
        <x:v>R2</x:v>
      </x:c>
      <x:c r="D142" t="str">
        <x:v>0–30</x:v>
      </x:c>
      <x:c r="E142" t="n">
        <x:v>0.625</x:v>
      </x:c>
      <x:c r="F142" t="n">
        <x:v>8</x:v>
      </x:c>
      <x:c r="G142" t="n">
        <x:v>4</x:v>
      </x:c>
      <x:c r="H142" s="127" t="n">
        <x:f>MIC_Harmonized!G21</x:f>
        <x:v>0.025423728813559324</x:v>
      </x:c>
      <x:c r="I142" s="127" t="n">
        <x:v>84.53</x:v>
      </x:c>
      <x:c r="J142" s="127" t="n">
        <x:v>87.38</x:v>
      </x:c>
      <x:c r="K142" s="127" t="n">
        <x:v>83.095</x:v>
      </x:c>
      <x:c r="L142" s="127" t="n">
        <x:f>H142*I142/100</x:f>
        <x:v>0.021490677966101695</x:v>
      </x:c>
      <x:c r="M142" s="127" t="n">
        <x:f>H142*J142/100</x:f>
        <x:v>0.022215254237288137</x:v>
      </x:c>
      <x:c r="N142" s="127" t="n">
        <x:f>H142*K142/100</x:f>
        <x:v>0.02112584745762712</x:v>
      </x:c>
      <x:c r="O142" t="str">
        <x:v>Lee et al. 2022, IJAA 60:106679, Table 3</x:v>
      </x:c>
    </x:row>
    <x:row r="143">
      <x:c r="A143" t="str">
        <x:v>LEE2022_OXA_KP</x:v>
      </x:c>
      <x:c r="B143" t="str">
        <x:v>PRIMARY</x:v>
      </x:c>
      <x:c r="C143" t="str">
        <x:v>R2</x:v>
      </x:c>
      <x:c r="D143" t="str">
        <x:v>0–30</x:v>
      </x:c>
      <x:c r="E143" t="n">
        <x:v>0.625</x:v>
      </x:c>
      <x:c r="F143" t="n">
        <x:v>8</x:v>
      </x:c>
      <x:c r="G143" t="n">
        <x:v>8</x:v>
      </x:c>
      <x:c r="H143" s="127" t="n">
        <x:f>MIC_Harmonized!G22</x:f>
        <x:v>0.00423728813559322</x:v>
      </x:c>
      <x:c r="I143" s="127" t="n">
        <x:v>54.510000000000005</x:v>
      </x:c>
      <x:c r="J143" s="127" t="n">
        <x:v>87.38</x:v>
      </x:c>
      <x:c r="K143" s="127" t="n">
        <x:v>54.510000000000005</x:v>
      </x:c>
      <x:c r="L143" s="127" t="n">
        <x:f>H143*I143/100</x:f>
        <x:v>0.0023097457627118644</x:v>
      </x:c>
      <x:c r="M143" s="127" t="n">
        <x:f>H143*J143/100</x:f>
        <x:v>0.0037025423728813556</x:v>
      </x:c>
      <x:c r="N143" s="127" t="n">
        <x:f>H143*K143/100</x:f>
        <x:v>0.0023097457627118644</x:v>
      </x:c>
      <x:c r="O143" t="str">
        <x:v>Lee et al. 2022, IJAA 60:106679, Table 3</x:v>
      </x:c>
    </x:row>
    <x:row r="144">
      <x:c r="A144" t="str">
        <x:v>LEE2022_OXA_KP</x:v>
      </x:c>
      <x:c r="B144" t="str">
        <x:v>PRIMARY</x:v>
      </x:c>
      <x:c r="C144" t="str">
        <x:v>R2</x:v>
      </x:c>
      <x:c r="D144" t="str">
        <x:v>0–30</x:v>
      </x:c>
      <x:c r="E144" t="n">
        <x:v>0.625</x:v>
      </x:c>
      <x:c r="F144" t="n">
        <x:v>8</x:v>
      </x:c>
      <x:c r="G144" t="n">
        <x:v>16</x:v>
      </x:c>
      <x:c r="H144" s="127" t="n">
        <x:f>MIC_Harmonized!G23</x:f>
        <x:v>0</x:v>
      </x:c>
      <x:c r="I144" s="127" t="n">
        <x:v>24.775</x:v>
      </x:c>
      <x:c r="J144" s="127" t="n">
        <x:v>87.38</x:v>
      </x:c>
      <x:c r="K144" s="127" t="n">
        <x:v>24.775</x:v>
      </x:c>
      <x:c r="L144" s="127" t="n">
        <x:f>H144*I144/100</x:f>
        <x:v>0</x:v>
      </x:c>
      <x:c r="M144" s="127" t="n">
        <x:f>H144*J144/100</x:f>
        <x:v>0</x:v>
      </x:c>
      <x:c r="N144" s="127" t="n">
        <x:f>H144*K144/100</x:f>
        <x:v>0</x:v>
      </x:c>
      <x:c r="O144" t="str">
        <x:v>Lee et al. 2022, IJAA 60:106679, Table 3</x:v>
      </x:c>
    </x:row>
    <x:row r="145">
      <x:c r="A145" t="str">
        <x:v>LEE2022_OXA_KP</x:v>
      </x:c>
      <x:c r="B145" t="str">
        <x:v>PRIMARY</x:v>
      </x:c>
      <x:c r="C145" t="str">
        <x:v>R2</x:v>
      </x:c>
      <x:c r="D145" t="str">
        <x:v>0–30</x:v>
      </x:c>
      <x:c r="E145" t="n">
        <x:v>0.625</x:v>
      </x:c>
      <x:c r="F145" t="n">
        <x:v>8</x:v>
      </x:c>
      <x:c r="G145" t="n">
        <x:v>32</x:v>
      </x:c>
      <x:c r="H145" s="127" t="n">
        <x:f>MIC_Harmonized!G24</x:f>
        <x:v>0.00423728813559322</x:v>
      </x:c>
      <x:c r="I145" s="127" t="n">
        <x:v>9.47</x:v>
      </x:c>
      <x:c r="J145" s="127" t="n">
        <x:v>87.38</x:v>
      </x:c>
      <x:c r="K145" s="127" t="n">
        <x:v>9.47</x:v>
      </x:c>
      <x:c r="L145" s="127" t="n">
        <x:f>H145*I145/100</x:f>
        <x:v>0.00040127118644067803</x:v>
      </x:c>
      <x:c r="M145" s="127" t="n">
        <x:f>H145*J145/100</x:f>
        <x:v>0.0037025423728813556</x:v>
      </x:c>
      <x:c r="N145" s="127" t="n">
        <x:f>H145*K145/100</x:f>
        <x:v>0.00040127118644067803</x:v>
      </x:c>
      <x:c r="O145" t="str">
        <x:v>Lee et al. 2022, IJAA 60:106679, Table 3</x:v>
      </x:c>
    </x:row>
    <x:row r="146">
      <x:c r="A146" t="str">
        <x:v>LEE2022_OXA_KP</x:v>
      </x:c>
      <x:c r="B146" t="str">
        <x:v>PRIMARY</x:v>
      </x:c>
      <x:c r="C146" t="str">
        <x:v>R2</x:v>
      </x:c>
      <x:c r="D146" t="str">
        <x:v>0–30</x:v>
      </x:c>
      <x:c r="E146" t="n">
        <x:v>0.625</x:v>
      </x:c>
      <x:c r="F146" t="n">
        <x:v>8</x:v>
      </x:c>
      <x:c r="G146" t="n">
        <x:v>64</x:v>
      </x:c>
      <x:c r="H146" s="127" t="n">
        <x:f>MIC_Harmonized!G25</x:f>
        <x:v>0.00847457627118644</x:v>
      </x:c>
      <x:c r="I146" s="127" t="n">
        <x:v>3.3099999999999996</x:v>
      </x:c>
      <x:c r="J146" s="127" t="n">
        <x:v>87.38</x:v>
      </x:c>
      <x:c r="K146" s="127" t="n">
        <x:v>3.3099999999999996</x:v>
      </x:c>
      <x:c r="L146" s="127" t="n">
        <x:f>H146*I146/100</x:f>
        <x:v>0.00028050847457627114</x:v>
      </x:c>
      <x:c r="M146" s="127" t="n">
        <x:f>H146*J146/100</x:f>
        <x:v>0.007405084745762711</x:v>
      </x:c>
      <x:c r="N146" s="127" t="n">
        <x:f>H146*K146/100</x:f>
        <x:v>0.00028050847457627114</x:v>
      </x:c>
      <x:c r="O146" t="str">
        <x:v>Lee et al. 2022, IJAA 60:106679, Table 3</x:v>
      </x:c>
    </x:row>
    <x:row r="147">
      <x:c r="A147" t="str">
        <x:v>LEE2022_OXA_KP</x:v>
      </x:c>
      <x:c r="B147" t="str">
        <x:v>PRIMARY</x:v>
      </x:c>
      <x:c r="C147" t="str">
        <x:v>R5</x:v>
      </x:c>
      <x:c r="D147" t="str">
        <x:v>31–60</x:v>
      </x:c>
      <x:c r="E147" t="n">
        <x:v>0.625</x:v>
      </x:c>
      <x:c r="F147" t="n">
        <x:v>8</x:v>
      </x:c>
      <x:c r="G147" t="n">
        <x:v>0.0625</x:v>
      </x:c>
      <x:c r="H147" s="127" t="n">
        <x:f>MIC_Harmonized!G15</x:f>
        <x:v>0</x:v>
      </x:c>
      <x:c r="I147" s="127" t="n">
        <x:v>100</x:v>
      </x:c>
      <x:c r="J147" s="127" t="n">
        <x:v>44.964999999999996</x:v>
      </x:c>
      <x:c r="K147" s="127" t="n">
        <x:v>44.964999999999996</x:v>
      </x:c>
      <x:c r="L147" s="127" t="n">
        <x:f>H147*I147/100</x:f>
        <x:v>0</x:v>
      </x:c>
      <x:c r="M147" s="127" t="n">
        <x:f>H147*J147/100</x:f>
        <x:v>0</x:v>
      </x:c>
      <x:c r="N147" s="127" t="n">
        <x:f>H147*K147/100</x:f>
        <x:v>0</x:v>
      </x:c>
      <x:c r="O147" t="str">
        <x:v>Lee et al. 2022, IJAA 60:106679, Table 3</x:v>
      </x:c>
    </x:row>
    <x:row r="148">
      <x:c r="A148" t="str">
        <x:v>LEE2022_OXA_KP</x:v>
      </x:c>
      <x:c r="B148" t="str">
        <x:v>PRIMARY</x:v>
      </x:c>
      <x:c r="C148" t="str">
        <x:v>R5</x:v>
      </x:c>
      <x:c r="D148" t="str">
        <x:v>31–60</x:v>
      </x:c>
      <x:c r="E148" t="n">
        <x:v>0.625</x:v>
      </x:c>
      <x:c r="F148" t="n">
        <x:v>8</x:v>
      </x:c>
      <x:c r="G148" t="n">
        <x:v>0.125</x:v>
      </x:c>
      <x:c r="H148" s="127" t="n">
        <x:f>MIC_Harmonized!G16</x:f>
        <x:v>0</x:v>
      </x:c>
      <x:c r="I148" s="127" t="n">
        <x:v>100</x:v>
      </x:c>
      <x:c r="J148" s="127" t="n">
        <x:v>44.964999999999996</x:v>
      </x:c>
      <x:c r="K148" s="127" t="n">
        <x:v>44.964999999999996</x:v>
      </x:c>
      <x:c r="L148" s="127" t="n">
        <x:f>H148*I148/100</x:f>
        <x:v>0</x:v>
      </x:c>
      <x:c r="M148" s="127" t="n">
        <x:f>H148*J148/100</x:f>
        <x:v>0</x:v>
      </x:c>
      <x:c r="N148" s="127" t="n">
        <x:f>H148*K148/100</x:f>
        <x:v>0</x:v>
      </x:c>
      <x:c r="O148" t="str">
        <x:v>Lee et al. 2022, IJAA 60:106679, Table 3</x:v>
      </x:c>
    </x:row>
    <x:row r="149">
      <x:c r="A149" t="str">
        <x:v>LEE2022_OXA_KP</x:v>
      </x:c>
      <x:c r="B149" t="str">
        <x:v>PRIMARY</x:v>
      </x:c>
      <x:c r="C149" t="str">
        <x:v>R5</x:v>
      </x:c>
      <x:c r="D149" t="str">
        <x:v>31–60</x:v>
      </x:c>
      <x:c r="E149" t="n">
        <x:v>0.625</x:v>
      </x:c>
      <x:c r="F149" t="n">
        <x:v>8</x:v>
      </x:c>
      <x:c r="G149" t="n">
        <x:v>0.25</x:v>
      </x:c>
      <x:c r="H149" s="127" t="n">
        <x:f>MIC_Harmonized!G17</x:f>
        <x:v>0.038135593220338986</x:v>
      </x:c>
      <x:c r="I149" s="127" t="n">
        <x:v>100</x:v>
      </x:c>
      <x:c r="J149" s="127" t="n">
        <x:v>44.964999999999996</x:v>
      </x:c>
      <x:c r="K149" s="127" t="n">
        <x:v>44.964999999999996</x:v>
      </x:c>
      <x:c r="L149" s="127" t="n">
        <x:f>H149*I149/100</x:f>
        <x:v>0.038135593220338986</x:v>
      </x:c>
      <x:c r="M149" s="127" t="n">
        <x:f>H149*J149/100</x:f>
        <x:v>0.017147669491525422</x:v>
      </x:c>
      <x:c r="N149" s="127" t="n">
        <x:f>H149*K149/100</x:f>
        <x:v>0.017147669491525422</x:v>
      </x:c>
      <x:c r="O149" t="str">
        <x:v>Lee et al. 2022, IJAA 60:106679, Table 3</x:v>
      </x:c>
    </x:row>
    <x:row r="150">
      <x:c r="A150" t="str">
        <x:v>LEE2022_OXA_KP</x:v>
      </x:c>
      <x:c r="B150" t="str">
        <x:v>PRIMARY</x:v>
      </x:c>
      <x:c r="C150" t="str">
        <x:v>R5</x:v>
      </x:c>
      <x:c r="D150" t="str">
        <x:v>31–60</x:v>
      </x:c>
      <x:c r="E150" t="n">
        <x:v>0.625</x:v>
      </x:c>
      <x:c r="F150" t="n">
        <x:v>8</x:v>
      </x:c>
      <x:c r="G150" t="n">
        <x:v>0.5</x:v>
      </x:c>
      <x:c r="H150" s="127" t="n">
        <x:f>MIC_Harmonized!G18</x:f>
        <x:v>0.18220338983050846</x:v>
      </x:c>
      <x:c r="I150" s="127" t="n">
        <x:v>99.935</x:v>
      </x:c>
      <x:c r="J150" s="127" t="n">
        <x:v>44.964999999999996</x:v>
      </x:c>
      <x:c r="K150" s="127" t="n">
        <x:v>44.964999999999996</x:v>
      </x:c>
      <x:c r="L150" s="127" t="n">
        <x:f>H150*I150/100</x:f>
        <x:v>0.18208495762711863</x:v>
      </x:c>
      <x:c r="M150" s="127" t="n">
        <x:f>H150*J150/100</x:f>
        <x:v>0.08192775423728813</x:v>
      </x:c>
      <x:c r="N150" s="127" t="n">
        <x:f>H150*K150/100</x:f>
        <x:v>0.08192775423728813</x:v>
      </x:c>
      <x:c r="O150" t="str">
        <x:v>Lee et al. 2022, IJAA 60:106679, Table 3</x:v>
      </x:c>
    </x:row>
    <x:row r="151">
      <x:c r="A151" t="str">
        <x:v>LEE2022_OXA_KP</x:v>
      </x:c>
      <x:c r="B151" t="str">
        <x:v>PRIMARY</x:v>
      </x:c>
      <x:c r="C151" t="str">
        <x:v>R5</x:v>
      </x:c>
      <x:c r="D151" t="str">
        <x:v>31–60</x:v>
      </x:c>
      <x:c r="E151" t="n">
        <x:v>0.625</x:v>
      </x:c>
      <x:c r="F151" t="n">
        <x:v>8</x:v>
      </x:c>
      <x:c r="G151" t="n">
        <x:v>1</x:v>
      </x:c>
      <x:c r="H151" s="127" t="n">
        <x:f>MIC_Harmonized!G19</x:f>
        <x:v>0.5254237288135594</x:v>
      </x:c>
      <x:c r="I151" s="127" t="n">
        <x:v>97.875</x:v>
      </x:c>
      <x:c r="J151" s="127" t="n">
        <x:v>44.964999999999996</x:v>
      </x:c>
      <x:c r="K151" s="127" t="n">
        <x:v>44.964999999999996</x:v>
      </x:c>
      <x:c r="L151" s="127" t="n">
        <x:f>H151*I151/100</x:f>
        <x:v>0.5142584745762712</x:v>
      </x:c>
      <x:c r="M151" s="127" t="n">
        <x:f>H151*J151/100</x:f>
        <x:v>0.23625677966101694</x:v>
      </x:c>
      <x:c r="N151" s="127" t="n">
        <x:f>H151*K151/100</x:f>
        <x:v>0.23625677966101694</x:v>
      </x:c>
      <x:c r="O151" t="str">
        <x:v>Lee et al. 2022, IJAA 60:106679, Table 3</x:v>
      </x:c>
    </x:row>
    <x:row r="152">
      <x:c r="A152" t="str">
        <x:v>LEE2022_OXA_KP</x:v>
      </x:c>
      <x:c r="B152" t="str">
        <x:v>PRIMARY</x:v>
      </x:c>
      <x:c r="C152" t="str">
        <x:v>R5</x:v>
      </x:c>
      <x:c r="D152" t="str">
        <x:v>31–60</x:v>
      </x:c>
      <x:c r="E152" t="n">
        <x:v>0.625</x:v>
      </x:c>
      <x:c r="F152" t="n">
        <x:v>8</x:v>
      </x:c>
      <x:c r="G152" t="n">
        <x:v>2</x:v>
      </x:c>
      <x:c r="H152" s="127" t="n">
        <x:f>MIC_Harmonized!G20</x:f>
        <x:v>0.211864406779661</x:v>
      </x:c>
      <x:c r="I152" s="127" t="n">
        <x:v>82.75</x:v>
      </x:c>
      <x:c r="J152" s="127" t="n">
        <x:v>44.964999999999996</x:v>
      </x:c>
      <x:c r="K152" s="127" t="n">
        <x:v>44.964999999999996</x:v>
      </x:c>
      <x:c r="L152" s="127" t="n">
        <x:f>H152*I152/100</x:f>
        <x:v>0.17531779661016947</x:v>
      </x:c>
      <x:c r="M152" s="127" t="n">
        <x:f>H152*J152/100</x:f>
        <x:v>0.09526483050847456</x:v>
      </x:c>
      <x:c r="N152" s="127" t="n">
        <x:f>H152*K152/100</x:f>
        <x:v>0.09526483050847456</x:v>
      </x:c>
      <x:c r="O152" t="str">
        <x:v>Lee et al. 2022, IJAA 60:106679, Table 3</x:v>
      </x:c>
    </x:row>
    <x:row r="153">
      <x:c r="A153" t="str">
        <x:v>LEE2022_OXA_KP</x:v>
      </x:c>
      <x:c r="B153" t="str">
        <x:v>PRIMARY</x:v>
      </x:c>
      <x:c r="C153" t="str">
        <x:v>R5</x:v>
      </x:c>
      <x:c r="D153" t="str">
        <x:v>31–60</x:v>
      </x:c>
      <x:c r="E153" t="n">
        <x:v>0.625</x:v>
      </x:c>
      <x:c r="F153" t="n">
        <x:v>8</x:v>
      </x:c>
      <x:c r="G153" t="n">
        <x:v>4</x:v>
      </x:c>
      <x:c r="H153" s="127" t="n">
        <x:f>MIC_Harmonized!G21</x:f>
        <x:v>0.025423728813559324</x:v>
      </x:c>
      <x:c r="I153" s="127" t="n">
        <x:v>44.345</x:v>
      </x:c>
      <x:c r="J153" s="127" t="n">
        <x:v>44.964999999999996</x:v>
      </x:c>
      <x:c r="K153" s="127" t="n">
        <x:v>39.28</x:v>
      </x:c>
      <x:c r="L153" s="127" t="n">
        <x:f>H153*I153/100</x:f>
        <x:v>0.011274152542372882</x:v>
      </x:c>
      <x:c r="M153" s="127" t="n">
        <x:f>H153*J153/100</x:f>
        <x:v>0.011431779661016949</x:v>
      </x:c>
      <x:c r="N153" s="127" t="n">
        <x:f>H153*K153/100</x:f>
        <x:v>0.009986440677966103</x:v>
      </x:c>
      <x:c r="O153" t="str">
        <x:v>Lee et al. 2022, IJAA 60:106679, Table 3</x:v>
      </x:c>
    </x:row>
    <x:row r="154">
      <x:c r="A154" t="str">
        <x:v>LEE2022_OXA_KP</x:v>
      </x:c>
      <x:c r="B154" t="str">
        <x:v>PRIMARY</x:v>
      </x:c>
      <x:c r="C154" t="str">
        <x:v>R5</x:v>
      </x:c>
      <x:c r="D154" t="str">
        <x:v>31–60</x:v>
      </x:c>
      <x:c r="E154" t="n">
        <x:v>0.625</x:v>
      </x:c>
      <x:c r="F154" t="n">
        <x:v>8</x:v>
      </x:c>
      <x:c r="G154" t="n">
        <x:v>8</x:v>
      </x:c>
      <x:c r="H154" s="127" t="n">
        <x:f>MIC_Harmonized!G22</x:f>
        <x:v>0.00423728813559322</x:v>
      </x:c>
      <x:c r="I154" s="127" t="n">
        <x:v>10.32</x:v>
      </x:c>
      <x:c r="J154" s="127" t="n">
        <x:v>44.964999999999996</x:v>
      </x:c>
      <x:c r="K154" s="127" t="n">
        <x:v>10.32</x:v>
      </x:c>
      <x:c r="L154" s="127" t="n">
        <x:f>H154*I154/100</x:f>
        <x:v>0.0004372881355932204</x:v>
      </x:c>
      <x:c r="M154" s="127" t="n">
        <x:f>H154*J154/100</x:f>
        <x:v>0.0019052966101694912</x:v>
      </x:c>
      <x:c r="N154" s="127" t="n">
        <x:f>H154*K154/100</x:f>
        <x:v>0.0004372881355932204</x:v>
      </x:c>
      <x:c r="O154" t="str">
        <x:v>Lee et al. 2022, IJAA 60:106679, Table 3</x:v>
      </x:c>
    </x:row>
    <x:row r="155">
      <x:c r="A155" t="str">
        <x:v>LEE2022_OXA_KP</x:v>
      </x:c>
      <x:c r="B155" t="str">
        <x:v>PRIMARY</x:v>
      </x:c>
      <x:c r="C155" t="str">
        <x:v>R5</x:v>
      </x:c>
      <x:c r="D155" t="str">
        <x:v>31–60</x:v>
      </x:c>
      <x:c r="E155" t="n">
        <x:v>0.625</x:v>
      </x:c>
      <x:c r="F155" t="n">
        <x:v>8</x:v>
      </x:c>
      <x:c r="G155" t="n">
        <x:v>16</x:v>
      </x:c>
      <x:c r="H155" s="127" t="n">
        <x:f>MIC_Harmonized!G23</x:f>
        <x:v>0</x:v>
      </x:c>
      <x:c r="I155" s="127" t="n">
        <x:v>1.01</x:v>
      </x:c>
      <x:c r="J155" s="127" t="n">
        <x:v>44.964999999999996</x:v>
      </x:c>
      <x:c r="K155" s="127" t="n">
        <x:v>1.01</x:v>
      </x:c>
      <x:c r="L155" s="127" t="n">
        <x:f>H155*I155/100</x:f>
        <x:v>0</x:v>
      </x:c>
      <x:c r="M155" s="127" t="n">
        <x:f>H155*J155/100</x:f>
        <x:v>0</x:v>
      </x:c>
      <x:c r="N155" s="127" t="n">
        <x:f>H155*K155/100</x:f>
        <x:v>0</x:v>
      </x:c>
      <x:c r="O155" t="str">
        <x:v>Lee et al. 2022, IJAA 60:106679, Table 3</x:v>
      </x:c>
    </x:row>
    <x:row r="156">
      <x:c r="A156" t="str">
        <x:v>LEE2022_OXA_KP</x:v>
      </x:c>
      <x:c r="B156" t="str">
        <x:v>PRIMARY</x:v>
      </x:c>
      <x:c r="C156" t="str">
        <x:v>R5</x:v>
      </x:c>
      <x:c r="D156" t="str">
        <x:v>31–60</x:v>
      </x:c>
      <x:c r="E156" t="n">
        <x:v>0.625</x:v>
      </x:c>
      <x:c r="F156" t="n">
        <x:v>8</x:v>
      </x:c>
      <x:c r="G156" t="n">
        <x:v>32</x:v>
      </x:c>
      <x:c r="H156" s="127" t="n">
        <x:f>MIC_Harmonized!G24</x:f>
        <x:v>0.00423728813559322</x:v>
      </x:c>
      <x:c r="I156" s="127" t="n">
        <x:v>0.03</x:v>
      </x:c>
      <x:c r="J156" s="127" t="n">
        <x:v>44.964999999999996</x:v>
      </x:c>
      <x:c r="K156" s="127" t="n">
        <x:v>0.03</x:v>
      </x:c>
      <x:c r="L156" s="127" t="n">
        <x:f>H156*I156/100</x:f>
        <x:v>0.0000012711864406779662</x:v>
      </x:c>
      <x:c r="M156" s="127" t="n">
        <x:f>H156*J156/100</x:f>
        <x:v>0.0019052966101694912</x:v>
      </x:c>
      <x:c r="N156" s="127" t="n">
        <x:f>H156*K156/100</x:f>
        <x:v>0.0000012711864406779662</x:v>
      </x:c>
      <x:c r="O156" t="str">
        <x:v>Lee et al. 2022, IJAA 60:106679, Table 3</x:v>
      </x:c>
    </x:row>
    <x:row r="157">
      <x:c r="A157" t="str">
        <x:v>LEE2022_OXA_KP</x:v>
      </x:c>
      <x:c r="B157" t="str">
        <x:v>PRIMARY</x:v>
      </x:c>
      <x:c r="C157" t="str">
        <x:v>R5</x:v>
      </x:c>
      <x:c r="D157" t="str">
        <x:v>31–60</x:v>
      </x:c>
      <x:c r="E157" t="n">
        <x:v>0.625</x:v>
      </x:c>
      <x:c r="F157" t="n">
        <x:v>8</x:v>
      </x:c>
      <x:c r="G157" t="n">
        <x:v>64</x:v>
      </x:c>
      <x:c r="H157" s="127" t="n">
        <x:f>MIC_Harmonized!G25</x:f>
        <x:v>0.00847457627118644</x:v>
      </x:c>
      <x:c r="I157" s="127" t="n">
        <x:v>0</x:v>
      </x:c>
      <x:c r="J157" s="127" t="n">
        <x:v>44.964999999999996</x:v>
      </x:c>
      <x:c r="K157" s="127" t="n">
        <x:v>0</x:v>
      </x:c>
      <x:c r="L157" s="127" t="n">
        <x:f>H157*I157/100</x:f>
        <x:v>0</x:v>
      </x:c>
      <x:c r="M157" s="127" t="n">
        <x:f>H157*J157/100</x:f>
        <x:v>0.0038105932203389824</x:v>
      </x:c>
      <x:c r="N157" s="127" t="n">
        <x:f>H157*K157/100</x:f>
        <x:v>0</x:v>
      </x:c>
      <x:c r="O157" t="str">
        <x:v>Lee et al. 2022, IJAA 60:106679, Table 3</x:v>
      </x:c>
    </x:row>
    <x:row r="158">
      <x:c r="A158" t="str">
        <x:v>LEE2022_OXA_KP</x:v>
      </x:c>
      <x:c r="B158" t="str">
        <x:v>PRIMARY</x:v>
      </x:c>
      <x:c r="C158" t="str">
        <x:v>R6</x:v>
      </x:c>
      <x:c r="D158" t="str">
        <x:v>31–60</x:v>
      </x:c>
      <x:c r="E158" t="n">
        <x:v>1.25</x:v>
      </x:c>
      <x:c r="F158" t="n">
        <x:v>12</x:v>
      </x:c>
      <x:c r="G158" t="n">
        <x:v>0.0625</x:v>
      </x:c>
      <x:c r="H158" s="127" t="n">
        <x:f>MIC_Harmonized!G15</x:f>
        <x:v>0</x:v>
      </x:c>
      <x:c r="I158" s="127" t="n">
        <x:v>100</x:v>
      </x:c>
      <x:c r="J158" s="127" t="n">
        <x:v>61.035</x:v>
      </x:c>
      <x:c r="K158" s="127" t="n">
        <x:v>61.035</x:v>
      </x:c>
      <x:c r="L158" s="127" t="n">
        <x:f>H158*I158/100</x:f>
        <x:v>0</x:v>
      </x:c>
      <x:c r="M158" s="127" t="n">
        <x:f>H158*J158/100</x:f>
        <x:v>0</x:v>
      </x:c>
      <x:c r="N158" s="127" t="n">
        <x:f>H158*K158/100</x:f>
        <x:v>0</x:v>
      </x:c>
      <x:c r="O158" t="str">
        <x:v>Lee et al. 2022, IJAA 60:106679, Table 3</x:v>
      </x:c>
    </x:row>
    <x:row r="159">
      <x:c r="A159" t="str">
        <x:v>LEE2022_OXA_KP</x:v>
      </x:c>
      <x:c r="B159" t="str">
        <x:v>PRIMARY</x:v>
      </x:c>
      <x:c r="C159" t="str">
        <x:v>R6</x:v>
      </x:c>
      <x:c r="D159" t="str">
        <x:v>31–60</x:v>
      </x:c>
      <x:c r="E159" t="n">
        <x:v>1.25</x:v>
      </x:c>
      <x:c r="F159" t="n">
        <x:v>12</x:v>
      </x:c>
      <x:c r="G159" t="n">
        <x:v>0.125</x:v>
      </x:c>
      <x:c r="H159" s="127" t="n">
        <x:f>MIC_Harmonized!G16</x:f>
        <x:v>0</x:v>
      </x:c>
      <x:c r="I159" s="127" t="n">
        <x:v>100</x:v>
      </x:c>
      <x:c r="J159" s="127" t="n">
        <x:v>61.035</x:v>
      </x:c>
      <x:c r="K159" s="127" t="n">
        <x:v>61.035</x:v>
      </x:c>
      <x:c r="L159" s="127" t="n">
        <x:f>H159*I159/100</x:f>
        <x:v>0</x:v>
      </x:c>
      <x:c r="M159" s="127" t="n">
        <x:f>H159*J159/100</x:f>
        <x:v>0</x:v>
      </x:c>
      <x:c r="N159" s="127" t="n">
        <x:f>H159*K159/100</x:f>
        <x:v>0</x:v>
      </x:c>
      <x:c r="O159" t="str">
        <x:v>Lee et al. 2022, IJAA 60:106679, Table 3</x:v>
      </x:c>
    </x:row>
    <x:row r="160">
      <x:c r="A160" t="str">
        <x:v>LEE2022_OXA_KP</x:v>
      </x:c>
      <x:c r="B160" t="str">
        <x:v>PRIMARY</x:v>
      </x:c>
      <x:c r="C160" t="str">
        <x:v>R6</x:v>
      </x:c>
      <x:c r="D160" t="str">
        <x:v>31–60</x:v>
      </x:c>
      <x:c r="E160" t="n">
        <x:v>1.25</x:v>
      </x:c>
      <x:c r="F160" t="n">
        <x:v>12</x:v>
      </x:c>
      <x:c r="G160" t="n">
        <x:v>0.25</x:v>
      </x:c>
      <x:c r="H160" s="127" t="n">
        <x:f>MIC_Harmonized!G17</x:f>
        <x:v>0.038135593220338986</x:v>
      </x:c>
      <x:c r="I160" s="127" t="n">
        <x:v>100</x:v>
      </x:c>
      <x:c r="J160" s="127" t="n">
        <x:v>61.035</x:v>
      </x:c>
      <x:c r="K160" s="127" t="n">
        <x:v>61.035</x:v>
      </x:c>
      <x:c r="L160" s="127" t="n">
        <x:f>H160*I160/100</x:f>
        <x:v>0.038135593220338986</x:v>
      </x:c>
      <x:c r="M160" s="127" t="n">
        <x:f>H160*J160/100</x:f>
        <x:v>0.023276059322033898</x:v>
      </x:c>
      <x:c r="N160" s="127" t="n">
        <x:f>H160*K160/100</x:f>
        <x:v>0.023276059322033898</x:v>
      </x:c>
      <x:c r="O160" t="str">
        <x:v>Lee et al. 2022, IJAA 60:106679, Table 3</x:v>
      </x:c>
    </x:row>
    <x:row r="161">
      <x:c r="A161" t="str">
        <x:v>LEE2022_OXA_KP</x:v>
      </x:c>
      <x:c r="B161" t="str">
        <x:v>PRIMARY</x:v>
      </x:c>
      <x:c r="C161" t="str">
        <x:v>R6</x:v>
      </x:c>
      <x:c r="D161" t="str">
        <x:v>31–60</x:v>
      </x:c>
      <x:c r="E161" t="n">
        <x:v>1.25</x:v>
      </x:c>
      <x:c r="F161" t="n">
        <x:v>12</x:v>
      </x:c>
      <x:c r="G161" t="n">
        <x:v>0.5</x:v>
      </x:c>
      <x:c r="H161" s="127" t="n">
        <x:f>MIC_Harmonized!G18</x:f>
        <x:v>0.18220338983050846</x:v>
      </x:c>
      <x:c r="I161" s="127" t="n">
        <x:v>99.995</x:v>
      </x:c>
      <x:c r="J161" s="127" t="n">
        <x:v>61.035</x:v>
      </x:c>
      <x:c r="K161" s="127" t="n">
        <x:v>61.035</x:v>
      </x:c>
      <x:c r="L161" s="127" t="n">
        <x:f>H161*I161/100</x:f>
        <x:v>0.18219427966101695</x:v>
      </x:c>
      <x:c r="M161" s="127" t="n">
        <x:f>H161*J161/100</x:f>
        <x:v>0.11120783898305082</x:v>
      </x:c>
      <x:c r="N161" s="127" t="n">
        <x:f>H161*K161/100</x:f>
        <x:v>0.11120783898305082</x:v>
      </x:c>
      <x:c r="O161" t="str">
        <x:v>Lee et al. 2022, IJAA 60:106679, Table 3</x:v>
      </x:c>
    </x:row>
    <x:row r="162">
      <x:c r="A162" t="str">
        <x:v>LEE2022_OXA_KP</x:v>
      </x:c>
      <x:c r="B162" t="str">
        <x:v>PRIMARY</x:v>
      </x:c>
      <x:c r="C162" t="str">
        <x:v>R6</x:v>
      </x:c>
      <x:c r="D162" t="str">
        <x:v>31–60</x:v>
      </x:c>
      <x:c r="E162" t="n">
        <x:v>1.25</x:v>
      </x:c>
      <x:c r="F162" t="n">
        <x:v>12</x:v>
      </x:c>
      <x:c r="G162" t="n">
        <x:v>1</x:v>
      </x:c>
      <x:c r="H162" s="127" t="n">
        <x:f>MIC_Harmonized!G19</x:f>
        <x:v>0.5254237288135594</x:v>
      </x:c>
      <x:c r="I162" s="127" t="n">
        <x:v>99.39</x:v>
      </x:c>
      <x:c r="J162" s="127" t="n">
        <x:v>61.035</x:v>
      </x:c>
      <x:c r="K162" s="127" t="n">
        <x:v>61.035</x:v>
      </x:c>
      <x:c r="L162" s="127" t="n">
        <x:f>H162*I162/100</x:f>
        <x:v>0.5222186440677966</x:v>
      </x:c>
      <x:c r="M162" s="127" t="n">
        <x:f>H162*J162/100</x:f>
        <x:v>0.320692372881356</x:v>
      </x:c>
      <x:c r="N162" s="127" t="n">
        <x:f>H162*K162/100</x:f>
        <x:v>0.320692372881356</x:v>
      </x:c>
      <x:c r="O162" t="str">
        <x:v>Lee et al. 2022, IJAA 60:106679, Table 3</x:v>
      </x:c>
    </x:row>
    <x:row r="163">
      <x:c r="A163" t="str">
        <x:v>LEE2022_OXA_KP</x:v>
      </x:c>
      <x:c r="B163" t="str">
        <x:v>PRIMARY</x:v>
      </x:c>
      <x:c r="C163" t="str">
        <x:v>R6</x:v>
      </x:c>
      <x:c r="D163" t="str">
        <x:v>31–60</x:v>
      </x:c>
      <x:c r="E163" t="n">
        <x:v>1.25</x:v>
      </x:c>
      <x:c r="F163" t="n">
        <x:v>12</x:v>
      </x:c>
      <x:c r="G163" t="n">
        <x:v>2</x:v>
      </x:c>
      <x:c r="H163" s="127" t="n">
        <x:f>MIC_Harmonized!G20</x:f>
        <x:v>0.211864406779661</x:v>
      </x:c>
      <x:c r="I163" s="127" t="n">
        <x:v>91.82000000000001</x:v>
      </x:c>
      <x:c r="J163" s="127" t="n">
        <x:v>61.035</x:v>
      </x:c>
      <x:c r="K163" s="127" t="n">
        <x:v>61.035</x:v>
      </x:c>
      <x:c r="L163" s="127" t="n">
        <x:f>H163*I163/100</x:f>
        <x:v>0.19453389830508475</x:v>
      </x:c>
      <x:c r="M163" s="127" t="n">
        <x:f>H163*J163/100</x:f>
        <x:v>0.1293114406779661</x:v>
      </x:c>
      <x:c r="N163" s="127" t="n">
        <x:f>H163*K163/100</x:f>
        <x:v>0.1293114406779661</x:v>
      </x:c>
      <x:c r="O163" t="str">
        <x:v>Lee et al. 2022, IJAA 60:106679, Table 3</x:v>
      </x:c>
    </x:row>
    <x:row r="164">
      <x:c r="A164" t="str">
        <x:v>LEE2022_OXA_KP</x:v>
      </x:c>
      <x:c r="B164" t="str">
        <x:v>PRIMARY</x:v>
      </x:c>
      <x:c r="C164" t="str">
        <x:v>R6</x:v>
      </x:c>
      <x:c r="D164" t="str">
        <x:v>31–60</x:v>
      </x:c>
      <x:c r="E164" t="n">
        <x:v>1.25</x:v>
      </x:c>
      <x:c r="F164" t="n">
        <x:v>12</x:v>
      </x:c>
      <x:c r="G164" t="n">
        <x:v>4</x:v>
      </x:c>
      <x:c r="H164" s="127" t="n">
        <x:f>MIC_Harmonized!G21</x:f>
        <x:v>0.025423728813559324</x:v>
      </x:c>
      <x:c r="I164" s="127" t="n">
        <x:v>62.11</x:v>
      </x:c>
      <x:c r="J164" s="127" t="n">
        <x:v>61.035</x:v>
      </x:c>
      <x:c r="K164" s="127" t="n">
        <x:v>56.38999999999999</x:v>
      </x:c>
      <x:c r="L164" s="127" t="n">
        <x:f>H164*I164/100</x:f>
        <x:v>0.015790677966101695</x:v>
      </x:c>
      <x:c r="M164" s="127" t="n">
        <x:f>H164*J164/100</x:f>
        <x:v>0.015517372881355932</x:v>
      </x:c>
      <x:c r="N164" s="127" t="n">
        <x:f>H164*K164/100</x:f>
        <x:v>0.0143364406779661</x:v>
      </x:c>
      <x:c r="O164" t="str">
        <x:v>Lee et al. 2022, IJAA 60:106679, Table 3</x:v>
      </x:c>
    </x:row>
    <x:row r="165">
      <x:c r="A165" t="str">
        <x:v>LEE2022_OXA_KP</x:v>
      </x:c>
      <x:c r="B165" t="str">
        <x:v>PRIMARY</x:v>
      </x:c>
      <x:c r="C165" t="str">
        <x:v>R6</x:v>
      </x:c>
      <x:c r="D165" t="str">
        <x:v>31–60</x:v>
      </x:c>
      <x:c r="E165" t="n">
        <x:v>1.25</x:v>
      </x:c>
      <x:c r="F165" t="n">
        <x:v>12</x:v>
      </x:c>
      <x:c r="G165" t="n">
        <x:v>8</x:v>
      </x:c>
      <x:c r="H165" s="127" t="n">
        <x:f>MIC_Harmonized!G22</x:f>
        <x:v>0.00423728813559322</x:v>
      </x:c>
      <x:c r="I165" s="127" t="n">
        <x:v>21.85</x:v>
      </x:c>
      <x:c r="J165" s="127" t="n">
        <x:v>61.035</x:v>
      </x:c>
      <x:c r="K165" s="127" t="n">
        <x:v>21.84</x:v>
      </x:c>
      <x:c r="L165" s="127" t="n">
        <x:f>H165*I165/100</x:f>
        <x:v>0.0009258474576271187</x:v>
      </x:c>
      <x:c r="M165" s="127" t="n">
        <x:f>H165*J165/100</x:f>
        <x:v>0.002586228813559322</x:v>
      </x:c>
      <x:c r="N165" s="127" t="n">
        <x:f>H165*K165/100</x:f>
        <x:v>0.0009254237288135593</x:v>
      </x:c>
      <x:c r="O165" t="str">
        <x:v>Lee et al. 2022, IJAA 60:106679, Table 3</x:v>
      </x:c>
    </x:row>
    <x:row r="166">
      <x:c r="A166" t="str">
        <x:v>LEE2022_OXA_KP</x:v>
      </x:c>
      <x:c r="B166" t="str">
        <x:v>PRIMARY</x:v>
      </x:c>
      <x:c r="C166" t="str">
        <x:v>R6</x:v>
      </x:c>
      <x:c r="D166" t="str">
        <x:v>31–60</x:v>
      </x:c>
      <x:c r="E166" t="n">
        <x:v>1.25</x:v>
      </x:c>
      <x:c r="F166" t="n">
        <x:v>12</x:v>
      </x:c>
      <x:c r="G166" t="n">
        <x:v>16</x:v>
      </x:c>
      <x:c r="H166" s="127" t="n">
        <x:f>MIC_Harmonized!G23</x:f>
        <x:v>0</x:v>
      </x:c>
      <x:c r="I166" s="127" t="n">
        <x:v>2.93</x:v>
      </x:c>
      <x:c r="J166" s="127" t="n">
        <x:v>61.035</x:v>
      </x:c>
      <x:c r="K166" s="127" t="n">
        <x:v>2.93</x:v>
      </x:c>
      <x:c r="L166" s="127" t="n">
        <x:f>H166*I166/100</x:f>
        <x:v>0</x:v>
      </x:c>
      <x:c r="M166" s="127" t="n">
        <x:f>H166*J166/100</x:f>
        <x:v>0</x:v>
      </x:c>
      <x:c r="N166" s="127" t="n">
        <x:f>H166*K166/100</x:f>
        <x:v>0</x:v>
      </x:c>
      <x:c r="O166" t="str">
        <x:v>Lee et al. 2022, IJAA 60:106679, Table 3</x:v>
      </x:c>
    </x:row>
    <x:row r="167">
      <x:c r="A167" t="str">
        <x:v>LEE2022_OXA_KP</x:v>
      </x:c>
      <x:c r="B167" t="str">
        <x:v>PRIMARY</x:v>
      </x:c>
      <x:c r="C167" t="str">
        <x:v>R6</x:v>
      </x:c>
      <x:c r="D167" t="str">
        <x:v>31–60</x:v>
      </x:c>
      <x:c r="E167" t="n">
        <x:v>1.25</x:v>
      </x:c>
      <x:c r="F167" t="n">
        <x:v>12</x:v>
      </x:c>
      <x:c r="G167" t="n">
        <x:v>32</x:v>
      </x:c>
      <x:c r="H167" s="127" t="n">
        <x:f>MIC_Harmonized!G24</x:f>
        <x:v>0.00423728813559322</x:v>
      </x:c>
      <x:c r="I167" s="127" t="n">
        <x:v>0.165</x:v>
      </x:c>
      <x:c r="J167" s="127" t="n">
        <x:v>61.035</x:v>
      </x:c>
      <x:c r="K167" s="127" t="n">
        <x:v>0.165</x:v>
      </x:c>
      <x:c r="L167" s="127" t="n">
        <x:f>H167*I167/100</x:f>
        <x:v>0.000006991525423728814</x:v>
      </x:c>
      <x:c r="M167" s="127" t="n">
        <x:f>H167*J167/100</x:f>
        <x:v>0.002586228813559322</x:v>
      </x:c>
      <x:c r="N167" s="127" t="n">
        <x:f>H167*K167/100</x:f>
        <x:v>0.000006991525423728814</x:v>
      </x:c>
      <x:c r="O167" t="str">
        <x:v>Lee et al. 2022, IJAA 60:106679, Table 3</x:v>
      </x:c>
    </x:row>
    <x:row r="168">
      <x:c r="A168" t="str">
        <x:v>LEE2022_OXA_KP</x:v>
      </x:c>
      <x:c r="B168" t="str">
        <x:v>PRIMARY</x:v>
      </x:c>
      <x:c r="C168" t="str">
        <x:v>R6</x:v>
      </x:c>
      <x:c r="D168" t="str">
        <x:v>31–60</x:v>
      </x:c>
      <x:c r="E168" t="n">
        <x:v>1.25</x:v>
      </x:c>
      <x:c r="F168" t="n">
        <x:v>12</x:v>
      </x:c>
      <x:c r="G168" t="n">
        <x:v>64</x:v>
      </x:c>
      <x:c r="H168" s="127" t="n">
        <x:f>MIC_Harmonized!G25</x:f>
        <x:v>0.00847457627118644</x:v>
      </x:c>
      <x:c r="I168" s="127" t="n">
        <x:v>0</x:v>
      </x:c>
      <x:c r="J168" s="127" t="n">
        <x:v>61.035</x:v>
      </x:c>
      <x:c r="K168" s="127" t="n">
        <x:v>0</x:v>
      </x:c>
      <x:c r="L168" s="127" t="n">
        <x:f>H168*I168/100</x:f>
        <x:v>0</x:v>
      </x:c>
      <x:c r="M168" s="127" t="n">
        <x:f>H168*J168/100</x:f>
        <x:v>0.005172457627118644</x:v>
      </x:c>
      <x:c r="N168" s="127" t="n">
        <x:f>H168*K168/100</x:f>
        <x:v>0</x:v>
      </x:c>
      <x:c r="O168" t="str">
        <x:v>Lee et al. 2022, IJAA 60:106679, Table 3</x:v>
      </x:c>
    </x:row>
    <x:row r="169">
      <x:c r="A169" t="str">
        <x:v>LEE2022_OXA_KP</x:v>
      </x:c>
      <x:c r="B169" t="str">
        <x:v>PRIMARY</x:v>
      </x:c>
      <x:c r="C169" t="str">
        <x:v>R7</x:v>
      </x:c>
      <x:c r="D169" t="str">
        <x:v>31–60</x:v>
      </x:c>
      <x:c r="E169" t="n">
        <x:v>1.25</x:v>
      </x:c>
      <x:c r="F169" t="n">
        <x:v>8</x:v>
      </x:c>
      <x:c r="G169" t="n">
        <x:v>0.0625</x:v>
      </x:c>
      <x:c r="H169" s="127" t="n">
        <x:f>MIC_Harmonized!G15</x:f>
        <x:v>0</x:v>
      </x:c>
      <x:c r="I169" s="127" t="n">
        <x:v>100</x:v>
      </x:c>
      <x:c r="J169" s="127" t="n">
        <x:v>80.435</x:v>
      </x:c>
      <x:c r="K169" s="127" t="n">
        <x:v>80.435</x:v>
      </x:c>
      <x:c r="L169" s="127" t="n">
        <x:f>H169*I169/100</x:f>
        <x:v>0</x:v>
      </x:c>
      <x:c r="M169" s="127" t="n">
        <x:f>H169*J169/100</x:f>
        <x:v>0</x:v>
      </x:c>
      <x:c r="N169" s="127" t="n">
        <x:f>H169*K169/100</x:f>
        <x:v>0</x:v>
      </x:c>
      <x:c r="O169" t="str">
        <x:v>Lee et al. 2022, IJAA 60:106679, Table 3</x:v>
      </x:c>
    </x:row>
    <x:row r="170">
      <x:c r="A170" t="str">
        <x:v>LEE2022_OXA_KP</x:v>
      </x:c>
      <x:c r="B170" t="str">
        <x:v>PRIMARY</x:v>
      </x:c>
      <x:c r="C170" t="str">
        <x:v>R7</x:v>
      </x:c>
      <x:c r="D170" t="str">
        <x:v>31–60</x:v>
      </x:c>
      <x:c r="E170" t="n">
        <x:v>1.25</x:v>
      </x:c>
      <x:c r="F170" t="n">
        <x:v>8</x:v>
      </x:c>
      <x:c r="G170" t="n">
        <x:v>0.125</x:v>
      </x:c>
      <x:c r="H170" s="127" t="n">
        <x:f>MIC_Harmonized!G16</x:f>
        <x:v>0</x:v>
      </x:c>
      <x:c r="I170" s="127" t="n">
        <x:v>100</x:v>
      </x:c>
      <x:c r="J170" s="127" t="n">
        <x:v>80.435</x:v>
      </x:c>
      <x:c r="K170" s="127" t="n">
        <x:v>80.435</x:v>
      </x:c>
      <x:c r="L170" s="127" t="n">
        <x:f>H170*I170/100</x:f>
        <x:v>0</x:v>
      </x:c>
      <x:c r="M170" s="127" t="n">
        <x:f>H170*J170/100</x:f>
        <x:v>0</x:v>
      </x:c>
      <x:c r="N170" s="127" t="n">
        <x:f>H170*K170/100</x:f>
        <x:v>0</x:v>
      </x:c>
      <x:c r="O170" t="str">
        <x:v>Lee et al. 2022, IJAA 60:106679, Table 3</x:v>
      </x:c>
    </x:row>
    <x:row r="171">
      <x:c r="A171" t="str">
        <x:v>LEE2022_OXA_KP</x:v>
      </x:c>
      <x:c r="B171" t="str">
        <x:v>PRIMARY</x:v>
      </x:c>
      <x:c r="C171" t="str">
        <x:v>R7</x:v>
      </x:c>
      <x:c r="D171" t="str">
        <x:v>31–60</x:v>
      </x:c>
      <x:c r="E171" t="n">
        <x:v>1.25</x:v>
      </x:c>
      <x:c r="F171" t="n">
        <x:v>8</x:v>
      </x:c>
      <x:c r="G171" t="n">
        <x:v>0.25</x:v>
      </x:c>
      <x:c r="H171" s="127" t="n">
        <x:f>MIC_Harmonized!G17</x:f>
        <x:v>0.038135593220338986</x:v>
      </x:c>
      <x:c r="I171" s="127" t="n">
        <x:v>100</x:v>
      </x:c>
      <x:c r="J171" s="127" t="n">
        <x:v>80.435</x:v>
      </x:c>
      <x:c r="K171" s="127" t="n">
        <x:v>80.435</x:v>
      </x:c>
      <x:c r="L171" s="127" t="n">
        <x:f>H171*I171/100</x:f>
        <x:v>0.038135593220338986</x:v>
      </x:c>
      <x:c r="M171" s="127" t="n">
        <x:f>H171*J171/100</x:f>
        <x:v>0.030674364406779665</x:v>
      </x:c>
      <x:c r="N171" s="127" t="n">
        <x:f>H171*K171/100</x:f>
        <x:v>0.030674364406779665</x:v>
      </x:c>
      <x:c r="O171" t="str">
        <x:v>Lee et al. 2022, IJAA 60:106679, Table 3</x:v>
      </x:c>
    </x:row>
    <x:row r="172">
      <x:c r="A172" t="str">
        <x:v>LEE2022_OXA_KP</x:v>
      </x:c>
      <x:c r="B172" t="str">
        <x:v>PRIMARY</x:v>
      </x:c>
      <x:c r="C172" t="str">
        <x:v>R7</x:v>
      </x:c>
      <x:c r="D172" t="str">
        <x:v>31–60</x:v>
      </x:c>
      <x:c r="E172" t="n">
        <x:v>1.25</x:v>
      </x:c>
      <x:c r="F172" t="n">
        <x:v>8</x:v>
      </x:c>
      <x:c r="G172" t="n">
        <x:v>0.5</x:v>
      </x:c>
      <x:c r="H172" s="127" t="n">
        <x:f>MIC_Harmonized!G18</x:f>
        <x:v>0.18220338983050846</x:v>
      </x:c>
      <x:c r="I172" s="127" t="n">
        <x:v>100</x:v>
      </x:c>
      <x:c r="J172" s="127" t="n">
        <x:v>80.435</x:v>
      </x:c>
      <x:c r="K172" s="127" t="n">
        <x:v>80.435</x:v>
      </x:c>
      <x:c r="L172" s="127" t="n">
        <x:f>H172*I172/100</x:f>
        <x:v>0.1822033898305085</x:v>
      </x:c>
      <x:c r="M172" s="127" t="n">
        <x:f>H172*J172/100</x:f>
        <x:v>0.1465552966101695</x:v>
      </x:c>
      <x:c r="N172" s="127" t="n">
        <x:f>H172*K172/100</x:f>
        <x:v>0.1465552966101695</x:v>
      </x:c>
      <x:c r="O172" t="str">
        <x:v>Lee et al. 2022, IJAA 60:106679, Table 3</x:v>
      </x:c>
    </x:row>
    <x:row r="173">
      <x:c r="A173" t="str">
        <x:v>LEE2022_OXA_KP</x:v>
      </x:c>
      <x:c r="B173" t="str">
        <x:v>PRIMARY</x:v>
      </x:c>
      <x:c r="C173" t="str">
        <x:v>R7</x:v>
      </x:c>
      <x:c r="D173" t="str">
        <x:v>31–60</x:v>
      </x:c>
      <x:c r="E173" t="n">
        <x:v>1.25</x:v>
      </x:c>
      <x:c r="F173" t="n">
        <x:v>8</x:v>
      </x:c>
      <x:c r="G173" t="n">
        <x:v>1</x:v>
      </x:c>
      <x:c r="H173" s="127" t="n">
        <x:f>MIC_Harmonized!G19</x:f>
        <x:v>0.5254237288135594</x:v>
      </x:c>
      <x:c r="I173" s="127" t="n">
        <x:v>99.935</x:v>
      </x:c>
      <x:c r="J173" s="127" t="n">
        <x:v>80.435</x:v>
      </x:c>
      <x:c r="K173" s="127" t="n">
        <x:v>80.435</x:v>
      </x:c>
      <x:c r="L173" s="127" t="n">
        <x:f>H173*I173/100</x:f>
        <x:v>0.5250822033898306</x:v>
      </x:c>
      <x:c r="M173" s="127" t="n">
        <x:f>H173*J173/100</x:f>
        <x:v>0.4226245762711865</x:v>
      </x:c>
      <x:c r="N173" s="127" t="n">
        <x:f>H173*K173/100</x:f>
        <x:v>0.4226245762711865</x:v>
      </x:c>
      <x:c r="O173" t="str">
        <x:v>Lee et al. 2022, IJAA 60:106679, Table 3</x:v>
      </x:c>
    </x:row>
    <x:row r="174">
      <x:c r="A174" t="str">
        <x:v>LEE2022_OXA_KP</x:v>
      </x:c>
      <x:c r="B174" t="str">
        <x:v>PRIMARY</x:v>
      </x:c>
      <x:c r="C174" t="str">
        <x:v>R7</x:v>
      </x:c>
      <x:c r="D174" t="str">
        <x:v>31–60</x:v>
      </x:c>
      <x:c r="E174" t="n">
        <x:v>1.25</x:v>
      </x:c>
      <x:c r="F174" t="n">
        <x:v>8</x:v>
      </x:c>
      <x:c r="G174" t="n">
        <x:v>2</x:v>
      </x:c>
      <x:c r="H174" s="127" t="n">
        <x:f>MIC_Harmonized!G20</x:f>
        <x:v>0.211864406779661</x:v>
      </x:c>
      <x:c r="I174" s="127" t="n">
        <x:v>97.875</x:v>
      </x:c>
      <x:c r="J174" s="127" t="n">
        <x:v>80.435</x:v>
      </x:c>
      <x:c r="K174" s="127" t="n">
        <x:v>80.435</x:v>
      </x:c>
      <x:c r="L174" s="127" t="n">
        <x:f>H174*I174/100</x:f>
        <x:v>0.2073622881355932</x:v>
      </x:c>
      <x:c r="M174" s="127" t="n">
        <x:f>H174*J174/100</x:f>
        <x:v>0.17041313559322036</x:v>
      </x:c>
      <x:c r="N174" s="127" t="n">
        <x:f>H174*K174/100</x:f>
        <x:v>0.17041313559322036</x:v>
      </x:c>
      <x:c r="O174" t="str">
        <x:v>Lee et al. 2022, IJAA 60:106679, Table 3</x:v>
      </x:c>
    </x:row>
    <x:row r="175">
      <x:c r="A175" t="str">
        <x:v>LEE2022_OXA_KP</x:v>
      </x:c>
      <x:c r="B175" t="str">
        <x:v>PRIMARY</x:v>
      </x:c>
      <x:c r="C175" t="str">
        <x:v>R7</x:v>
      </x:c>
      <x:c r="D175" t="str">
        <x:v>31–60</x:v>
      </x:c>
      <x:c r="E175" t="n">
        <x:v>1.25</x:v>
      </x:c>
      <x:c r="F175" t="n">
        <x:v>8</x:v>
      </x:c>
      <x:c r="G175" t="n">
        <x:v>4</x:v>
      </x:c>
      <x:c r="H175" s="127" t="n">
        <x:f>MIC_Harmonized!G21</x:f>
        <x:v>0.025423728813559324</x:v>
      </x:c>
      <x:c r="I175" s="127" t="n">
        <x:v>82.75</x:v>
      </x:c>
      <x:c r="J175" s="127" t="n">
        <x:v>80.435</x:v>
      </x:c>
      <x:c r="K175" s="127" t="n">
        <x:v>77.89500000000001</x:v>
      </x:c>
      <x:c r="L175" s="127" t="n">
        <x:f>H175*I175/100</x:f>
        <x:v>0.02103813559322034</x:v>
      </x:c>
      <x:c r="M175" s="127" t="n">
        <x:f>H175*J175/100</x:f>
        <x:v>0.020449576271186442</x:v>
      </x:c>
      <x:c r="N175" s="127" t="n">
        <x:f>H175*K175/100</x:f>
        <x:v>0.01980381355932204</x:v>
      </x:c>
      <x:c r="O175" t="str">
        <x:v>Lee et al. 2022, IJAA 60:106679, Table 3</x:v>
      </x:c>
    </x:row>
    <x:row r="176">
      <x:c r="A176" t="str">
        <x:v>LEE2022_OXA_KP</x:v>
      </x:c>
      <x:c r="B176" t="str">
        <x:v>PRIMARY</x:v>
      </x:c>
      <x:c r="C176" t="str">
        <x:v>R7</x:v>
      </x:c>
      <x:c r="D176" t="str">
        <x:v>31–60</x:v>
      </x:c>
      <x:c r="E176" t="n">
        <x:v>1.25</x:v>
      </x:c>
      <x:c r="F176" t="n">
        <x:v>8</x:v>
      </x:c>
      <x:c r="G176" t="n">
        <x:v>8</x:v>
      </x:c>
      <x:c r="H176" s="127" t="n">
        <x:f>MIC_Harmonized!G22</x:f>
        <x:v>0.00423728813559322</x:v>
      </x:c>
      <x:c r="I176" s="127" t="n">
        <x:v>44.345</x:v>
      </x:c>
      <x:c r="J176" s="127" t="n">
        <x:v>80.435</x:v>
      </x:c>
      <x:c r="K176" s="127" t="n">
        <x:v>44.34</x:v>
      </x:c>
      <x:c r="L176" s="127" t="n">
        <x:f>H176*I176/100</x:f>
        <x:v>0.0018790254237288134</x:v>
      </x:c>
      <x:c r="M176" s="127" t="n">
        <x:f>H176*J176/100</x:f>
        <x:v>0.0034082627118644073</x:v>
      </x:c>
      <x:c r="N176" s="127" t="n">
        <x:f>H176*K176/100</x:f>
        <x:v>0.001878813559322034</x:v>
      </x:c>
      <x:c r="O176" t="str">
        <x:v>Lee et al. 2022, IJAA 60:106679, Table 3</x:v>
      </x:c>
    </x:row>
    <x:row r="177">
      <x:c r="A177" t="str">
        <x:v>LEE2022_OXA_KP</x:v>
      </x:c>
      <x:c r="B177" t="str">
        <x:v>PRIMARY</x:v>
      </x:c>
      <x:c r="C177" t="str">
        <x:v>R7</x:v>
      </x:c>
      <x:c r="D177" t="str">
        <x:v>31–60</x:v>
      </x:c>
      <x:c r="E177" t="n">
        <x:v>1.25</x:v>
      </x:c>
      <x:c r="F177" t="n">
        <x:v>8</x:v>
      </x:c>
      <x:c r="G177" t="n">
        <x:v>16</x:v>
      </x:c>
      <x:c r="H177" s="127" t="n">
        <x:f>MIC_Harmonized!G23</x:f>
        <x:v>0</x:v>
      </x:c>
      <x:c r="I177" s="127" t="n">
        <x:v>10.32</x:v>
      </x:c>
      <x:c r="J177" s="127" t="n">
        <x:v>80.435</x:v>
      </x:c>
      <x:c r="K177" s="127" t="n">
        <x:v>10.32</x:v>
      </x:c>
      <x:c r="L177" s="127" t="n">
        <x:f>H177*I177/100</x:f>
        <x:v>0</x:v>
      </x:c>
      <x:c r="M177" s="127" t="n">
        <x:f>H177*J177/100</x:f>
        <x:v>0</x:v>
      </x:c>
      <x:c r="N177" s="127" t="n">
        <x:f>H177*K177/100</x:f>
        <x:v>0</x:v>
      </x:c>
      <x:c r="O177" t="str">
        <x:v>Lee et al. 2022, IJAA 60:106679, Table 3</x:v>
      </x:c>
    </x:row>
    <x:row r="178">
      <x:c r="A178" t="str">
        <x:v>LEE2022_OXA_KP</x:v>
      </x:c>
      <x:c r="B178" t="str">
        <x:v>PRIMARY</x:v>
      </x:c>
      <x:c r="C178" t="str">
        <x:v>R7</x:v>
      </x:c>
      <x:c r="D178" t="str">
        <x:v>31–60</x:v>
      </x:c>
      <x:c r="E178" t="n">
        <x:v>1.25</x:v>
      </x:c>
      <x:c r="F178" t="n">
        <x:v>8</x:v>
      </x:c>
      <x:c r="G178" t="n">
        <x:v>32</x:v>
      </x:c>
      <x:c r="H178" s="127" t="n">
        <x:f>MIC_Harmonized!G24</x:f>
        <x:v>0.00423728813559322</x:v>
      </x:c>
      <x:c r="I178" s="127" t="n">
        <x:v>1.01</x:v>
      </x:c>
      <x:c r="J178" s="127" t="n">
        <x:v>80.435</x:v>
      </x:c>
      <x:c r="K178" s="127" t="n">
        <x:v>1.01</x:v>
      </x:c>
      <x:c r="L178" s="127" t="n">
        <x:f>H178*I178/100</x:f>
        <x:v>0.00004279661016949153</x:v>
      </x:c>
      <x:c r="M178" s="127" t="n">
        <x:f>H178*J178/100</x:f>
        <x:v>0.0034082627118644073</x:v>
      </x:c>
      <x:c r="N178" s="127" t="n">
        <x:f>H178*K178/100</x:f>
        <x:v>0.00004279661016949153</x:v>
      </x:c>
      <x:c r="O178" t="str">
        <x:v>Lee et al. 2022, IJAA 60:106679, Table 3</x:v>
      </x:c>
    </x:row>
    <x:row r="179">
      <x:c r="A179" t="str">
        <x:v>LEE2022_OXA_KP</x:v>
      </x:c>
      <x:c r="B179" t="str">
        <x:v>PRIMARY</x:v>
      </x:c>
      <x:c r="C179" t="str">
        <x:v>R7</x:v>
      </x:c>
      <x:c r="D179" t="str">
        <x:v>31–60</x:v>
      </x:c>
      <x:c r="E179" t="n">
        <x:v>1.25</x:v>
      </x:c>
      <x:c r="F179" t="n">
        <x:v>8</x:v>
      </x:c>
      <x:c r="G179" t="n">
        <x:v>64</x:v>
      </x:c>
      <x:c r="H179" s="127" t="n">
        <x:f>MIC_Harmonized!G25</x:f>
        <x:v>0.00847457627118644</x:v>
      </x:c>
      <x:c r="I179" s="127" t="n">
        <x:v>0.03</x:v>
      </x:c>
      <x:c r="J179" s="127" t="n">
        <x:v>80.435</x:v>
      </x:c>
      <x:c r="K179" s="127" t="n">
        <x:v>0.03</x:v>
      </x:c>
      <x:c r="L179" s="127" t="n">
        <x:f>H179*I179/100</x:f>
        <x:v>0.0000025423728813559323</x:v>
      </x:c>
      <x:c r="M179" s="127" t="n">
        <x:f>H179*J179/100</x:f>
        <x:v>0.0068165254237288146</x:v>
      </x:c>
      <x:c r="N179" s="127" t="n">
        <x:f>H179*K179/100</x:f>
        <x:v>0.0000025423728813559323</x:v>
      </x:c>
      <x:c r="O179" t="str">
        <x:v>Lee et al. 2022, IJAA 60:106679, Table 3</x:v>
      </x:c>
    </x:row>
    <x:row r="180">
      <x:c r="A180" t="str">
        <x:v>LEE2022_OXA_KP</x:v>
      </x:c>
      <x:c r="B180" t="str">
        <x:v>PRIMARY</x:v>
      </x:c>
      <x:c r="C180" t="str">
        <x:v>R8</x:v>
      </x:c>
      <x:c r="D180" t="str">
        <x:v>31–60</x:v>
      </x:c>
      <x:c r="E180" t="n">
        <x:v>2.5</x:v>
      </x:c>
      <x:c r="F180" t="n">
        <x:v>12</x:v>
      </x:c>
      <x:c r="G180" t="n">
        <x:v>0.0625</x:v>
      </x:c>
      <x:c r="H180" s="127" t="n">
        <x:f>MIC_Harmonized!G15</x:f>
        <x:v>0</x:v>
      </x:c>
      <x:c r="I180" s="127" t="n">
        <x:v>100</x:v>
      </x:c>
      <x:c r="J180" s="127" t="n">
        <x:v>89.45</x:v>
      </x:c>
      <x:c r="K180" s="127" t="n">
        <x:v>89.45</x:v>
      </x:c>
      <x:c r="L180" s="127" t="n">
        <x:f>H180*I180/100</x:f>
        <x:v>0</x:v>
      </x:c>
      <x:c r="M180" s="127" t="n">
        <x:f>H180*J180/100</x:f>
        <x:v>0</x:v>
      </x:c>
      <x:c r="N180" s="127" t="n">
        <x:f>H180*K180/100</x:f>
        <x:v>0</x:v>
      </x:c>
      <x:c r="O180" t="str">
        <x:v>Lee et al. 2022, IJAA 60:106679, Table 3</x:v>
      </x:c>
    </x:row>
    <x:row r="181">
      <x:c r="A181" t="str">
        <x:v>LEE2022_OXA_KP</x:v>
      </x:c>
      <x:c r="B181" t="str">
        <x:v>PRIMARY</x:v>
      </x:c>
      <x:c r="C181" t="str">
        <x:v>R8</x:v>
      </x:c>
      <x:c r="D181" t="str">
        <x:v>31–60</x:v>
      </x:c>
      <x:c r="E181" t="n">
        <x:v>2.5</x:v>
      </x:c>
      <x:c r="F181" t="n">
        <x:v>12</x:v>
      </x:c>
      <x:c r="G181" t="n">
        <x:v>0.125</x:v>
      </x:c>
      <x:c r="H181" s="127" t="n">
        <x:f>MIC_Harmonized!G16</x:f>
        <x:v>0</x:v>
      </x:c>
      <x:c r="I181" s="127" t="n">
        <x:v>100</x:v>
      </x:c>
      <x:c r="J181" s="127" t="n">
        <x:v>89.45</x:v>
      </x:c>
      <x:c r="K181" s="127" t="n">
        <x:v>89.45</x:v>
      </x:c>
      <x:c r="L181" s="127" t="n">
        <x:f>H181*I181/100</x:f>
        <x:v>0</x:v>
      </x:c>
      <x:c r="M181" s="127" t="n">
        <x:f>H181*J181/100</x:f>
        <x:v>0</x:v>
      </x:c>
      <x:c r="N181" s="127" t="n">
        <x:f>H181*K181/100</x:f>
        <x:v>0</x:v>
      </x:c>
      <x:c r="O181" t="str">
        <x:v>Lee et al. 2022, IJAA 60:106679, Table 3</x:v>
      </x:c>
    </x:row>
    <x:row r="182">
      <x:c r="A182" t="str">
        <x:v>LEE2022_OXA_KP</x:v>
      </x:c>
      <x:c r="B182" t="str">
        <x:v>PRIMARY</x:v>
      </x:c>
      <x:c r="C182" t="str">
        <x:v>R8</x:v>
      </x:c>
      <x:c r="D182" t="str">
        <x:v>31–60</x:v>
      </x:c>
      <x:c r="E182" t="n">
        <x:v>2.5</x:v>
      </x:c>
      <x:c r="F182" t="n">
        <x:v>12</x:v>
      </x:c>
      <x:c r="G182" t="n">
        <x:v>0.25</x:v>
      </x:c>
      <x:c r="H182" s="127" t="n">
        <x:f>MIC_Harmonized!G17</x:f>
        <x:v>0.038135593220338986</x:v>
      </x:c>
      <x:c r="I182" s="127" t="n">
        <x:v>100</x:v>
      </x:c>
      <x:c r="J182" s="127" t="n">
        <x:v>89.45</x:v>
      </x:c>
      <x:c r="K182" s="127" t="n">
        <x:v>89.45</x:v>
      </x:c>
      <x:c r="L182" s="127" t="n">
        <x:f>H182*I182/100</x:f>
        <x:v>0.038135593220338986</x:v>
      </x:c>
      <x:c r="M182" s="127" t="n">
        <x:f>H182*J182/100</x:f>
        <x:v>0.03411228813559322</x:v>
      </x:c>
      <x:c r="N182" s="127" t="n">
        <x:f>H182*K182/100</x:f>
        <x:v>0.03411228813559322</x:v>
      </x:c>
      <x:c r="O182" t="str">
        <x:v>Lee et al. 2022, IJAA 60:106679, Table 3</x:v>
      </x:c>
    </x:row>
    <x:row r="183">
      <x:c r="A183" t="str">
        <x:v>LEE2022_OXA_KP</x:v>
      </x:c>
      <x:c r="B183" t="str">
        <x:v>PRIMARY</x:v>
      </x:c>
      <x:c r="C183" t="str">
        <x:v>R8</x:v>
      </x:c>
      <x:c r="D183" t="str">
        <x:v>31–60</x:v>
      </x:c>
      <x:c r="E183" t="n">
        <x:v>2.5</x:v>
      </x:c>
      <x:c r="F183" t="n">
        <x:v>12</x:v>
      </x:c>
      <x:c r="G183" t="n">
        <x:v>0.5</x:v>
      </x:c>
      <x:c r="H183" s="127" t="n">
        <x:f>MIC_Harmonized!G18</x:f>
        <x:v>0.18220338983050846</x:v>
      </x:c>
      <x:c r="I183" s="127" t="n">
        <x:v>100</x:v>
      </x:c>
      <x:c r="J183" s="127" t="n">
        <x:v>89.45</x:v>
      </x:c>
      <x:c r="K183" s="127" t="n">
        <x:v>89.45</x:v>
      </x:c>
      <x:c r="L183" s="127" t="n">
        <x:f>H183*I183/100</x:f>
        <x:v>0.1822033898305085</x:v>
      </x:c>
      <x:c r="M183" s="127" t="n">
        <x:f>H183*J183/100</x:f>
        <x:v>0.16298093220338983</x:v>
      </x:c>
      <x:c r="N183" s="127" t="n">
        <x:f>H183*K183/100</x:f>
        <x:v>0.16298093220338983</x:v>
      </x:c>
      <x:c r="O183" t="str">
        <x:v>Lee et al. 2022, IJAA 60:106679, Table 3</x:v>
      </x:c>
    </x:row>
    <x:row r="184">
      <x:c r="A184" t="str">
        <x:v>LEE2022_OXA_KP</x:v>
      </x:c>
      <x:c r="B184" t="str">
        <x:v>PRIMARY</x:v>
      </x:c>
      <x:c r="C184" t="str">
        <x:v>R8</x:v>
      </x:c>
      <x:c r="D184" t="str">
        <x:v>31–60</x:v>
      </x:c>
      <x:c r="E184" t="n">
        <x:v>2.5</x:v>
      </x:c>
      <x:c r="F184" t="n">
        <x:v>12</x:v>
      </x:c>
      <x:c r="G184" t="n">
        <x:v>1</x:v>
      </x:c>
      <x:c r="H184" s="127" t="n">
        <x:f>MIC_Harmonized!G19</x:f>
        <x:v>0.5254237288135594</x:v>
      </x:c>
      <x:c r="I184" s="127" t="n">
        <x:v>99.995</x:v>
      </x:c>
      <x:c r="J184" s="127" t="n">
        <x:v>89.45</x:v>
      </x:c>
      <x:c r="K184" s="127" t="n">
        <x:v>89.45</x:v>
      </x:c>
      <x:c r="L184" s="127" t="n">
        <x:f>H184*I184/100</x:f>
        <x:v>0.5253974576271188</x:v>
      </x:c>
      <x:c r="M184" s="127" t="n">
        <x:f>H184*J184/100</x:f>
        <x:v>0.4699915254237289</x:v>
      </x:c>
      <x:c r="N184" s="127" t="n">
        <x:f>H184*K184/100</x:f>
        <x:v>0.4699915254237289</x:v>
      </x:c>
      <x:c r="O184" t="str">
        <x:v>Lee et al. 2022, IJAA 60:106679, Table 3</x:v>
      </x:c>
    </x:row>
    <x:row r="185">
      <x:c r="A185" t="str">
        <x:v>LEE2022_OXA_KP</x:v>
      </x:c>
      <x:c r="B185" t="str">
        <x:v>PRIMARY</x:v>
      </x:c>
      <x:c r="C185" t="str">
        <x:v>R8</x:v>
      </x:c>
      <x:c r="D185" t="str">
        <x:v>31–60</x:v>
      </x:c>
      <x:c r="E185" t="n">
        <x:v>2.5</x:v>
      </x:c>
      <x:c r="F185" t="n">
        <x:v>12</x:v>
      </x:c>
      <x:c r="G185" t="n">
        <x:v>2</x:v>
      </x:c>
      <x:c r="H185" s="127" t="n">
        <x:f>MIC_Harmonized!G20</x:f>
        <x:v>0.211864406779661</x:v>
      </x:c>
      <x:c r="I185" s="127" t="n">
        <x:v>99.39</x:v>
      </x:c>
      <x:c r="J185" s="127" t="n">
        <x:v>89.45</x:v>
      </x:c>
      <x:c r="K185" s="127" t="n">
        <x:v>89.45</x:v>
      </x:c>
      <x:c r="L185" s="127" t="n">
        <x:f>H185*I185/100</x:f>
        <x:v>0.2105720338983051</x:v>
      </x:c>
      <x:c r="M185" s="127" t="n">
        <x:f>H185*J185/100</x:f>
        <x:v>0.18951271186440677</x:v>
      </x:c>
      <x:c r="N185" s="127" t="n">
        <x:f>H185*K185/100</x:f>
        <x:v>0.18951271186440677</x:v>
      </x:c>
      <x:c r="O185" t="str">
        <x:v>Lee et al. 2022, IJAA 60:106679, Table 3</x:v>
      </x:c>
    </x:row>
    <x:row r="186">
      <x:c r="A186" t="str">
        <x:v>LEE2022_OXA_KP</x:v>
      </x:c>
      <x:c r="B186" t="str">
        <x:v>PRIMARY</x:v>
      </x:c>
      <x:c r="C186" t="str">
        <x:v>R8</x:v>
      </x:c>
      <x:c r="D186" t="str">
        <x:v>31–60</x:v>
      </x:c>
      <x:c r="E186" t="n">
        <x:v>2.5</x:v>
      </x:c>
      <x:c r="F186" t="n">
        <x:v>12</x:v>
      </x:c>
      <x:c r="G186" t="n">
        <x:v>4</x:v>
      </x:c>
      <x:c r="H186" s="127" t="n">
        <x:f>MIC_Harmonized!G21</x:f>
        <x:v>0.025423728813559324</x:v>
      </x:c>
      <x:c r="I186" s="127" t="n">
        <x:v>91.82000000000001</x:v>
      </x:c>
      <x:c r="J186" s="127" t="n">
        <x:v>89.45</x:v>
      </x:c>
      <x:c r="K186" s="127" t="n">
        <x:v>88.28</x:v>
      </x:c>
      <x:c r="L186" s="127" t="n">
        <x:f>H186*I186/100</x:f>
        <x:v>0.023344067796610177</x:v>
      </x:c>
      <x:c r="M186" s="127" t="n">
        <x:f>H186*J186/100</x:f>
        <x:v>0.022741525423728818</x:v>
      </x:c>
      <x:c r="N186" s="127" t="n">
        <x:f>H186*K186/100</x:f>
        <x:v>0.022444067796610172</x:v>
      </x:c>
      <x:c r="O186" t="str">
        <x:v>Lee et al. 2022, IJAA 60:106679, Table 3</x:v>
      </x:c>
    </x:row>
    <x:row r="187">
      <x:c r="A187" t="str">
        <x:v>LEE2022_OXA_KP</x:v>
      </x:c>
      <x:c r="B187" t="str">
        <x:v>PRIMARY</x:v>
      </x:c>
      <x:c r="C187" t="str">
        <x:v>R8</x:v>
      </x:c>
      <x:c r="D187" t="str">
        <x:v>31–60</x:v>
      </x:c>
      <x:c r="E187" t="n">
        <x:v>2.5</x:v>
      </x:c>
      <x:c r="F187" t="n">
        <x:v>12</x:v>
      </x:c>
      <x:c r="G187" t="n">
        <x:v>8</x:v>
      </x:c>
      <x:c r="H187" s="127" t="n">
        <x:f>MIC_Harmonized!G22</x:f>
        <x:v>0.00423728813559322</x:v>
      </x:c>
      <x:c r="I187" s="127" t="n">
        <x:v>62.11</x:v>
      </x:c>
      <x:c r="J187" s="127" t="n">
        <x:v>89.45</x:v>
      </x:c>
      <x:c r="K187" s="127" t="n">
        <x:v>62.09</x:v>
      </x:c>
      <x:c r="L187" s="127" t="n">
        <x:f>H187*I187/100</x:f>
        <x:v>0.002631779661016949</x:v>
      </x:c>
      <x:c r="M187" s="127" t="n">
        <x:f>H187*J187/100</x:f>
        <x:v>0.003790254237288136</x:v>
      </x:c>
      <x:c r="N187" s="127" t="n">
        <x:f>H187*K187/100</x:f>
        <x:v>0.002630932203389831</x:v>
      </x:c>
      <x:c r="O187" t="str">
        <x:v>Lee et al. 2022, IJAA 60:106679, Table 3</x:v>
      </x:c>
    </x:row>
    <x:row r="188">
      <x:c r="A188" t="str">
        <x:v>LEE2022_OXA_KP</x:v>
      </x:c>
      <x:c r="B188" t="str">
        <x:v>PRIMARY</x:v>
      </x:c>
      <x:c r="C188" t="str">
        <x:v>R8</x:v>
      </x:c>
      <x:c r="D188" t="str">
        <x:v>31–60</x:v>
      </x:c>
      <x:c r="E188" t="n">
        <x:v>2.5</x:v>
      </x:c>
      <x:c r="F188" t="n">
        <x:v>12</x:v>
      </x:c>
      <x:c r="G188" t="n">
        <x:v>16</x:v>
      </x:c>
      <x:c r="H188" s="127" t="n">
        <x:f>MIC_Harmonized!G23</x:f>
        <x:v>0</x:v>
      </x:c>
      <x:c r="I188" s="127" t="n">
        <x:v>21.85</x:v>
      </x:c>
      <x:c r="J188" s="127" t="n">
        <x:v>89.45</x:v>
      </x:c>
      <x:c r="K188" s="127" t="n">
        <x:v>21.85</x:v>
      </x:c>
      <x:c r="L188" s="127" t="n">
        <x:f>H188*I188/100</x:f>
        <x:v>0</x:v>
      </x:c>
      <x:c r="M188" s="127" t="n">
        <x:f>H188*J188/100</x:f>
        <x:v>0</x:v>
      </x:c>
      <x:c r="N188" s="127" t="n">
        <x:f>H188*K188/100</x:f>
        <x:v>0</x:v>
      </x:c>
      <x:c r="O188" t="str">
        <x:v>Lee et al. 2022, IJAA 60:106679, Table 3</x:v>
      </x:c>
    </x:row>
    <x:row r="189">
      <x:c r="A189" t="str">
        <x:v>LEE2022_OXA_KP</x:v>
      </x:c>
      <x:c r="B189" t="str">
        <x:v>PRIMARY</x:v>
      </x:c>
      <x:c r="C189" t="str">
        <x:v>R8</x:v>
      </x:c>
      <x:c r="D189" t="str">
        <x:v>31–60</x:v>
      </x:c>
      <x:c r="E189" t="n">
        <x:v>2.5</x:v>
      </x:c>
      <x:c r="F189" t="n">
        <x:v>12</x:v>
      </x:c>
      <x:c r="G189" t="n">
        <x:v>32</x:v>
      </x:c>
      <x:c r="H189" s="127" t="n">
        <x:f>MIC_Harmonized!G24</x:f>
        <x:v>0.00423728813559322</x:v>
      </x:c>
      <x:c r="I189" s="127" t="n">
        <x:v>2.93</x:v>
      </x:c>
      <x:c r="J189" s="127" t="n">
        <x:v>89.45</x:v>
      </x:c>
      <x:c r="K189" s="127" t="n">
        <x:v>2.93</x:v>
      </x:c>
      <x:c r="L189" s="127" t="n">
        <x:f>H189*I189/100</x:f>
        <x:v>0.00012415254237288135</x:v>
      </x:c>
      <x:c r="M189" s="127" t="n">
        <x:f>H189*J189/100</x:f>
        <x:v>0.003790254237288136</x:v>
      </x:c>
      <x:c r="N189" s="127" t="n">
        <x:f>H189*K189/100</x:f>
        <x:v>0.00012415254237288135</x:v>
      </x:c>
      <x:c r="O189" t="str">
        <x:v>Lee et al. 2022, IJAA 60:106679, Table 3</x:v>
      </x:c>
    </x:row>
    <x:row r="190">
      <x:c r="A190" t="str">
        <x:v>LEE2022_OXA_KP</x:v>
      </x:c>
      <x:c r="B190" t="str">
        <x:v>PRIMARY</x:v>
      </x:c>
      <x:c r="C190" t="str">
        <x:v>R8</x:v>
      </x:c>
      <x:c r="D190" t="str">
        <x:v>31–60</x:v>
      </x:c>
      <x:c r="E190" t="n">
        <x:v>2.5</x:v>
      </x:c>
      <x:c r="F190" t="n">
        <x:v>12</x:v>
      </x:c>
      <x:c r="G190" t="n">
        <x:v>64</x:v>
      </x:c>
      <x:c r="H190" s="127" t="n">
        <x:f>MIC_Harmonized!G25</x:f>
        <x:v>0.00847457627118644</x:v>
      </x:c>
      <x:c r="I190" s="127" t="n">
        <x:v>0.165</x:v>
      </x:c>
      <x:c r="J190" s="127" t="n">
        <x:v>89.45</x:v>
      </x:c>
      <x:c r="K190" s="127" t="n">
        <x:v>0.165</x:v>
      </x:c>
      <x:c r="L190" s="127" t="n">
        <x:f>H190*I190/100</x:f>
        <x:v>0.000013983050847457627</x:v>
      </x:c>
      <x:c r="M190" s="127" t="n">
        <x:f>H190*J190/100</x:f>
        <x:v>0.007580508474576272</x:v>
      </x:c>
      <x:c r="N190" s="127" t="n">
        <x:f>H190*K190/100</x:f>
        <x:v>0.000013983050847457627</x:v>
      </x:c>
      <x:c r="O190" t="str">
        <x:v>Lee et al. 2022, IJAA 60:106679, Table 3</x:v>
      </x:c>
    </x:row>
    <x:row r="191">
      <x:c r="A191" t="str">
        <x:v>LEE2022_OXA_KP</x:v>
      </x:c>
      <x:c r="B191" t="str">
        <x:v>PRIMARY</x:v>
      </x:c>
      <x:c r="C191" t="str">
        <x:v>R9</x:v>
      </x:c>
      <x:c r="D191" t="str">
        <x:v>61–90</x:v>
      </x:c>
      <x:c r="E191" t="n">
        <x:v>2.5</x:v>
      </x:c>
      <x:c r="F191" t="n">
        <x:v>12</x:v>
      </x:c>
      <x:c r="G191" t="n">
        <x:v>0.0625</x:v>
      </x:c>
      <x:c r="H191" s="127" t="n">
        <x:f>MIC_Harmonized!G15</x:f>
        <x:v>0</x:v>
      </x:c>
      <x:c r="I191" s="127" t="n">
        <x:v>100</x:v>
      </x:c>
      <x:c r="J191" s="127" t="n">
        <x:v>73.225</x:v>
      </x:c>
      <x:c r="K191" s="127" t="n">
        <x:v>73.225</x:v>
      </x:c>
      <x:c r="L191" s="127" t="n">
        <x:f>H191*I191/100</x:f>
        <x:v>0</x:v>
      </x:c>
      <x:c r="M191" s="127" t="n">
        <x:f>H191*J191/100</x:f>
        <x:v>0</x:v>
      </x:c>
      <x:c r="N191" s="127" t="n">
        <x:f>H191*K191/100</x:f>
        <x:v>0</x:v>
      </x:c>
      <x:c r="O191" t="str">
        <x:v>Lee et al. 2022, IJAA 60:106679, Table 3</x:v>
      </x:c>
    </x:row>
    <x:row r="192">
      <x:c r="A192" t="str">
        <x:v>LEE2022_OXA_KP</x:v>
      </x:c>
      <x:c r="B192" t="str">
        <x:v>PRIMARY</x:v>
      </x:c>
      <x:c r="C192" t="str">
        <x:v>R9</x:v>
      </x:c>
      <x:c r="D192" t="str">
        <x:v>61–90</x:v>
      </x:c>
      <x:c r="E192" t="n">
        <x:v>2.5</x:v>
      </x:c>
      <x:c r="F192" t="n">
        <x:v>12</x:v>
      </x:c>
      <x:c r="G192" t="n">
        <x:v>0.125</x:v>
      </x:c>
      <x:c r="H192" s="127" t="n">
        <x:f>MIC_Harmonized!G16</x:f>
        <x:v>0</x:v>
      </x:c>
      <x:c r="I192" s="127" t="n">
        <x:v>100</x:v>
      </x:c>
      <x:c r="J192" s="127" t="n">
        <x:v>73.225</x:v>
      </x:c>
      <x:c r="K192" s="127" t="n">
        <x:v>73.225</x:v>
      </x:c>
      <x:c r="L192" s="127" t="n">
        <x:f>H192*I192/100</x:f>
        <x:v>0</x:v>
      </x:c>
      <x:c r="M192" s="127" t="n">
        <x:f>H192*J192/100</x:f>
        <x:v>0</x:v>
      </x:c>
      <x:c r="N192" s="127" t="n">
        <x:f>H192*K192/100</x:f>
        <x:v>0</x:v>
      </x:c>
      <x:c r="O192" t="str">
        <x:v>Lee et al. 2022, IJAA 60:106679, Table 3</x:v>
      </x:c>
    </x:row>
    <x:row r="193">
      <x:c r="A193" t="str">
        <x:v>LEE2022_OXA_KP</x:v>
      </x:c>
      <x:c r="B193" t="str">
        <x:v>PRIMARY</x:v>
      </x:c>
      <x:c r="C193" t="str">
        <x:v>R9</x:v>
      </x:c>
      <x:c r="D193" t="str">
        <x:v>61–90</x:v>
      </x:c>
      <x:c r="E193" t="n">
        <x:v>2.5</x:v>
      </x:c>
      <x:c r="F193" t="n">
        <x:v>12</x:v>
      </x:c>
      <x:c r="G193" t="n">
        <x:v>0.25</x:v>
      </x:c>
      <x:c r="H193" s="127" t="n">
        <x:f>MIC_Harmonized!G17</x:f>
        <x:v>0.038135593220338986</x:v>
      </x:c>
      <x:c r="I193" s="127" t="n">
        <x:v>100</x:v>
      </x:c>
      <x:c r="J193" s="127" t="n">
        <x:v>73.225</x:v>
      </x:c>
      <x:c r="K193" s="127" t="n">
        <x:v>73.225</x:v>
      </x:c>
      <x:c r="L193" s="127" t="n">
        <x:f>H193*I193/100</x:f>
        <x:v>0.038135593220338986</x:v>
      </x:c>
      <x:c r="M193" s="127" t="n">
        <x:f>H193*J193/100</x:f>
        <x:v>0.027924788135593223</x:v>
      </x:c>
      <x:c r="N193" s="127" t="n">
        <x:f>H193*K193/100</x:f>
        <x:v>0.027924788135593223</x:v>
      </x:c>
      <x:c r="O193" t="str">
        <x:v>Lee et al. 2022, IJAA 60:106679, Table 3</x:v>
      </x:c>
    </x:row>
    <x:row r="194">
      <x:c r="A194" t="str">
        <x:v>LEE2022_OXA_KP</x:v>
      </x:c>
      <x:c r="B194" t="str">
        <x:v>PRIMARY</x:v>
      </x:c>
      <x:c r="C194" t="str">
        <x:v>R9</x:v>
      </x:c>
      <x:c r="D194" t="str">
        <x:v>61–90</x:v>
      </x:c>
      <x:c r="E194" t="n">
        <x:v>2.5</x:v>
      </x:c>
      <x:c r="F194" t="n">
        <x:v>12</x:v>
      </x:c>
      <x:c r="G194" t="n">
        <x:v>0.5</x:v>
      </x:c>
      <x:c r="H194" s="127" t="n">
        <x:f>MIC_Harmonized!G18</x:f>
        <x:v>0.18220338983050846</x:v>
      </x:c>
      <x:c r="I194" s="127" t="n">
        <x:v>99.995</x:v>
      </x:c>
      <x:c r="J194" s="127" t="n">
        <x:v>73.225</x:v>
      </x:c>
      <x:c r="K194" s="127" t="n">
        <x:v>73.225</x:v>
      </x:c>
      <x:c r="L194" s="127" t="n">
        <x:f>H194*I194/100</x:f>
        <x:v>0.18219427966101695</x:v>
      </x:c>
      <x:c r="M194" s="127" t="n">
        <x:f>H194*J194/100</x:f>
        <x:v>0.1334184322033898</x:v>
      </x:c>
      <x:c r="N194" s="127" t="n">
        <x:f>H194*K194/100</x:f>
        <x:v>0.1334184322033898</x:v>
      </x:c>
      <x:c r="O194" t="str">
        <x:v>Lee et al. 2022, IJAA 60:106679, Table 3</x:v>
      </x:c>
    </x:row>
    <x:row r="195">
      <x:c r="A195" t="str">
        <x:v>LEE2022_OXA_KP</x:v>
      </x:c>
      <x:c r="B195" t="str">
        <x:v>PRIMARY</x:v>
      </x:c>
      <x:c r="C195" t="str">
        <x:v>R9</x:v>
      </x:c>
      <x:c r="D195" t="str">
        <x:v>61–90</x:v>
      </x:c>
      <x:c r="E195" t="n">
        <x:v>2.5</x:v>
      </x:c>
      <x:c r="F195" t="n">
        <x:v>12</x:v>
      </x:c>
      <x:c r="G195" t="n">
        <x:v>1</x:v>
      </x:c>
      <x:c r="H195" s="127" t="n">
        <x:f>MIC_Harmonized!G19</x:f>
        <x:v>0.5254237288135594</x:v>
      </x:c>
      <x:c r="I195" s="127" t="n">
        <x:v>99.91499999999999</x:v>
      </x:c>
      <x:c r="J195" s="127" t="n">
        <x:v>73.225</x:v>
      </x:c>
      <x:c r="K195" s="127" t="n">
        <x:v>73.225</x:v>
      </x:c>
      <x:c r="L195" s="127" t="n">
        <x:f>H195*I195/100</x:f>
        <x:v>0.5249771186440678</x:v>
      </x:c>
      <x:c r="M195" s="127" t="n">
        <x:f>H195*J195/100</x:f>
        <x:v>0.38474152542372886</x:v>
      </x:c>
      <x:c r="N195" s="127" t="n">
        <x:f>H195*K195/100</x:f>
        <x:v>0.38474152542372886</x:v>
      </x:c>
      <x:c r="O195" t="str">
        <x:v>Lee et al. 2022, IJAA 60:106679, Table 3</x:v>
      </x:c>
    </x:row>
    <x:row r="196">
      <x:c r="A196" t="str">
        <x:v>LEE2022_OXA_KP</x:v>
      </x:c>
      <x:c r="B196" t="str">
        <x:v>PRIMARY</x:v>
      </x:c>
      <x:c r="C196" t="str">
        <x:v>R9</x:v>
      </x:c>
      <x:c r="D196" t="str">
        <x:v>61–90</x:v>
      </x:c>
      <x:c r="E196" t="n">
        <x:v>2.5</x:v>
      </x:c>
      <x:c r="F196" t="n">
        <x:v>12</x:v>
      </x:c>
      <x:c r="G196" t="n">
        <x:v>2</x:v>
      </x:c>
      <x:c r="H196" s="127" t="n">
        <x:f>MIC_Harmonized!G20</x:f>
        <x:v>0.211864406779661</x:v>
      </x:c>
      <x:c r="I196" s="127" t="n">
        <x:v>97.315</x:v>
      </x:c>
      <x:c r="J196" s="127" t="n">
        <x:v>73.225</x:v>
      </x:c>
      <x:c r="K196" s="127" t="n">
        <x:v>73.225</x:v>
      </x:c>
      <x:c r="L196" s="127" t="n">
        <x:f>H196*I196/100</x:f>
        <x:v>0.2061758474576271</x:v>
      </x:c>
      <x:c r="M196" s="127" t="n">
        <x:f>H196*J196/100</x:f>
        <x:v>0.15513771186440675</x:v>
      </x:c>
      <x:c r="N196" s="127" t="n">
        <x:f>H196*K196/100</x:f>
        <x:v>0.15513771186440675</x:v>
      </x:c>
      <x:c r="O196" t="str">
        <x:v>Lee et al. 2022, IJAA 60:106679, Table 3</x:v>
      </x:c>
    </x:row>
    <x:row r="197">
      <x:c r="A197" t="str">
        <x:v>LEE2022_OXA_KP</x:v>
      </x:c>
      <x:c r="B197" t="str">
        <x:v>PRIMARY</x:v>
      </x:c>
      <x:c r="C197" t="str">
        <x:v>R9</x:v>
      </x:c>
      <x:c r="D197" t="str">
        <x:v>61–90</x:v>
      </x:c>
      <x:c r="E197" t="n">
        <x:v>2.5</x:v>
      </x:c>
      <x:c r="F197" t="n">
        <x:v>12</x:v>
      </x:c>
      <x:c r="G197" t="n">
        <x:v>4</x:v>
      </x:c>
      <x:c r="H197" s="127" t="n">
        <x:f>MIC_Harmonized!G21</x:f>
        <x:v>0.025423728813559324</x:v>
      </x:c>
      <x:c r="I197" s="127" t="n">
        <x:v>79.83</x:v>
      </x:c>
      <x:c r="J197" s="127" t="n">
        <x:v>73.225</x:v>
      </x:c>
      <x:c r="K197" s="127" t="n">
        <x:v>71.64500000000001</x:v>
      </x:c>
      <x:c r="L197" s="127" t="n">
        <x:f>H197*I197/100</x:f>
        <x:v>0.02029576271186441</x:v>
      </x:c>
      <x:c r="M197" s="127" t="n">
        <x:f>H197*J197/100</x:f>
        <x:v>0.018616525423728814</x:v>
      </x:c>
      <x:c r="N197" s="127" t="n">
        <x:f>H197*K197/100</x:f>
        <x:v>0.01821483050847458</x:v>
      </x:c>
      <x:c r="O197" t="str">
        <x:v>Lee et al. 2022, IJAA 60:106679, Table 3</x:v>
      </x:c>
    </x:row>
    <x:row r="198">
      <x:c r="A198" t="str">
        <x:v>LEE2022_OXA_KP</x:v>
      </x:c>
      <x:c r="B198" t="str">
        <x:v>PRIMARY</x:v>
      </x:c>
      <x:c r="C198" t="str">
        <x:v>R9</x:v>
      </x:c>
      <x:c r="D198" t="str">
        <x:v>61–90</x:v>
      </x:c>
      <x:c r="E198" t="n">
        <x:v>2.5</x:v>
      </x:c>
      <x:c r="F198" t="n">
        <x:v>12</x:v>
      </x:c>
      <x:c r="G198" t="n">
        <x:v>8</x:v>
      </x:c>
      <x:c r="H198" s="127" t="n">
        <x:f>MIC_Harmonized!G22</x:f>
        <x:v>0.00423728813559322</x:v>
      </x:c>
      <x:c r="I198" s="127" t="n">
        <x:v>40.085</x:v>
      </x:c>
      <x:c r="J198" s="127" t="n">
        <x:v>73.225</x:v>
      </x:c>
      <x:c r="K198" s="127" t="n">
        <x:v>40.08</x:v>
      </x:c>
      <x:c r="L198" s="127" t="n">
        <x:f>H198*I198/100</x:f>
        <x:v>0.0016985169491525423</x:v>
      </x:c>
      <x:c r="M198" s="127" t="n">
        <x:f>H198*J198/100</x:f>
        <x:v>0.0031027542372881354</x:v>
      </x:c>
      <x:c r="N198" s="127" t="n">
        <x:f>H198*K198/100</x:f>
        <x:v>0.0016983050847457625</x:v>
      </x:c>
      <x:c r="O198" t="str">
        <x:v>Lee et al. 2022, IJAA 60:106679, Table 3</x:v>
      </x:c>
    </x:row>
    <x:row r="199">
      <x:c r="A199" t="str">
        <x:v>LEE2022_OXA_KP</x:v>
      </x:c>
      <x:c r="B199" t="str">
        <x:v>PRIMARY</x:v>
      </x:c>
      <x:c r="C199" t="str">
        <x:v>R9</x:v>
      </x:c>
      <x:c r="D199" t="str">
        <x:v>61–90</x:v>
      </x:c>
      <x:c r="E199" t="n">
        <x:v>2.5</x:v>
      </x:c>
      <x:c r="F199" t="n">
        <x:v>12</x:v>
      </x:c>
      <x:c r="G199" t="n">
        <x:v>16</x:v>
      </x:c>
      <x:c r="H199" s="127" t="n">
        <x:f>MIC_Harmonized!G23</x:f>
        <x:v>0</x:v>
      </x:c>
      <x:c r="I199" s="127" t="n">
        <x:v>8.53</x:v>
      </x:c>
      <x:c r="J199" s="127" t="n">
        <x:v>73.225</x:v>
      </x:c>
      <x:c r="K199" s="127" t="n">
        <x:v>8.53</x:v>
      </x:c>
      <x:c r="L199" s="127" t="n">
        <x:f>H199*I199/100</x:f>
        <x:v>0</x:v>
      </x:c>
      <x:c r="M199" s="127" t="n">
        <x:f>H199*J199/100</x:f>
        <x:v>0</x:v>
      </x:c>
      <x:c r="N199" s="127" t="n">
        <x:f>H199*K199/100</x:f>
        <x:v>0</x:v>
      </x:c>
      <x:c r="O199" t="str">
        <x:v>Lee et al. 2022, IJAA 60:106679, Table 3</x:v>
      </x:c>
    </x:row>
    <x:row r="200">
      <x:c r="A200" t="str">
        <x:v>LEE2022_OXA_KP</x:v>
      </x:c>
      <x:c r="B200" t="str">
        <x:v>PRIMARY</x:v>
      </x:c>
      <x:c r="C200" t="str">
        <x:v>R9</x:v>
      </x:c>
      <x:c r="D200" t="str">
        <x:v>61–90</x:v>
      </x:c>
      <x:c r="E200" t="n">
        <x:v>2.5</x:v>
      </x:c>
      <x:c r="F200" t="n">
        <x:v>12</x:v>
      </x:c>
      <x:c r="G200" t="n">
        <x:v>32</x:v>
      </x:c>
      <x:c r="H200" s="127" t="n">
        <x:f>MIC_Harmonized!G24</x:f>
        <x:v>0.00423728813559322</x:v>
      </x:c>
      <x:c r="I200" s="127" t="n">
        <x:v>0.62</x:v>
      </x:c>
      <x:c r="J200" s="127" t="n">
        <x:v>73.225</x:v>
      </x:c>
      <x:c r="K200" s="127" t="n">
        <x:v>0.62</x:v>
      </x:c>
      <x:c r="L200" s="127" t="n">
        <x:f>H200*I200/100</x:f>
        <x:v>0.000026271186440677963</x:v>
      </x:c>
      <x:c r="M200" s="127" t="n">
        <x:f>H200*J200/100</x:f>
        <x:v>0.0031027542372881354</x:v>
      </x:c>
      <x:c r="N200" s="127" t="n">
        <x:f>H200*K200/100</x:f>
        <x:v>0.000026271186440677963</x:v>
      </x:c>
      <x:c r="O200" t="str">
        <x:v>Lee et al. 2022, IJAA 60:106679, Table 3</x:v>
      </x:c>
    </x:row>
    <x:row r="201">
      <x:c r="A201" t="str">
        <x:v>LEE2022_OXA_KP</x:v>
      </x:c>
      <x:c r="B201" t="str">
        <x:v>PRIMARY</x:v>
      </x:c>
      <x:c r="C201" t="str">
        <x:v>R9</x:v>
      </x:c>
      <x:c r="D201" t="str">
        <x:v>61–90</x:v>
      </x:c>
      <x:c r="E201" t="n">
        <x:v>2.5</x:v>
      </x:c>
      <x:c r="F201" t="n">
        <x:v>12</x:v>
      </x:c>
      <x:c r="G201" t="n">
        <x:v>64</x:v>
      </x:c>
      <x:c r="H201" s="127" t="n">
        <x:f>MIC_Harmonized!G25</x:f>
        <x:v>0.00847457627118644</x:v>
      </x:c>
      <x:c r="I201" s="127" t="n">
        <x:v>0.04</x:v>
      </x:c>
      <x:c r="J201" s="127" t="n">
        <x:v>73.225</x:v>
      </x:c>
      <x:c r="K201" s="127" t="n">
        <x:v>0.04</x:v>
      </x:c>
      <x:c r="L201" s="127" t="n">
        <x:f>H201*I201/100</x:f>
        <x:v>0.0000033898305084745763</x:v>
      </x:c>
      <x:c r="M201" s="127" t="n">
        <x:f>H201*J201/100</x:f>
        <x:v>0.006205508474576271</x:v>
      </x:c>
      <x:c r="N201" s="127" t="n">
        <x:f>H201*K201/100</x:f>
        <x:v>0.0000033898305084745763</x:v>
      </x:c>
      <x:c r="O201" t="str">
        <x:v>Lee et al. 2022, IJAA 60:106679, Table 3</x:v>
      </x:c>
    </x:row>
    <x:row r="202">
      <x:c r="A202" t="str">
        <x:v>LEE2022_OXA_KP</x:v>
      </x:c>
      <x:c r="B202" t="str">
        <x:v>PRIMARY</x:v>
      </x:c>
      <x:c r="C202" t="str">
        <x:v>R10</x:v>
      </x:c>
      <x:c r="D202" t="str">
        <x:v>61–90</x:v>
      </x:c>
      <x:c r="E202" t="n">
        <x:v>2.5</x:v>
      </x:c>
      <x:c r="F202" t="n">
        <x:v>8</x:v>
      </x:c>
      <x:c r="G202" t="n">
        <x:v>0.0625</x:v>
      </x:c>
      <x:c r="H202" s="127" t="n">
        <x:f>MIC_Harmonized!G15</x:f>
        <x:v>0</x:v>
      </x:c>
      <x:c r="I202" s="127" t="n">
        <x:v>100</x:v>
      </x:c>
      <x:c r="J202" s="127" t="n">
        <x:v>88.405</x:v>
      </x:c>
      <x:c r="K202" s="127" t="n">
        <x:v>88.405</x:v>
      </x:c>
      <x:c r="L202" s="127" t="n">
        <x:f>H202*I202/100</x:f>
        <x:v>0</x:v>
      </x:c>
      <x:c r="M202" s="127" t="n">
        <x:f>H202*J202/100</x:f>
        <x:v>0</x:v>
      </x:c>
      <x:c r="N202" s="127" t="n">
        <x:f>H202*K202/100</x:f>
        <x:v>0</x:v>
      </x:c>
      <x:c r="O202" t="str">
        <x:v>Lee et al. 2022, IJAA 60:106679, Table 3</x:v>
      </x:c>
    </x:row>
    <x:row r="203">
      <x:c r="A203" t="str">
        <x:v>LEE2022_OXA_KP</x:v>
      </x:c>
      <x:c r="B203" t="str">
        <x:v>PRIMARY</x:v>
      </x:c>
      <x:c r="C203" t="str">
        <x:v>R10</x:v>
      </x:c>
      <x:c r="D203" t="str">
        <x:v>61–90</x:v>
      </x:c>
      <x:c r="E203" t="n">
        <x:v>2.5</x:v>
      </x:c>
      <x:c r="F203" t="n">
        <x:v>8</x:v>
      </x:c>
      <x:c r="G203" t="n">
        <x:v>0.125</x:v>
      </x:c>
      <x:c r="H203" s="127" t="n">
        <x:f>MIC_Harmonized!G16</x:f>
        <x:v>0</x:v>
      </x:c>
      <x:c r="I203" s="127" t="n">
        <x:v>100</x:v>
      </x:c>
      <x:c r="J203" s="127" t="n">
        <x:v>88.405</x:v>
      </x:c>
      <x:c r="K203" s="127" t="n">
        <x:v>88.405</x:v>
      </x:c>
      <x:c r="L203" s="127" t="n">
        <x:f>H203*I203/100</x:f>
        <x:v>0</x:v>
      </x:c>
      <x:c r="M203" s="127" t="n">
        <x:f>H203*J203/100</x:f>
        <x:v>0</x:v>
      </x:c>
      <x:c r="N203" s="127" t="n">
        <x:f>H203*K203/100</x:f>
        <x:v>0</x:v>
      </x:c>
      <x:c r="O203" t="str">
        <x:v>Lee et al. 2022, IJAA 60:106679, Table 3</x:v>
      </x:c>
    </x:row>
    <x:row r="204">
      <x:c r="A204" t="str">
        <x:v>LEE2022_OXA_KP</x:v>
      </x:c>
      <x:c r="B204" t="str">
        <x:v>PRIMARY</x:v>
      </x:c>
      <x:c r="C204" t="str">
        <x:v>R10</x:v>
      </x:c>
      <x:c r="D204" t="str">
        <x:v>61–90</x:v>
      </x:c>
      <x:c r="E204" t="n">
        <x:v>2.5</x:v>
      </x:c>
      <x:c r="F204" t="n">
        <x:v>8</x:v>
      </x:c>
      <x:c r="G204" t="n">
        <x:v>0.25</x:v>
      </x:c>
      <x:c r="H204" s="127" t="n">
        <x:f>MIC_Harmonized!G17</x:f>
        <x:v>0.038135593220338986</x:v>
      </x:c>
      <x:c r="I204" s="127" t="n">
        <x:v>100</x:v>
      </x:c>
      <x:c r="J204" s="127" t="n">
        <x:v>88.405</x:v>
      </x:c>
      <x:c r="K204" s="127" t="n">
        <x:v>88.405</x:v>
      </x:c>
      <x:c r="L204" s="127" t="n">
        <x:f>H204*I204/100</x:f>
        <x:v>0.038135593220338986</x:v>
      </x:c>
      <x:c r="M204" s="127" t="n">
        <x:f>H204*J204/100</x:f>
        <x:v>0.03371377118644068</x:v>
      </x:c>
      <x:c r="N204" s="127" t="n">
        <x:f>H204*K204/100</x:f>
        <x:v>0.03371377118644068</x:v>
      </x:c>
      <x:c r="O204" t="str">
        <x:v>Lee et al. 2022, IJAA 60:106679, Table 3</x:v>
      </x:c>
    </x:row>
    <x:row r="205">
      <x:c r="A205" t="str">
        <x:v>LEE2022_OXA_KP</x:v>
      </x:c>
      <x:c r="B205" t="str">
        <x:v>PRIMARY</x:v>
      </x:c>
      <x:c r="C205" t="str">
        <x:v>R10</x:v>
      </x:c>
      <x:c r="D205" t="str">
        <x:v>61–90</x:v>
      </x:c>
      <x:c r="E205" t="n">
        <x:v>2.5</x:v>
      </x:c>
      <x:c r="F205" t="n">
        <x:v>8</x:v>
      </x:c>
      <x:c r="G205" t="n">
        <x:v>0.5</x:v>
      </x:c>
      <x:c r="H205" s="127" t="n">
        <x:f>MIC_Harmonized!G18</x:f>
        <x:v>0.18220338983050846</x:v>
      </x:c>
      <x:c r="I205" s="127" t="n">
        <x:v>100</x:v>
      </x:c>
      <x:c r="J205" s="127" t="n">
        <x:v>88.405</x:v>
      </x:c>
      <x:c r="K205" s="127" t="n">
        <x:v>88.405</x:v>
      </x:c>
      <x:c r="L205" s="127" t="n">
        <x:f>H205*I205/100</x:f>
        <x:v>0.1822033898305085</x:v>
      </x:c>
      <x:c r="M205" s="127" t="n">
        <x:f>H205*J205/100</x:f>
        <x:v>0.16107690677966102</x:v>
      </x:c>
      <x:c r="N205" s="127" t="n">
        <x:f>H205*K205/100</x:f>
        <x:v>0.16107690677966102</x:v>
      </x:c>
      <x:c r="O205" t="str">
        <x:v>Lee et al. 2022, IJAA 60:106679, Table 3</x:v>
      </x:c>
    </x:row>
    <x:row r="206">
      <x:c r="A206" t="str">
        <x:v>LEE2022_OXA_KP</x:v>
      </x:c>
      <x:c r="B206" t="str">
        <x:v>PRIMARY</x:v>
      </x:c>
      <x:c r="C206" t="str">
        <x:v>R10</x:v>
      </x:c>
      <x:c r="D206" t="str">
        <x:v>61–90</x:v>
      </x:c>
      <x:c r="E206" t="n">
        <x:v>2.5</x:v>
      </x:c>
      <x:c r="F206" t="n">
        <x:v>8</x:v>
      </x:c>
      <x:c r="G206" t="n">
        <x:v>1</x:v>
      </x:c>
      <x:c r="H206" s="127" t="n">
        <x:f>MIC_Harmonized!G19</x:f>
        <x:v>0.5254237288135594</x:v>
      </x:c>
      <x:c r="I206" s="127" t="n">
        <x:v>99.995</x:v>
      </x:c>
      <x:c r="J206" s="127" t="n">
        <x:v>88.405</x:v>
      </x:c>
      <x:c r="K206" s="127" t="n">
        <x:v>88.405</x:v>
      </x:c>
      <x:c r="L206" s="127" t="n">
        <x:f>H206*I206/100</x:f>
        <x:v>0.5253974576271188</x:v>
      </x:c>
      <x:c r="M206" s="127" t="n">
        <x:f>H206*J206/100</x:f>
        <x:v>0.46450084745762715</x:v>
      </x:c>
      <x:c r="N206" s="127" t="n">
        <x:f>H206*K206/100</x:f>
        <x:v>0.46450084745762715</x:v>
      </x:c>
      <x:c r="O206" t="str">
        <x:v>Lee et al. 2022, IJAA 60:106679, Table 3</x:v>
      </x:c>
    </x:row>
    <x:row r="207">
      <x:c r="A207" t="str">
        <x:v>LEE2022_OXA_KP</x:v>
      </x:c>
      <x:c r="B207" t="str">
        <x:v>PRIMARY</x:v>
      </x:c>
      <x:c r="C207" t="str">
        <x:v>R10</x:v>
      </x:c>
      <x:c r="D207" t="str">
        <x:v>61–90</x:v>
      </x:c>
      <x:c r="E207" t="n">
        <x:v>2.5</x:v>
      </x:c>
      <x:c r="F207" t="n">
        <x:v>8</x:v>
      </x:c>
      <x:c r="G207" t="n">
        <x:v>2</x:v>
      </x:c>
      <x:c r="H207" s="127" t="n">
        <x:f>MIC_Harmonized!G20</x:f>
        <x:v>0.211864406779661</x:v>
      </x:c>
      <x:c r="I207" s="127" t="n">
        <x:v>99.555</x:v>
      </x:c>
      <x:c r="J207" s="127" t="n">
        <x:v>88.405</x:v>
      </x:c>
      <x:c r="K207" s="127" t="n">
        <x:v>88.405</x:v>
      </x:c>
      <x:c r="L207" s="127" t="n">
        <x:f>H207*I207/100</x:f>
        <x:v>0.2109216101694915</x:v>
      </x:c>
      <x:c r="M207" s="127" t="n">
        <x:f>H207*J207/100</x:f>
        <x:v>0.1872987288135593</x:v>
      </x:c>
      <x:c r="N207" s="127" t="n">
        <x:f>H207*K207/100</x:f>
        <x:v>0.1872987288135593</x:v>
      </x:c>
      <x:c r="O207" t="str">
        <x:v>Lee et al. 2022, IJAA 60:106679, Table 3</x:v>
      </x:c>
    </x:row>
    <x:row r="208">
      <x:c r="A208" t="str">
        <x:v>LEE2022_OXA_KP</x:v>
      </x:c>
      <x:c r="B208" t="str">
        <x:v>PRIMARY</x:v>
      </x:c>
      <x:c r="C208" t="str">
        <x:v>R10</x:v>
      </x:c>
      <x:c r="D208" t="str">
        <x:v>61–90</x:v>
      </x:c>
      <x:c r="E208" t="n">
        <x:v>2.5</x:v>
      </x:c>
      <x:c r="F208" t="n">
        <x:v>8</x:v>
      </x:c>
      <x:c r="G208" t="n">
        <x:v>4</x:v>
      </x:c>
      <x:c r="H208" s="127" t="n">
        <x:f>MIC_Harmonized!G21</x:f>
        <x:v>0.025423728813559324</x:v>
      </x:c>
      <x:c r="I208" s="127" t="n">
        <x:v>93.105</x:v>
      </x:c>
      <x:c r="J208" s="127" t="n">
        <x:v>88.405</x:v>
      </x:c>
      <x:c r="K208" s="127" t="n">
        <x:v>87.76</x:v>
      </x:c>
      <x:c r="L208" s="127" t="n">
        <x:f>H208*I208/100</x:f>
        <x:v>0.02367076271186441</x:v>
      </x:c>
      <x:c r="M208" s="127" t="n">
        <x:f>H208*J208/100</x:f>
        <x:v>0.022475847457627117</x:v>
      </x:c>
      <x:c r="N208" s="127" t="n">
        <x:f>H208*K208/100</x:f>
        <x:v>0.022311864406779663</x:v>
      </x:c>
      <x:c r="O208" t="str">
        <x:v>Lee et al. 2022, IJAA 60:106679, Table 3</x:v>
      </x:c>
    </x:row>
    <x:row r="209">
      <x:c r="A209" t="str">
        <x:v>LEE2022_OXA_KP</x:v>
      </x:c>
      <x:c r="B209" t="str">
        <x:v>PRIMARY</x:v>
      </x:c>
      <x:c r="C209" t="str">
        <x:v>R10</x:v>
      </x:c>
      <x:c r="D209" t="str">
        <x:v>61–90</x:v>
      </x:c>
      <x:c r="E209" t="n">
        <x:v>2.5</x:v>
      </x:c>
      <x:c r="F209" t="n">
        <x:v>8</x:v>
      </x:c>
      <x:c r="G209" t="n">
        <x:v>8</x:v>
      </x:c>
      <x:c r="H209" s="127" t="n">
        <x:f>MIC_Harmonized!G22</x:f>
        <x:v>0.00423728813559322</x:v>
      </x:c>
      <x:c r="I209" s="127" t="n">
        <x:v>64.945</x:v>
      </x:c>
      <x:c r="J209" s="127" t="n">
        <x:v>88.405</x:v>
      </x:c>
      <x:c r="K209" s="127" t="n">
        <x:v>64.92999999999999</x:v>
      </x:c>
      <x:c r="L209" s="127" t="n">
        <x:f>H209*I209/100</x:f>
        <x:v>0.0027519067796610164</x:v>
      </x:c>
      <x:c r="M209" s="127" t="n">
        <x:f>H209*J209/100</x:f>
        <x:v>0.0037459745762711866</x:v>
      </x:c>
      <x:c r="N209" s="127" t="n">
        <x:f>H209*K209/100</x:f>
        <x:v>0.0027512711864406776</x:v>
      </x:c>
      <x:c r="O209" t="str">
        <x:v>Lee et al. 2022, IJAA 60:106679, Table 3</x:v>
      </x:c>
    </x:row>
    <x:row r="210">
      <x:c r="A210" t="str">
        <x:v>LEE2022_OXA_KP</x:v>
      </x:c>
      <x:c r="B210" t="str">
        <x:v>PRIMARY</x:v>
      </x:c>
      <x:c r="C210" t="str">
        <x:v>R10</x:v>
      </x:c>
      <x:c r="D210" t="str">
        <x:v>61–90</x:v>
      </x:c>
      <x:c r="E210" t="n">
        <x:v>2.5</x:v>
      </x:c>
      <x:c r="F210" t="n">
        <x:v>8</x:v>
      </x:c>
      <x:c r="G210" t="n">
        <x:v>16</x:v>
      </x:c>
      <x:c r="H210" s="127" t="n">
        <x:f>MIC_Harmonized!G23</x:f>
        <x:v>0</x:v>
      </x:c>
      <x:c r="I210" s="127" t="n">
        <x:v>23.75</x:v>
      </x:c>
      <x:c r="J210" s="127" t="n">
        <x:v>88.405</x:v>
      </x:c>
      <x:c r="K210" s="127" t="n">
        <x:v>23.75</x:v>
      </x:c>
      <x:c r="L210" s="127" t="n">
        <x:f>H210*I210/100</x:f>
        <x:v>0</x:v>
      </x:c>
      <x:c r="M210" s="127" t="n">
        <x:f>H210*J210/100</x:f>
        <x:v>0</x:v>
      </x:c>
      <x:c r="N210" s="127" t="n">
        <x:f>H210*K210/100</x:f>
        <x:v>0</x:v>
      </x:c>
      <x:c r="O210" t="str">
        <x:v>Lee et al. 2022, IJAA 60:106679, Table 3</x:v>
      </x:c>
    </x:row>
    <x:row r="211">
      <x:c r="A211" t="str">
        <x:v>LEE2022_OXA_KP</x:v>
      </x:c>
      <x:c r="B211" t="str">
        <x:v>PRIMARY</x:v>
      </x:c>
      <x:c r="C211" t="str">
        <x:v>R10</x:v>
      </x:c>
      <x:c r="D211" t="str">
        <x:v>61–90</x:v>
      </x:c>
      <x:c r="E211" t="n">
        <x:v>2.5</x:v>
      </x:c>
      <x:c r="F211" t="n">
        <x:v>8</x:v>
      </x:c>
      <x:c r="G211" t="n">
        <x:v>32</x:v>
      </x:c>
      <x:c r="H211" s="127" t="n">
        <x:f>MIC_Harmonized!G24</x:f>
        <x:v>0.00423728813559322</x:v>
      </x:c>
      <x:c r="I211" s="127" t="n">
        <x:v>3.485</x:v>
      </x:c>
      <x:c r="J211" s="127" t="n">
        <x:v>88.405</x:v>
      </x:c>
      <x:c r="K211" s="127" t="n">
        <x:v>3.485</x:v>
      </x:c>
      <x:c r="L211" s="127" t="n">
        <x:f>H211*I211/100</x:f>
        <x:v>0.00014766949152542373</x:v>
      </x:c>
      <x:c r="M211" s="127" t="n">
        <x:f>H211*J211/100</x:f>
        <x:v>0.0037459745762711866</x:v>
      </x:c>
      <x:c r="N211" s="127" t="n">
        <x:f>H211*K211/100</x:f>
        <x:v>0.00014766949152542373</x:v>
      </x:c>
      <x:c r="O211" t="str">
        <x:v>Lee et al. 2022, IJAA 60:106679, Table 3</x:v>
      </x:c>
    </x:row>
    <x:row r="212">
      <x:c r="A212" t="str">
        <x:v>LEE2022_OXA_KP</x:v>
      </x:c>
      <x:c r="B212" t="str">
        <x:v>PRIMARY</x:v>
      </x:c>
      <x:c r="C212" t="str">
        <x:v>R10</x:v>
      </x:c>
      <x:c r="D212" t="str">
        <x:v>61–90</x:v>
      </x:c>
      <x:c r="E212" t="n">
        <x:v>2.5</x:v>
      </x:c>
      <x:c r="F212" t="n">
        <x:v>8</x:v>
      </x:c>
      <x:c r="G212" t="n">
        <x:v>64</x:v>
      </x:c>
      <x:c r="H212" s="127" t="n">
        <x:f>MIC_Harmonized!G25</x:f>
        <x:v>0.00847457627118644</x:v>
      </x:c>
      <x:c r="I212" s="127" t="n">
        <x:v>0.11499999999999999</x:v>
      </x:c>
      <x:c r="J212" s="127" t="n">
        <x:v>88.405</x:v>
      </x:c>
      <x:c r="K212" s="127" t="n">
        <x:v>0.11499999999999999</x:v>
      </x:c>
      <x:c r="L212" s="127" t="n">
        <x:f>H212*I212/100</x:f>
        <x:v>0.000009745762711864405</x:v>
      </x:c>
      <x:c r="M212" s="127" t="n">
        <x:f>H212*J212/100</x:f>
        <x:v>0.007491949152542373</x:v>
      </x:c>
      <x:c r="N212" s="127" t="n">
        <x:f>H212*K212/100</x:f>
        <x:v>0.000009745762711864405</x:v>
      </x:c>
      <x:c r="O212" t="str">
        <x:v>Lee et al. 2022, IJAA 60:106679, Table 3</x:v>
      </x:c>
    </x:row>
    <x:row r="213">
      <x:c r="A213" t="str">
        <x:v>LEE2022_OXA_KP</x:v>
      </x:c>
      <x:c r="B213" t="str">
        <x:v>PRIMARY</x:v>
      </x:c>
      <x:c r="C213" t="str">
        <x:v>R11</x:v>
      </x:c>
      <x:c r="D213" t="str">
        <x:v>91–120</x:v>
      </x:c>
      <x:c r="E213" t="n">
        <x:v>2.5</x:v>
      </x:c>
      <x:c r="F213" t="n">
        <x:v>8</x:v>
      </x:c>
      <x:c r="G213" t="n">
        <x:v>0.0625</x:v>
      </x:c>
      <x:c r="H213" s="127" t="n">
        <x:f>MIC_Harmonized!G15</x:f>
        <x:v>0</x:v>
      </x:c>
      <x:c r="I213" s="127" t="n">
        <x:v>100</x:v>
      </x:c>
      <x:c r="J213" s="127" t="n">
        <x:v>78.18</x:v>
      </x:c>
      <x:c r="K213" s="127" t="n">
        <x:v>78.18</x:v>
      </x:c>
      <x:c r="L213" s="127" t="n">
        <x:f>H213*I213/100</x:f>
        <x:v>0</x:v>
      </x:c>
      <x:c r="M213" s="127" t="n">
        <x:f>H213*J213/100</x:f>
        <x:v>0</x:v>
      </x:c>
      <x:c r="N213" s="127" t="n">
        <x:f>H213*K213/100</x:f>
        <x:v>0</x:v>
      </x:c>
      <x:c r="O213" t="str">
        <x:v>Lee et al. 2022, IJAA 60:106679, Table 3</x:v>
      </x:c>
    </x:row>
    <x:row r="214">
      <x:c r="A214" t="str">
        <x:v>LEE2022_OXA_KP</x:v>
      </x:c>
      <x:c r="B214" t="str">
        <x:v>PRIMARY</x:v>
      </x:c>
      <x:c r="C214" t="str">
        <x:v>R11</x:v>
      </x:c>
      <x:c r="D214" t="str">
        <x:v>91–120</x:v>
      </x:c>
      <x:c r="E214" t="n">
        <x:v>2.5</x:v>
      </x:c>
      <x:c r="F214" t="n">
        <x:v>8</x:v>
      </x:c>
      <x:c r="G214" t="n">
        <x:v>0.125</x:v>
      </x:c>
      <x:c r="H214" s="127" t="n">
        <x:f>MIC_Harmonized!G16</x:f>
        <x:v>0</x:v>
      </x:c>
      <x:c r="I214" s="127" t="n">
        <x:v>100</x:v>
      </x:c>
      <x:c r="J214" s="127" t="n">
        <x:v>78.18</x:v>
      </x:c>
      <x:c r="K214" s="127" t="n">
        <x:v>78.18</x:v>
      </x:c>
      <x:c r="L214" s="127" t="n">
        <x:f>H214*I214/100</x:f>
        <x:v>0</x:v>
      </x:c>
      <x:c r="M214" s="127" t="n">
        <x:f>H214*J214/100</x:f>
        <x:v>0</x:v>
      </x:c>
      <x:c r="N214" s="127" t="n">
        <x:f>H214*K214/100</x:f>
        <x:v>0</x:v>
      </x:c>
      <x:c r="O214" t="str">
        <x:v>Lee et al. 2022, IJAA 60:106679, Table 3</x:v>
      </x:c>
    </x:row>
    <x:row r="215">
      <x:c r="A215" t="str">
        <x:v>LEE2022_OXA_KP</x:v>
      </x:c>
      <x:c r="B215" t="str">
        <x:v>PRIMARY</x:v>
      </x:c>
      <x:c r="C215" t="str">
        <x:v>R11</x:v>
      </x:c>
      <x:c r="D215" t="str">
        <x:v>91–120</x:v>
      </x:c>
      <x:c r="E215" t="n">
        <x:v>2.5</x:v>
      </x:c>
      <x:c r="F215" t="n">
        <x:v>8</x:v>
      </x:c>
      <x:c r="G215" t="n">
        <x:v>0.25</x:v>
      </x:c>
      <x:c r="H215" s="127" t="n">
        <x:f>MIC_Harmonized!G17</x:f>
        <x:v>0.038135593220338986</x:v>
      </x:c>
      <x:c r="I215" s="127" t="n">
        <x:v>100</x:v>
      </x:c>
      <x:c r="J215" s="127" t="n">
        <x:v>78.18</x:v>
      </x:c>
      <x:c r="K215" s="127" t="n">
        <x:v>78.18</x:v>
      </x:c>
      <x:c r="L215" s="127" t="n">
        <x:f>H215*I215/100</x:f>
        <x:v>0.038135593220338986</x:v>
      </x:c>
      <x:c r="M215" s="127" t="n">
        <x:f>H215*J215/100</x:f>
        <x:v>0.02981440677966102</x:v>
      </x:c>
      <x:c r="N215" s="127" t="n">
        <x:f>H215*K215/100</x:f>
        <x:v>0.02981440677966102</x:v>
      </x:c>
      <x:c r="O215" t="str">
        <x:v>Lee et al. 2022, IJAA 60:106679, Table 3</x:v>
      </x:c>
    </x:row>
    <x:row r="216">
      <x:c r="A216" t="str">
        <x:v>LEE2022_OXA_KP</x:v>
      </x:c>
      <x:c r="B216" t="str">
        <x:v>PRIMARY</x:v>
      </x:c>
      <x:c r="C216" t="str">
        <x:v>R11</x:v>
      </x:c>
      <x:c r="D216" t="str">
        <x:v>91–120</x:v>
      </x:c>
      <x:c r="E216" t="n">
        <x:v>2.5</x:v>
      </x:c>
      <x:c r="F216" t="n">
        <x:v>8</x:v>
      </x:c>
      <x:c r="G216" t="n">
        <x:v>0.5</x:v>
      </x:c>
      <x:c r="H216" s="127" t="n">
        <x:f>MIC_Harmonized!G18</x:f>
        <x:v>0.18220338983050846</x:v>
      </x:c>
      <x:c r="I216" s="127" t="n">
        <x:v>99.995</x:v>
      </x:c>
      <x:c r="J216" s="127" t="n">
        <x:v>78.18</x:v>
      </x:c>
      <x:c r="K216" s="127" t="n">
        <x:v>78.18</x:v>
      </x:c>
      <x:c r="L216" s="127" t="n">
        <x:f>H216*I216/100</x:f>
        <x:v>0.18219427966101695</x:v>
      </x:c>
      <x:c r="M216" s="127" t="n">
        <x:f>H216*J216/100</x:f>
        <x:v>0.14244661016949153</x:v>
      </x:c>
      <x:c r="N216" s="127" t="n">
        <x:f>H216*K216/100</x:f>
        <x:v>0.14244661016949153</x:v>
      </x:c>
      <x:c r="O216" t="str">
        <x:v>Lee et al. 2022, IJAA 60:106679, Table 3</x:v>
      </x:c>
    </x:row>
    <x:row r="217">
      <x:c r="A217" t="str">
        <x:v>LEE2022_OXA_KP</x:v>
      </x:c>
      <x:c r="B217" t="str">
        <x:v>PRIMARY</x:v>
      </x:c>
      <x:c r="C217" t="str">
        <x:v>R11</x:v>
      </x:c>
      <x:c r="D217" t="str">
        <x:v>91–120</x:v>
      </x:c>
      <x:c r="E217" t="n">
        <x:v>2.5</x:v>
      </x:c>
      <x:c r="F217" t="n">
        <x:v>8</x:v>
      </x:c>
      <x:c r="G217" t="n">
        <x:v>1</x:v>
      </x:c>
      <x:c r="H217" s="127" t="n">
        <x:f>MIC_Harmonized!G19</x:f>
        <x:v>0.5254237288135594</x:v>
      </x:c>
      <x:c r="I217" s="127" t="n">
        <x:v>99.95</x:v>
      </x:c>
      <x:c r="J217" s="127" t="n">
        <x:v>78.18</x:v>
      </x:c>
      <x:c r="K217" s="127" t="n">
        <x:v>78.18</x:v>
      </x:c>
      <x:c r="L217" s="127" t="n">
        <x:f>H217*I217/100</x:f>
        <x:v>0.5251610169491525</x:v>
      </x:c>
      <x:c r="M217" s="127" t="n">
        <x:f>H217*J217/100</x:f>
        <x:v>0.4107762711864407</x:v>
      </x:c>
      <x:c r="N217" s="127" t="n">
        <x:f>H217*K217/100</x:f>
        <x:v>0.4107762711864407</x:v>
      </x:c>
      <x:c r="O217" t="str">
        <x:v>Lee et al. 2022, IJAA 60:106679, Table 3</x:v>
      </x:c>
    </x:row>
    <x:row r="218">
      <x:c r="A218" t="str">
        <x:v>LEE2022_OXA_KP</x:v>
      </x:c>
      <x:c r="B218" t="str">
        <x:v>PRIMARY</x:v>
      </x:c>
      <x:c r="C218" t="str">
        <x:v>R11</x:v>
      </x:c>
      <x:c r="D218" t="str">
        <x:v>91–120</x:v>
      </x:c>
      <x:c r="E218" t="n">
        <x:v>2.5</x:v>
      </x:c>
      <x:c r="F218" t="n">
        <x:v>8</x:v>
      </x:c>
      <x:c r="G218" t="n">
        <x:v>2</x:v>
      </x:c>
      <x:c r="H218" s="127" t="n">
        <x:f>MIC_Harmonized!G20</x:f>
        <x:v>0.211864406779661</x:v>
      </x:c>
      <x:c r="I218" s="127" t="n">
        <x:v>98.77</x:v>
      </x:c>
      <x:c r="J218" s="127" t="n">
        <x:v>78.18</x:v>
      </x:c>
      <x:c r="K218" s="127" t="n">
        <x:v>78.18</x:v>
      </x:c>
      <x:c r="L218" s="127" t="n">
        <x:f>H218*I218/100</x:f>
        <x:v>0.20925847457627117</x:v>
      </x:c>
      <x:c r="M218" s="127" t="n">
        <x:f>H218*J218/100</x:f>
        <x:v>0.165635593220339</x:v>
      </x:c>
      <x:c r="N218" s="127" t="n">
        <x:f>H218*K218/100</x:f>
        <x:v>0.165635593220339</x:v>
      </x:c>
      <x:c r="O218" t="str">
        <x:v>Lee et al. 2022, IJAA 60:106679, Table 3</x:v>
      </x:c>
    </x:row>
    <x:row r="219">
      <x:c r="A219" t="str">
        <x:v>LEE2022_OXA_KP</x:v>
      </x:c>
      <x:c r="B219" t="str">
        <x:v>PRIMARY</x:v>
      </x:c>
      <x:c r="C219" t="str">
        <x:v>R11</x:v>
      </x:c>
      <x:c r="D219" t="str">
        <x:v>91–120</x:v>
      </x:c>
      <x:c r="E219" t="n">
        <x:v>2.5</x:v>
      </x:c>
      <x:c r="F219" t="n">
        <x:v>8</x:v>
      </x:c>
      <x:c r="G219" t="n">
        <x:v>4</x:v>
      </x:c>
      <x:c r="H219" s="127" t="n">
        <x:f>MIC_Harmonized!G21</x:f>
        <x:v>0.025423728813559324</x:v>
      </x:c>
      <x:c r="I219" s="127" t="n">
        <x:v>86.905</x:v>
      </x:c>
      <x:c r="J219" s="127" t="n">
        <x:v>78.18</x:v>
      </x:c>
      <x:c r="K219" s="127" t="n">
        <x:v>77.46</x:v>
      </x:c>
      <x:c r="L219" s="127" t="n">
        <x:f>H219*I219/100</x:f>
        <x:v>0.022094491525423733</x:v>
      </x:c>
      <x:c r="M219" s="127" t="n">
        <x:f>H219*J219/100</x:f>
        <x:v>0.019876271186440683</x:v>
      </x:c>
      <x:c r="N219" s="127" t="n">
        <x:f>H219*K219/100</x:f>
        <x:v>0.01969322033898305</x:v>
      </x:c>
      <x:c r="O219" t="str">
        <x:v>Lee et al. 2022, IJAA 60:106679, Table 3</x:v>
      </x:c>
    </x:row>
    <x:row r="220">
      <x:c r="A220" t="str">
        <x:v>LEE2022_OXA_KP</x:v>
      </x:c>
      <x:c r="B220" t="str">
        <x:v>PRIMARY</x:v>
      </x:c>
      <x:c r="C220" t="str">
        <x:v>R11</x:v>
      </x:c>
      <x:c r="D220" t="str">
        <x:v>91–120</x:v>
      </x:c>
      <x:c r="E220" t="n">
        <x:v>2.5</x:v>
      </x:c>
      <x:c r="F220" t="n">
        <x:v>8</x:v>
      </x:c>
      <x:c r="G220" t="n">
        <x:v>8</x:v>
      </x:c>
      <x:c r="H220" s="127" t="n">
        <x:f>MIC_Harmonized!G22</x:f>
        <x:v>0.00423728813559322</x:v>
      </x:c>
      <x:c r="I220" s="127" t="n">
        <x:v>50.690000000000005</x:v>
      </x:c>
      <x:c r="J220" s="127" t="n">
        <x:v>78.18</x:v>
      </x:c>
      <x:c r="K220" s="127" t="n">
        <x:v>50.665000000000006</x:v>
      </x:c>
      <x:c r="L220" s="127" t="n">
        <x:f>H220*I220/100</x:f>
        <x:v>0.0021478813559322033</x:v>
      </x:c>
      <x:c r="M220" s="127" t="n">
        <x:f>H220*J220/100</x:f>
        <x:v>0.00331271186440678</x:v>
      </x:c>
      <x:c r="N220" s="127" t="n">
        <x:f>H220*K220/100</x:f>
        <x:v>0.0021468220338983057</x:v>
      </x:c>
      <x:c r="O220" t="str">
        <x:v>Lee et al. 2022, IJAA 60:106679, Table 3</x:v>
      </x:c>
    </x:row>
    <x:row r="221">
      <x:c r="A221" t="str">
        <x:v>LEE2022_OXA_KP</x:v>
      </x:c>
      <x:c r="B221" t="str">
        <x:v>PRIMARY</x:v>
      </x:c>
      <x:c r="C221" t="str">
        <x:v>R11</x:v>
      </x:c>
      <x:c r="D221" t="str">
        <x:v>91–120</x:v>
      </x:c>
      <x:c r="E221" t="n">
        <x:v>2.5</x:v>
      </x:c>
      <x:c r="F221" t="n">
        <x:v>8</x:v>
      </x:c>
      <x:c r="G221" t="n">
        <x:v>16</x:v>
      </x:c>
      <x:c r="H221" s="127" t="n">
        <x:f>MIC_Harmonized!G23</x:f>
        <x:v>0</x:v>
      </x:c>
      <x:c r="I221" s="127" t="n">
        <x:v>13.469999999999999</x:v>
      </x:c>
      <x:c r="J221" s="127" t="n">
        <x:v>78.18</x:v>
      </x:c>
      <x:c r="K221" s="127" t="n">
        <x:v>13.469999999999999</x:v>
      </x:c>
      <x:c r="L221" s="127" t="n">
        <x:f>H221*I221/100</x:f>
        <x:v>0</x:v>
      </x:c>
      <x:c r="M221" s="127" t="n">
        <x:f>H221*J221/100</x:f>
        <x:v>0</x:v>
      </x:c>
      <x:c r="N221" s="127" t="n">
        <x:f>H221*K221/100</x:f>
        <x:v>0</x:v>
      </x:c>
      <x:c r="O221" t="str">
        <x:v>Lee et al. 2022, IJAA 60:106679, Table 3</x:v>
      </x:c>
    </x:row>
    <x:row r="222">
      <x:c r="A222" t="str">
        <x:v>LEE2022_OXA_KP</x:v>
      </x:c>
      <x:c r="B222" t="str">
        <x:v>PRIMARY</x:v>
      </x:c>
      <x:c r="C222" t="str">
        <x:v>R11</x:v>
      </x:c>
      <x:c r="D222" t="str">
        <x:v>91–120</x:v>
      </x:c>
      <x:c r="E222" t="n">
        <x:v>2.5</x:v>
      </x:c>
      <x:c r="F222" t="n">
        <x:v>8</x:v>
      </x:c>
      <x:c r="G222" t="n">
        <x:v>32</x:v>
      </x:c>
      <x:c r="H222" s="127" t="n">
        <x:f>MIC_Harmonized!G24</x:f>
        <x:v>0.00423728813559322</x:v>
      </x:c>
      <x:c r="I222" s="127" t="n">
        <x:v>1.29</x:v>
      </x:c>
      <x:c r="J222" s="127" t="n">
        <x:v>78.18</x:v>
      </x:c>
      <x:c r="K222" s="127" t="n">
        <x:v>1.29</x:v>
      </x:c>
      <x:c r="L222" s="127" t="n">
        <x:f>H222*I222/100</x:f>
        <x:v>0.00005466101694915255</x:v>
      </x:c>
      <x:c r="M222" s="127" t="n">
        <x:f>H222*J222/100</x:f>
        <x:v>0.00331271186440678</x:v>
      </x:c>
      <x:c r="N222" s="127" t="n">
        <x:f>H222*K222/100</x:f>
        <x:v>0.00005466101694915255</x:v>
      </x:c>
      <x:c r="O222" t="str">
        <x:v>Lee et al. 2022, IJAA 60:106679, Table 3</x:v>
      </x:c>
    </x:row>
    <x:row r="223">
      <x:c r="A223" t="str">
        <x:v>LEE2022_OXA_KP</x:v>
      </x:c>
      <x:c r="B223" t="str">
        <x:v>PRIMARY</x:v>
      </x:c>
      <x:c r="C223" t="str">
        <x:v>R11</x:v>
      </x:c>
      <x:c r="D223" t="str">
        <x:v>91–120</x:v>
      </x:c>
      <x:c r="E223" t="n">
        <x:v>2.5</x:v>
      </x:c>
      <x:c r="F223" t="n">
        <x:v>8</x:v>
      </x:c>
      <x:c r="G223" t="n">
        <x:v>64</x:v>
      </x:c>
      <x:c r="H223" s="127" t="n">
        <x:f>MIC_Harmonized!G25</x:f>
        <x:v>0.00847457627118644</x:v>
      </x:c>
      <x:c r="I223" s="127" t="n">
        <x:v>0.015</x:v>
      </x:c>
      <x:c r="J223" s="127" t="n">
        <x:v>78.18</x:v>
      </x:c>
      <x:c r="K223" s="127" t="n">
        <x:v>0.015</x:v>
      </x:c>
      <x:c r="L223" s="127" t="n">
        <x:f>H223*I223/100</x:f>
        <x:v>0.0000012711864406779662</x:v>
      </x:c>
      <x:c r="M223" s="127" t="n">
        <x:f>H223*J223/100</x:f>
        <x:v>0.00662542372881356</x:v>
      </x:c>
      <x:c r="N223" s="127" t="n">
        <x:f>H223*K223/100</x:f>
        <x:v>0.0000012711864406779662</x:v>
      </x:c>
      <x:c r="O223" t="str">
        <x:v>Lee et al. 2022, IJAA 60:106679, Table 3</x:v>
      </x:c>
    </x:row>
    <x:row r="224">
      <x:c r="A224" t="str">
        <x:v>LEE2022_OXA_KP</x:v>
      </x:c>
      <x:c r="B224" t="str">
        <x:v>PRIMARY</x:v>
      </x:c>
      <x:c r="C224" t="str">
        <x:v>R12</x:v>
      </x:c>
      <x:c r="D224" t="str">
        <x:v>91–120</x:v>
      </x:c>
      <x:c r="E224" t="n">
        <x:v>2.5</x:v>
      </x:c>
      <x:c r="F224" t="n">
        <x:v>6</x:v>
      </x:c>
      <x:c r="G224" t="n">
        <x:v>0.0625</x:v>
      </x:c>
      <x:c r="H224" s="127" t="n">
        <x:f>MIC_Harmonized!G15</x:f>
        <x:v>0</x:v>
      </x:c>
      <x:c r="I224" s="127" t="n">
        <x:v>100</x:v>
      </x:c>
      <x:c r="J224" s="127" t="n">
        <x:v>88.46000000000001</x:v>
      </x:c>
      <x:c r="K224" s="127" t="n">
        <x:v>88.46000000000001</x:v>
      </x:c>
      <x:c r="L224" s="127" t="n">
        <x:f>H224*I224/100</x:f>
        <x:v>0</x:v>
      </x:c>
      <x:c r="M224" s="127" t="n">
        <x:f>H224*J224/100</x:f>
        <x:v>0</x:v>
      </x:c>
      <x:c r="N224" s="127" t="n">
        <x:f>H224*K224/100</x:f>
        <x:v>0</x:v>
      </x:c>
      <x:c r="O224" t="str">
        <x:v>Lee et al. 2022, IJAA 60:106679, Table 3</x:v>
      </x:c>
    </x:row>
    <x:row r="225">
      <x:c r="A225" t="str">
        <x:v>LEE2022_OXA_KP</x:v>
      </x:c>
      <x:c r="B225" t="str">
        <x:v>PRIMARY</x:v>
      </x:c>
      <x:c r="C225" t="str">
        <x:v>R12</x:v>
      </x:c>
      <x:c r="D225" t="str">
        <x:v>91–120</x:v>
      </x:c>
      <x:c r="E225" t="n">
        <x:v>2.5</x:v>
      </x:c>
      <x:c r="F225" t="n">
        <x:v>6</x:v>
      </x:c>
      <x:c r="G225" t="n">
        <x:v>0.125</x:v>
      </x:c>
      <x:c r="H225" s="127" t="n">
        <x:f>MIC_Harmonized!G16</x:f>
        <x:v>0</x:v>
      </x:c>
      <x:c r="I225" s="127" t="n">
        <x:v>100</x:v>
      </x:c>
      <x:c r="J225" s="127" t="n">
        <x:v>88.46000000000001</x:v>
      </x:c>
      <x:c r="K225" s="127" t="n">
        <x:v>88.46000000000001</x:v>
      </x:c>
      <x:c r="L225" s="127" t="n">
        <x:f>H225*I225/100</x:f>
        <x:v>0</x:v>
      </x:c>
      <x:c r="M225" s="127" t="n">
        <x:f>H225*J225/100</x:f>
        <x:v>0</x:v>
      </x:c>
      <x:c r="N225" s="127" t="n">
        <x:f>H225*K225/100</x:f>
        <x:v>0</x:v>
      </x:c>
      <x:c r="O225" t="str">
        <x:v>Lee et al. 2022, IJAA 60:106679, Table 3</x:v>
      </x:c>
    </x:row>
    <x:row r="226">
      <x:c r="A226" t="str">
        <x:v>LEE2022_OXA_KP</x:v>
      </x:c>
      <x:c r="B226" t="str">
        <x:v>PRIMARY</x:v>
      </x:c>
      <x:c r="C226" t="str">
        <x:v>R12</x:v>
      </x:c>
      <x:c r="D226" t="str">
        <x:v>91–120</x:v>
      </x:c>
      <x:c r="E226" t="n">
        <x:v>2.5</x:v>
      </x:c>
      <x:c r="F226" t="n">
        <x:v>6</x:v>
      </x:c>
      <x:c r="G226" t="n">
        <x:v>0.25</x:v>
      </x:c>
      <x:c r="H226" s="127" t="n">
        <x:f>MIC_Harmonized!G17</x:f>
        <x:v>0.038135593220338986</x:v>
      </x:c>
      <x:c r="I226" s="127" t="n">
        <x:v>100</x:v>
      </x:c>
      <x:c r="J226" s="127" t="n">
        <x:v>88.46000000000001</x:v>
      </x:c>
      <x:c r="K226" s="127" t="n">
        <x:v>88.46000000000001</x:v>
      </x:c>
      <x:c r="L226" s="127" t="n">
        <x:f>H226*I226/100</x:f>
        <x:v>0.038135593220338986</x:v>
      </x:c>
      <x:c r="M226" s="127" t="n">
        <x:f>H226*J226/100</x:f>
        <x:v>0.03373474576271187</x:v>
      </x:c>
      <x:c r="N226" s="127" t="n">
        <x:f>H226*K226/100</x:f>
        <x:v>0.03373474576271187</x:v>
      </x:c>
      <x:c r="O226" t="str">
        <x:v>Lee et al. 2022, IJAA 60:106679, Table 3</x:v>
      </x:c>
    </x:row>
    <x:row r="227">
      <x:c r="A227" t="str">
        <x:v>LEE2022_OXA_KP</x:v>
      </x:c>
      <x:c r="B227" t="str">
        <x:v>PRIMARY</x:v>
      </x:c>
      <x:c r="C227" t="str">
        <x:v>R12</x:v>
      </x:c>
      <x:c r="D227" t="str">
        <x:v>91–120</x:v>
      </x:c>
      <x:c r="E227" t="n">
        <x:v>2.5</x:v>
      </x:c>
      <x:c r="F227" t="n">
        <x:v>6</x:v>
      </x:c>
      <x:c r="G227" t="n">
        <x:v>0.5</x:v>
      </x:c>
      <x:c r="H227" s="127" t="n">
        <x:f>MIC_Harmonized!G18</x:f>
        <x:v>0.18220338983050846</x:v>
      </x:c>
      <x:c r="I227" s="127" t="n">
        <x:v>100</x:v>
      </x:c>
      <x:c r="J227" s="127" t="n">
        <x:v>88.46000000000001</x:v>
      </x:c>
      <x:c r="K227" s="127" t="n">
        <x:v>88.46000000000001</x:v>
      </x:c>
      <x:c r="L227" s="127" t="n">
        <x:f>H227*I227/100</x:f>
        <x:v>0.1822033898305085</x:v>
      </x:c>
      <x:c r="M227" s="127" t="n">
        <x:f>H227*J227/100</x:f>
        <x:v>0.16117711864406778</x:v>
      </x:c>
      <x:c r="N227" s="127" t="n">
        <x:f>H227*K227/100</x:f>
        <x:v>0.16117711864406778</x:v>
      </x:c>
      <x:c r="O227" t="str">
        <x:v>Lee et al. 2022, IJAA 60:106679, Table 3</x:v>
      </x:c>
    </x:row>
    <x:row r="228">
      <x:c r="A228" t="str">
        <x:v>LEE2022_OXA_KP</x:v>
      </x:c>
      <x:c r="B228" t="str">
        <x:v>PRIMARY</x:v>
      </x:c>
      <x:c r="C228" t="str">
        <x:v>R12</x:v>
      </x:c>
      <x:c r="D228" t="str">
        <x:v>91–120</x:v>
      </x:c>
      <x:c r="E228" t="n">
        <x:v>2.5</x:v>
      </x:c>
      <x:c r="F228" t="n">
        <x:v>6</x:v>
      </x:c>
      <x:c r="G228" t="n">
        <x:v>1</x:v>
      </x:c>
      <x:c r="H228" s="127" t="n">
        <x:f>MIC_Harmonized!G19</x:f>
        <x:v>0.5254237288135594</x:v>
      </x:c>
      <x:c r="I228" s="127" t="n">
        <x:v>99.99</x:v>
      </x:c>
      <x:c r="J228" s="127" t="n">
        <x:v>88.46000000000001</x:v>
      </x:c>
      <x:c r="K228" s="127" t="n">
        <x:v>88.46000000000001</x:v>
      </x:c>
      <x:c r="L228" s="127" t="n">
        <x:f>H228*I228/100</x:f>
        <x:v>0.5253711864406779</x:v>
      </x:c>
      <x:c r="M228" s="127" t="n">
        <x:f>H228*J228/100</x:f>
        <x:v>0.46478983050847467</x:v>
      </x:c>
      <x:c r="N228" s="127" t="n">
        <x:f>H228*K228/100</x:f>
        <x:v>0.46478983050847467</x:v>
      </x:c>
      <x:c r="O228" t="str">
        <x:v>Lee et al. 2022, IJAA 60:106679, Table 3</x:v>
      </x:c>
    </x:row>
    <x:row r="229">
      <x:c r="A229" t="str">
        <x:v>LEE2022_OXA_KP</x:v>
      </x:c>
      <x:c r="B229" t="str">
        <x:v>PRIMARY</x:v>
      </x:c>
      <x:c r="C229" t="str">
        <x:v>R12</x:v>
      </x:c>
      <x:c r="D229" t="str">
        <x:v>91–120</x:v>
      </x:c>
      <x:c r="E229" t="n">
        <x:v>2.5</x:v>
      </x:c>
      <x:c r="F229" t="n">
        <x:v>6</x:v>
      </x:c>
      <x:c r="G229" t="n">
        <x:v>2</x:v>
      </x:c>
      <x:c r="H229" s="127" t="n">
        <x:f>MIC_Harmonized!G20</x:f>
        <x:v>0.211864406779661</x:v>
      </x:c>
      <x:c r="I229" s="127" t="n">
        <x:v>99.68</x:v>
      </x:c>
      <x:c r="J229" s="127" t="n">
        <x:v>88.46000000000001</x:v>
      </x:c>
      <x:c r="K229" s="127" t="n">
        <x:v>88.46000000000001</x:v>
      </x:c>
      <x:c r="L229" s="127" t="n">
        <x:f>H229*I229/100</x:f>
        <x:v>0.2111864406779661</x:v>
      </x:c>
      <x:c r="M229" s="127" t="n">
        <x:f>H229*J229/100</x:f>
        <x:v>0.18741525423728814</x:v>
      </x:c>
      <x:c r="N229" s="127" t="n">
        <x:f>H229*K229/100</x:f>
        <x:v>0.18741525423728814</x:v>
      </x:c>
      <x:c r="O229" t="str">
        <x:v>Lee et al. 2022, IJAA 60:106679, Table 3</x:v>
      </x:c>
    </x:row>
    <x:row r="230">
      <x:c r="A230" t="str">
        <x:v>LEE2022_OXA_KP</x:v>
      </x:c>
      <x:c r="B230" t="str">
        <x:v>PRIMARY</x:v>
      </x:c>
      <x:c r="C230" t="str">
        <x:v>R12</x:v>
      </x:c>
      <x:c r="D230" t="str">
        <x:v>91–120</x:v>
      </x:c>
      <x:c r="E230" t="n">
        <x:v>2.5</x:v>
      </x:c>
      <x:c r="F230" t="n">
        <x:v>6</x:v>
      </x:c>
      <x:c r="G230" t="n">
        <x:v>4</x:v>
      </x:c>
      <x:c r="H230" s="127" t="n">
        <x:f>MIC_Harmonized!G21</x:f>
        <x:v>0.025423728813559324</x:v>
      </x:c>
      <x:c r="I230" s="127" t="n">
        <x:v>94.405</x:v>
      </x:c>
      <x:c r="J230" s="127" t="n">
        <x:v>88.46000000000001</x:v>
      </x:c>
      <x:c r="K230" s="127" t="n">
        <x:v>88.07000000000001</x:v>
      </x:c>
      <x:c r="L230" s="127" t="n">
        <x:f>H230*I230/100</x:f>
        <x:v>0.024001271186440677</x:v>
      </x:c>
      <x:c r="M230" s="127" t="n">
        <x:f>H230*J230/100</x:f>
        <x:v>0.022489830508474577</x:v>
      </x:c>
      <x:c r="N230" s="127" t="n">
        <x:f>H230*K230/100</x:f>
        <x:v>0.022390677966101696</x:v>
      </x:c>
      <x:c r="O230" t="str">
        <x:v>Lee et al. 2022, IJAA 60:106679, Table 3</x:v>
      </x:c>
    </x:row>
    <x:row r="231">
      <x:c r="A231" t="str">
        <x:v>LEE2022_OXA_KP</x:v>
      </x:c>
      <x:c r="B231" t="str">
        <x:v>PRIMARY</x:v>
      </x:c>
      <x:c r="C231" t="str">
        <x:v>R12</x:v>
      </x:c>
      <x:c r="D231" t="str">
        <x:v>91–120</x:v>
      </x:c>
      <x:c r="E231" t="n">
        <x:v>2.5</x:v>
      </x:c>
      <x:c r="F231" t="n">
        <x:v>6</x:v>
      </x:c>
      <x:c r="G231" t="n">
        <x:v>8</x:v>
      </x:c>
      <x:c r="H231" s="127" t="n">
        <x:f>MIC_Harmonized!G22</x:f>
        <x:v>0.00423728813559322</x:v>
      </x:c>
      <x:c r="I231" s="127" t="n">
        <x:v>68.11500000000001</x:v>
      </x:c>
      <x:c r="J231" s="127" t="n">
        <x:v>88.46000000000001</x:v>
      </x:c>
      <x:c r="K231" s="127" t="n">
        <x:v>68.045</x:v>
      </x:c>
      <x:c r="L231" s="127" t="n">
        <x:f>H231*I231/100</x:f>
        <x:v>0.002886228813559322</x:v>
      </x:c>
      <x:c r="M231" s="127" t="n">
        <x:f>H231*J231/100</x:f>
        <x:v>0.0037483050847457633</x:v>
      </x:c>
      <x:c r="N231" s="127" t="n">
        <x:f>H231*K231/100</x:f>
        <x:v>0.0028832627118644065</x:v>
      </x:c>
      <x:c r="O231" t="str">
        <x:v>Lee et al. 2022, IJAA 60:106679, Table 3</x:v>
      </x:c>
    </x:row>
    <x:row r="232">
      <x:c r="A232" t="str">
        <x:v>LEE2022_OXA_KP</x:v>
      </x:c>
      <x:c r="B232" t="str">
        <x:v>PRIMARY</x:v>
      </x:c>
      <x:c r="C232" t="str">
        <x:v>R12</x:v>
      </x:c>
      <x:c r="D232" t="str">
        <x:v>91–120</x:v>
      </x:c>
      <x:c r="E232" t="n">
        <x:v>2.5</x:v>
      </x:c>
      <x:c r="F232" t="n">
        <x:v>6</x:v>
      </x:c>
      <x:c r="G232" t="n">
        <x:v>16</x:v>
      </x:c>
      <x:c r="H232" s="127" t="n">
        <x:f>MIC_Harmonized!G23</x:f>
        <x:v>0</x:v>
      </x:c>
      <x:c r="I232" s="127" t="n">
        <x:v>26.174999999999997</x:v>
      </x:c>
      <x:c r="J232" s="127" t="n">
        <x:v>88.46000000000001</x:v>
      </x:c>
      <x:c r="K232" s="127" t="n">
        <x:v>26.174999999999997</x:v>
      </x:c>
      <x:c r="L232" s="127" t="n">
        <x:f>H232*I232/100</x:f>
        <x:v>0</x:v>
      </x:c>
      <x:c r="M232" s="127" t="n">
        <x:f>H232*J232/100</x:f>
        <x:v>0</x:v>
      </x:c>
      <x:c r="N232" s="127" t="n">
        <x:f>H232*K232/100</x:f>
        <x:v>0</x:v>
      </x:c>
      <x:c r="O232" t="str">
        <x:v>Lee et al. 2022, IJAA 60:106679, Table 3</x:v>
      </x:c>
    </x:row>
    <x:row r="233">
      <x:c r="A233" t="str">
        <x:v>LEE2022_OXA_KP</x:v>
      </x:c>
      <x:c r="B233" t="str">
        <x:v>PRIMARY</x:v>
      </x:c>
      <x:c r="C233" t="str">
        <x:v>R12</x:v>
      </x:c>
      <x:c r="D233" t="str">
        <x:v>91–120</x:v>
      </x:c>
      <x:c r="E233" t="n">
        <x:v>2.5</x:v>
      </x:c>
      <x:c r="F233" t="n">
        <x:v>6</x:v>
      </x:c>
      <x:c r="G233" t="n">
        <x:v>32</x:v>
      </x:c>
      <x:c r="H233" s="127" t="n">
        <x:f>MIC_Harmonized!G24</x:f>
        <x:v>0.00423728813559322</x:v>
      </x:c>
      <x:c r="I233" s="127" t="n">
        <x:v>3.7800000000000002</x:v>
      </x:c>
      <x:c r="J233" s="127" t="n">
        <x:v>88.46000000000001</x:v>
      </x:c>
      <x:c r="K233" s="127" t="n">
        <x:v>3.7800000000000002</x:v>
      </x:c>
      <x:c r="L233" s="127" t="n">
        <x:f>H233*I233/100</x:f>
        <x:v>0.00016016949152542373</x:v>
      </x:c>
      <x:c r="M233" s="127" t="n">
        <x:f>H233*J233/100</x:f>
        <x:v>0.0037483050847457633</x:v>
      </x:c>
      <x:c r="N233" s="127" t="n">
        <x:f>H233*K233/100</x:f>
        <x:v>0.00016016949152542373</x:v>
      </x:c>
      <x:c r="O233" t="str">
        <x:v>Lee et al. 2022, IJAA 60:106679, Table 3</x:v>
      </x:c>
    </x:row>
    <x:row r="234">
      <x:c r="A234" t="str">
        <x:v>LEE2022_OXA_KP</x:v>
      </x:c>
      <x:c r="B234" t="str">
        <x:v>PRIMARY</x:v>
      </x:c>
      <x:c r="C234" t="str">
        <x:v>R12</x:v>
      </x:c>
      <x:c r="D234" t="str">
        <x:v>91–120</x:v>
      </x:c>
      <x:c r="E234" t="n">
        <x:v>2.5</x:v>
      </x:c>
      <x:c r="F234" t="n">
        <x:v>6</x:v>
      </x:c>
      <x:c r="G234" t="n">
        <x:v>64</x:v>
      </x:c>
      <x:c r="H234" s="127" t="n">
        <x:f>MIC_Harmonized!G25</x:f>
        <x:v>0.00847457627118644</x:v>
      </x:c>
      <x:c r="I234" s="127" t="n">
        <x:v>0.2</x:v>
      </x:c>
      <x:c r="J234" s="127" t="n">
        <x:v>88.46000000000001</x:v>
      </x:c>
      <x:c r="K234" s="127" t="n">
        <x:v>0.2</x:v>
      </x:c>
      <x:c r="L234" s="127" t="n">
        <x:f>H234*I234/100</x:f>
        <x:v>0.000016949152542372885</x:v>
      </x:c>
      <x:c r="M234" s="127" t="n">
        <x:f>H234*J234/100</x:f>
        <x:v>0.007496610169491527</x:v>
      </x:c>
      <x:c r="N234" s="127" t="n">
        <x:f>H234*K234/100</x:f>
        <x:v>0.000016949152542372885</x:v>
      </x:c>
      <x:c r="O234" t="str">
        <x:v>Lee et al. 2022, IJAA 60:106679, Table 3</x:v>
      </x:c>
    </x:row>
    <x:row r="235">
      <x:c r="A235" t="str">
        <x:v>LEE2022_OXA_KP</x:v>
      </x:c>
      <x:c r="B235" t="str">
        <x:v>PRIMARY</x:v>
      </x:c>
      <x:c r="C235" t="str">
        <x:v>R13</x:v>
      </x:c>
      <x:c r="D235" t="str">
        <x:v>121–150</x:v>
      </x:c>
      <x:c r="E235" t="n">
        <x:v>2.5</x:v>
      </x:c>
      <x:c r="F235" t="n">
        <x:v>6</x:v>
      </x:c>
      <x:c r="G235" t="n">
        <x:v>0.0625</x:v>
      </x:c>
      <x:c r="H235" s="127" t="n">
        <x:f>MIC_Harmonized!G15</x:f>
        <x:v>0</x:v>
      </x:c>
      <x:c r="I235" s="127" t="n">
        <x:v>100</x:v>
      </x:c>
      <x:c r="J235" s="127" t="n">
        <x:v>81.245</x:v>
      </x:c>
      <x:c r="K235" s="127" t="n">
        <x:v>81.245</x:v>
      </x:c>
      <x:c r="L235" s="127" t="n">
        <x:f>H235*I235/100</x:f>
        <x:v>0</x:v>
      </x:c>
      <x:c r="M235" s="127" t="n">
        <x:f>H235*J235/100</x:f>
        <x:v>0</x:v>
      </x:c>
      <x:c r="N235" s="127" t="n">
        <x:f>H235*K235/100</x:f>
        <x:v>0</x:v>
      </x:c>
      <x:c r="O235" t="str">
        <x:v>Lee et al. 2022, IJAA 60:106679, Table 3</x:v>
      </x:c>
    </x:row>
    <x:row r="236">
      <x:c r="A236" t="str">
        <x:v>LEE2022_OXA_KP</x:v>
      </x:c>
      <x:c r="B236" t="str">
        <x:v>PRIMARY</x:v>
      </x:c>
      <x:c r="C236" t="str">
        <x:v>R13</x:v>
      </x:c>
      <x:c r="D236" t="str">
        <x:v>121–150</x:v>
      </x:c>
      <x:c r="E236" t="n">
        <x:v>2.5</x:v>
      </x:c>
      <x:c r="F236" t="n">
        <x:v>6</x:v>
      </x:c>
      <x:c r="G236" t="n">
        <x:v>0.125</x:v>
      </x:c>
      <x:c r="H236" s="127" t="n">
        <x:f>MIC_Harmonized!G16</x:f>
        <x:v>0</x:v>
      </x:c>
      <x:c r="I236" s="127" t="n">
        <x:v>100</x:v>
      </x:c>
      <x:c r="J236" s="127" t="n">
        <x:v>81.245</x:v>
      </x:c>
      <x:c r="K236" s="127" t="n">
        <x:v>81.245</x:v>
      </x:c>
      <x:c r="L236" s="127" t="n">
        <x:f>H236*I236/100</x:f>
        <x:v>0</x:v>
      </x:c>
      <x:c r="M236" s="127" t="n">
        <x:f>H236*J236/100</x:f>
        <x:v>0</x:v>
      </x:c>
      <x:c r="N236" s="127" t="n">
        <x:f>H236*K236/100</x:f>
        <x:v>0</x:v>
      </x:c>
      <x:c r="O236" t="str">
        <x:v>Lee et al. 2022, IJAA 60:106679, Table 3</x:v>
      </x:c>
    </x:row>
    <x:row r="237">
      <x:c r="A237" t="str">
        <x:v>LEE2022_OXA_KP</x:v>
      </x:c>
      <x:c r="B237" t="str">
        <x:v>PRIMARY</x:v>
      </x:c>
      <x:c r="C237" t="str">
        <x:v>R13</x:v>
      </x:c>
      <x:c r="D237" t="str">
        <x:v>121–150</x:v>
      </x:c>
      <x:c r="E237" t="n">
        <x:v>2.5</x:v>
      </x:c>
      <x:c r="F237" t="n">
        <x:v>6</x:v>
      </x:c>
      <x:c r="G237" t="n">
        <x:v>0.25</x:v>
      </x:c>
      <x:c r="H237" s="127" t="n">
        <x:f>MIC_Harmonized!G17</x:f>
        <x:v>0.038135593220338986</x:v>
      </x:c>
      <x:c r="I237" s="127" t="n">
        <x:v>100</x:v>
      </x:c>
      <x:c r="J237" s="127" t="n">
        <x:v>81.245</x:v>
      </x:c>
      <x:c r="K237" s="127" t="n">
        <x:v>81.245</x:v>
      </x:c>
      <x:c r="L237" s="127" t="n">
        <x:f>H237*I237/100</x:f>
        <x:v>0.038135593220338986</x:v>
      </x:c>
      <x:c r="M237" s="127" t="n">
        <x:f>H237*J237/100</x:f>
        <x:v>0.03098326271186441</x:v>
      </x:c>
      <x:c r="N237" s="127" t="n">
        <x:f>H237*K237/100</x:f>
        <x:v>0.03098326271186441</x:v>
      </x:c>
      <x:c r="O237" t="str">
        <x:v>Lee et al. 2022, IJAA 60:106679, Table 3</x:v>
      </x:c>
    </x:row>
    <x:row r="238">
      <x:c r="A238" t="str">
        <x:v>LEE2022_OXA_KP</x:v>
      </x:c>
      <x:c r="B238" t="str">
        <x:v>PRIMARY</x:v>
      </x:c>
      <x:c r="C238" t="str">
        <x:v>R13</x:v>
      </x:c>
      <x:c r="D238" t="str">
        <x:v>121–150</x:v>
      </x:c>
      <x:c r="E238" t="n">
        <x:v>2.5</x:v>
      </x:c>
      <x:c r="F238" t="n">
        <x:v>6</x:v>
      </x:c>
      <x:c r="G238" t="n">
        <x:v>0.5</x:v>
      </x:c>
      <x:c r="H238" s="127" t="n">
        <x:f>MIC_Harmonized!G18</x:f>
        <x:v>0.18220338983050846</x:v>
      </x:c>
      <x:c r="I238" s="127" t="n">
        <x:v>100</x:v>
      </x:c>
      <x:c r="J238" s="127" t="n">
        <x:v>81.245</x:v>
      </x:c>
      <x:c r="K238" s="127" t="n">
        <x:v>81.245</x:v>
      </x:c>
      <x:c r="L238" s="127" t="n">
        <x:f>H238*I238/100</x:f>
        <x:v>0.1822033898305085</x:v>
      </x:c>
      <x:c r="M238" s="127" t="n">
        <x:f>H238*J238/100</x:f>
        <x:v>0.1480311440677966</x:v>
      </x:c>
      <x:c r="N238" s="127" t="n">
        <x:f>H238*K238/100</x:f>
        <x:v>0.1480311440677966</x:v>
      </x:c>
      <x:c r="O238" t="str">
        <x:v>Lee et al. 2022, IJAA 60:106679, Table 3</x:v>
      </x:c>
    </x:row>
    <x:row r="239">
      <x:c r="A239" t="str">
        <x:v>LEE2022_OXA_KP</x:v>
      </x:c>
      <x:c r="B239" t="str">
        <x:v>PRIMARY</x:v>
      </x:c>
      <x:c r="C239" t="str">
        <x:v>R13</x:v>
      </x:c>
      <x:c r="D239" t="str">
        <x:v>121–150</x:v>
      </x:c>
      <x:c r="E239" t="n">
        <x:v>2.5</x:v>
      </x:c>
      <x:c r="F239" t="n">
        <x:v>6</x:v>
      </x:c>
      <x:c r="G239" t="n">
        <x:v>1</x:v>
      </x:c>
      <x:c r="H239" s="127" t="n">
        <x:f>MIC_Harmonized!G19</x:f>
        <x:v>0.5254237288135594</x:v>
      </x:c>
      <x:c r="I239" s="127" t="n">
        <x:v>99.985</x:v>
      </x:c>
      <x:c r="J239" s="127" t="n">
        <x:v>81.245</x:v>
      </x:c>
      <x:c r="K239" s="127" t="n">
        <x:v>81.245</x:v>
      </x:c>
      <x:c r="L239" s="127" t="n">
        <x:f>H239*I239/100</x:f>
        <x:v>0.5253449152542373</x:v>
      </x:c>
      <x:c r="M239" s="127" t="n">
        <x:f>H239*J239/100</x:f>
        <x:v>0.4268805084745763</x:v>
      </x:c>
      <x:c r="N239" s="127" t="n">
        <x:f>H239*K239/100</x:f>
        <x:v>0.4268805084745763</x:v>
      </x:c>
      <x:c r="O239" t="str">
        <x:v>Lee et al. 2022, IJAA 60:106679, Table 3</x:v>
      </x:c>
    </x:row>
    <x:row r="240">
      <x:c r="A240" t="str">
        <x:v>LEE2022_OXA_KP</x:v>
      </x:c>
      <x:c r="B240" t="str">
        <x:v>PRIMARY</x:v>
      </x:c>
      <x:c r="C240" t="str">
        <x:v>R13</x:v>
      </x:c>
      <x:c r="D240" t="str">
        <x:v>121–150</x:v>
      </x:c>
      <x:c r="E240" t="n">
        <x:v>2.5</x:v>
      </x:c>
      <x:c r="F240" t="n">
        <x:v>6</x:v>
      </x:c>
      <x:c r="G240" t="n">
        <x:v>2</x:v>
      </x:c>
      <x:c r="H240" s="127" t="n">
        <x:f>MIC_Harmonized!G20</x:f>
        <x:v>0.211864406779661</x:v>
      </x:c>
      <x:c r="I240" s="127" t="n">
        <x:v>99.18</x:v>
      </x:c>
      <x:c r="J240" s="127" t="n">
        <x:v>81.245</x:v>
      </x:c>
      <x:c r="K240" s="127" t="n">
        <x:v>81.245</x:v>
      </x:c>
      <x:c r="L240" s="127" t="n">
        <x:f>H240*I240/100</x:f>
        <x:v>0.21012711864406777</x:v>
      </x:c>
      <x:c r="M240" s="127" t="n">
        <x:f>H240*J240/100</x:f>
        <x:v>0.17212923728813562</x:v>
      </x:c>
      <x:c r="N240" s="127" t="n">
        <x:f>H240*K240/100</x:f>
        <x:v>0.17212923728813562</x:v>
      </x:c>
      <x:c r="O240" t="str">
        <x:v>Lee et al. 2022, IJAA 60:106679, Table 3</x:v>
      </x:c>
    </x:row>
    <x:row r="241">
      <x:c r="A241" t="str">
        <x:v>LEE2022_OXA_KP</x:v>
      </x:c>
      <x:c r="B241" t="str">
        <x:v>PRIMARY</x:v>
      </x:c>
      <x:c r="C241" t="str">
        <x:v>R13</x:v>
      </x:c>
      <x:c r="D241" t="str">
        <x:v>121–150</x:v>
      </x:c>
      <x:c r="E241" t="n">
        <x:v>2.5</x:v>
      </x:c>
      <x:c r="F241" t="n">
        <x:v>6</x:v>
      </x:c>
      <x:c r="G241" t="n">
        <x:v>4</x:v>
      </x:c>
      <x:c r="H241" s="127" t="n">
        <x:f>MIC_Harmonized!G21</x:f>
        <x:v>0.025423728813559324</x:v>
      </x:c>
      <x:c r="I241" s="127" t="n">
        <x:v>90.425</x:v>
      </x:c>
      <x:c r="J241" s="127" t="n">
        <x:v>81.245</x:v>
      </x:c>
      <x:c r="K241" s="127" t="n">
        <x:v>80.805</x:v>
      </x:c>
      <x:c r="L241" s="127" t="n">
        <x:f>H241*I241/100</x:f>
        <x:v>0.02298940677966102</x:v>
      </x:c>
      <x:c r="M241" s="127" t="n">
        <x:f>H241*J241/100</x:f>
        <x:v>0.02065550847457627</x:v>
      </x:c>
      <x:c r="N241" s="127" t="n">
        <x:f>H241*K241/100</x:f>
        <x:v>0.020543644067796612</x:v>
      </x:c>
      <x:c r="O241" t="str">
        <x:v>Lee et al. 2022, IJAA 60:106679, Table 3</x:v>
      </x:c>
    </x:row>
    <x:row r="242">
      <x:c r="A242" t="str">
        <x:v>LEE2022_OXA_KP</x:v>
      </x:c>
      <x:c r="B242" t="str">
        <x:v>PRIMARY</x:v>
      </x:c>
      <x:c r="C242" t="str">
        <x:v>R13</x:v>
      </x:c>
      <x:c r="D242" t="str">
        <x:v>121–150</x:v>
      </x:c>
      <x:c r="E242" t="n">
        <x:v>2.5</x:v>
      </x:c>
      <x:c r="F242" t="n">
        <x:v>6</x:v>
      </x:c>
      <x:c r="G242" t="n">
        <x:v>8</x:v>
      </x:c>
      <x:c r="H242" s="127" t="n">
        <x:f>MIC_Harmonized!G22</x:f>
        <x:v>0.00423728813559322</x:v>
      </x:c>
      <x:c r="I242" s="127" t="n">
        <x:v>57.30499999999999</x:v>
      </x:c>
      <x:c r="J242" s="127" t="n">
        <x:v>81.245</x:v>
      </x:c>
      <x:c r="K242" s="127" t="n">
        <x:v>57.205</x:v>
      </x:c>
      <x:c r="L242" s="127" t="n">
        <x:f>H242*I242/100</x:f>
        <x:v>0.002428177966101695</x:v>
      </x:c>
      <x:c r="M242" s="127" t="n">
        <x:f>H242*J242/100</x:f>
        <x:v>0.003442584745762712</x:v>
      </x:c>
      <x:c r="N242" s="127" t="n">
        <x:f>H242*K242/100</x:f>
        <x:v>0.0024239406779661015</x:v>
      </x:c>
      <x:c r="O242" t="str">
        <x:v>Lee et al. 2022, IJAA 60:106679, Table 3</x:v>
      </x:c>
    </x:row>
    <x:row r="243">
      <x:c r="A243" t="str">
        <x:v>LEE2022_OXA_KP</x:v>
      </x:c>
      <x:c r="B243" t="str">
        <x:v>PRIMARY</x:v>
      </x:c>
      <x:c r="C243" t="str">
        <x:v>R13</x:v>
      </x:c>
      <x:c r="D243" t="str">
        <x:v>121–150</x:v>
      </x:c>
      <x:c r="E243" t="n">
        <x:v>2.5</x:v>
      </x:c>
      <x:c r="F243" t="n">
        <x:v>6</x:v>
      </x:c>
      <x:c r="G243" t="n">
        <x:v>16</x:v>
      </x:c>
      <x:c r="H243" s="127" t="n">
        <x:f>MIC_Harmonized!G23</x:f>
        <x:v>0</x:v>
      </x:c>
      <x:c r="I243" s="127" t="n">
        <x:v>17.7</x:v>
      </x:c>
      <x:c r="J243" s="127" t="n">
        <x:v>81.245</x:v>
      </x:c>
      <x:c r="K243" s="127" t="n">
        <x:v>17.7</x:v>
      </x:c>
      <x:c r="L243" s="127" t="n">
        <x:f>H243*I243/100</x:f>
        <x:v>0</x:v>
      </x:c>
      <x:c r="M243" s="127" t="n">
        <x:f>H243*J243/100</x:f>
        <x:v>0</x:v>
      </x:c>
      <x:c r="N243" s="127" t="n">
        <x:f>H243*K243/100</x:f>
        <x:v>0</x:v>
      </x:c>
      <x:c r="O243" t="str">
        <x:v>Lee et al. 2022, IJAA 60:106679, Table 3</x:v>
      </x:c>
    </x:row>
    <x:row r="244">
      <x:c r="A244" t="str">
        <x:v>LEE2022_OXA_KP</x:v>
      </x:c>
      <x:c r="B244" t="str">
        <x:v>PRIMARY</x:v>
      </x:c>
      <x:c r="C244" t="str">
        <x:v>R13</x:v>
      </x:c>
      <x:c r="D244" t="str">
        <x:v>121–150</x:v>
      </x:c>
      <x:c r="E244" t="n">
        <x:v>2.5</x:v>
      </x:c>
      <x:c r="F244" t="n">
        <x:v>6</x:v>
      </x:c>
      <x:c r="G244" t="n">
        <x:v>32</x:v>
      </x:c>
      <x:c r="H244" s="127" t="n">
        <x:f>MIC_Harmonized!G24</x:f>
        <x:v>0.00423728813559322</x:v>
      </x:c>
      <x:c r="I244" s="127" t="n">
        <x:v>2.105</x:v>
      </x:c>
      <x:c r="J244" s="127" t="n">
        <x:v>81.245</x:v>
      </x:c>
      <x:c r="K244" s="127" t="n">
        <x:v>2.105</x:v>
      </x:c>
      <x:c r="L244" s="127" t="n">
        <x:f>H244*I244/100</x:f>
        <x:v>0.00008919491525423728</x:v>
      </x:c>
      <x:c r="M244" s="127" t="n">
        <x:f>H244*J244/100</x:f>
        <x:v>0.003442584745762712</x:v>
      </x:c>
      <x:c r="N244" s="127" t="n">
        <x:f>H244*K244/100</x:f>
        <x:v>0.00008919491525423728</x:v>
      </x:c>
      <x:c r="O244" t="str">
        <x:v>Lee et al. 2022, IJAA 60:106679, Table 3</x:v>
      </x:c>
    </x:row>
    <x:row r="245">
      <x:c r="A245" t="str">
        <x:v>LEE2022_OXA_KP</x:v>
      </x:c>
      <x:c r="B245" t="str">
        <x:v>PRIMARY</x:v>
      </x:c>
      <x:c r="C245" t="str">
        <x:v>R13</x:v>
      </x:c>
      <x:c r="D245" t="str">
        <x:v>121–150</x:v>
      </x:c>
      <x:c r="E245" t="n">
        <x:v>2.5</x:v>
      </x:c>
      <x:c r="F245" t="n">
        <x:v>6</x:v>
      </x:c>
      <x:c r="G245" t="n">
        <x:v>64</x:v>
      </x:c>
      <x:c r="H245" s="127" t="n">
        <x:f>MIC_Harmonized!G25</x:f>
        <x:v>0.00847457627118644</x:v>
      </x:c>
      <x:c r="I245" s="127" t="n">
        <x:v>0.06</x:v>
      </x:c>
      <x:c r="J245" s="127" t="n">
        <x:v>81.245</x:v>
      </x:c>
      <x:c r="K245" s="127" t="n">
        <x:v>0.06</x:v>
      </x:c>
      <x:c r="L245" s="127" t="n">
        <x:f>H245*I245/100</x:f>
        <x:v>0.000005084745762711865</x:v>
      </x:c>
      <x:c r="M245" s="127" t="n">
        <x:f>H245*J245/100</x:f>
        <x:v>0.006885169491525424</x:v>
      </x:c>
      <x:c r="N245" s="127" t="n">
        <x:f>H245*K245/100</x:f>
        <x:v>0.000005084745762711865</x:v>
      </x:c>
      <x:c r="O245" t="str">
        <x:v>Lee et al. 2022, IJAA 60:106679, Table 3</x:v>
      </x:c>
    </x:row>
    <x:row r="246">
      <x:c r="A246" t="str">
        <x:v>INDIA2022_OXA48_KP</x:v>
      </x:c>
      <x:c r="B246" t="str">
        <x:v>SENSITIVITY_DONOR</x:v>
      </x:c>
      <x:c r="C246" t="str">
        <x:v>R1</x:v>
      </x:c>
      <x:c r="D246" t="str">
        <x:v>0–30</x:v>
      </x:c>
      <x:c r="E246" t="n">
        <x:v>0.625</x:v>
      </x:c>
      <x:c r="F246" t="n">
        <x:v>12</x:v>
      </x:c>
      <x:c r="G246" t="n">
        <x:v>0.0625</x:v>
      </x:c>
      <x:c r="H246" s="127" t="n">
        <x:f>MIC_Harmonized!G26</x:f>
        <x:v>0</x:v>
      </x:c>
      <x:c r="I246" s="127" t="n">
        <x:v>100</x:v>
      </x:c>
      <x:c r="J246" s="127" t="n">
        <x:v>74.88</x:v>
      </x:c>
      <x:c r="K246" s="127" t="n">
        <x:v>74.88</x:v>
      </x:c>
      <x:c r="L246" s="127" t="n">
        <x:f>H246*I246/100</x:f>
        <x:v>0</x:v>
      </x:c>
      <x:c r="M246" s="127" t="n">
        <x:f>H246*J246/100</x:f>
        <x:v>0</x:v>
      </x:c>
      <x:c r="N246" s="127" t="n">
        <x:f>H246*K246/100</x:f>
        <x:v>0</x:v>
      </x:c>
      <x:c r="O246" t="str">
        <x:v>Bakthavatchalam et al. 2022, DMID 103:115652, Table 2</x:v>
      </x:c>
    </x:row>
    <x:row r="247">
      <x:c r="A247" t="str">
        <x:v>INDIA2022_OXA48_KP</x:v>
      </x:c>
      <x:c r="B247" t="str">
        <x:v>SENSITIVITY_DONOR</x:v>
      </x:c>
      <x:c r="C247" t="str">
        <x:v>R1</x:v>
      </x:c>
      <x:c r="D247" t="str">
        <x:v>0–30</x:v>
      </x:c>
      <x:c r="E247" t="n">
        <x:v>0.625</x:v>
      </x:c>
      <x:c r="F247" t="n">
        <x:v>12</x:v>
      </x:c>
      <x:c r="G247" t="n">
        <x:v>0.125</x:v>
      </x:c>
      <x:c r="H247" s="127" t="n">
        <x:f>MIC_Harmonized!G27</x:f>
        <x:v>0</x:v>
      </x:c>
      <x:c r="I247" s="127" t="n">
        <x:v>100</x:v>
      </x:c>
      <x:c r="J247" s="127" t="n">
        <x:v>74.88</x:v>
      </x:c>
      <x:c r="K247" s="127" t="n">
        <x:v>74.88</x:v>
      </x:c>
      <x:c r="L247" s="127" t="n">
        <x:f>H247*I247/100</x:f>
        <x:v>0</x:v>
      </x:c>
      <x:c r="M247" s="127" t="n">
        <x:f>H247*J247/100</x:f>
        <x:v>0</x:v>
      </x:c>
      <x:c r="N247" s="127" t="n">
        <x:f>H247*K247/100</x:f>
        <x:v>0</x:v>
      </x:c>
      <x:c r="O247" t="str">
        <x:v>Bakthavatchalam et al. 2022, DMID 103:115652, Table 2</x:v>
      </x:c>
    </x:row>
    <x:row r="248">
      <x:c r="A248" t="str">
        <x:v>INDIA2022_OXA48_KP</x:v>
      </x:c>
      <x:c r="B248" t="str">
        <x:v>SENSITIVITY_DONOR</x:v>
      </x:c>
      <x:c r="C248" t="str">
        <x:v>R1</x:v>
      </x:c>
      <x:c r="D248" t="str">
        <x:v>0–30</x:v>
      </x:c>
      <x:c r="E248" t="n">
        <x:v>0.625</x:v>
      </x:c>
      <x:c r="F248" t="n">
        <x:v>12</x:v>
      </x:c>
      <x:c r="G248" t="n">
        <x:v>0.25</x:v>
      </x:c>
      <x:c r="H248" s="127" t="n">
        <x:f>MIC_Harmonized!G28</x:f>
        <x:v>0.014705882352941176</x:v>
      </x:c>
      <x:c r="I248" s="127" t="n">
        <x:v>100</x:v>
      </x:c>
      <x:c r="J248" s="127" t="n">
        <x:v>74.88</x:v>
      </x:c>
      <x:c r="K248" s="127" t="n">
        <x:v>74.88</x:v>
      </x:c>
      <x:c r="L248" s="127" t="n">
        <x:f>H248*I248/100</x:f>
        <x:v>0.014705882352941175</x:v>
      </x:c>
      <x:c r="M248" s="127" t="n">
        <x:f>H248*J248/100</x:f>
        <x:v>0.011011764705882353</x:v>
      </x:c>
      <x:c r="N248" s="127" t="n">
        <x:f>H248*K248/100</x:f>
        <x:v>0.011011764705882353</x:v>
      </x:c>
      <x:c r="O248" t="str">
        <x:v>Bakthavatchalam et al. 2022, DMID 103:115652, Table 2</x:v>
      </x:c>
    </x:row>
    <x:row r="249">
      <x:c r="A249" t="str">
        <x:v>INDIA2022_OXA48_KP</x:v>
      </x:c>
      <x:c r="B249" t="str">
        <x:v>SENSITIVITY_DONOR</x:v>
      </x:c>
      <x:c r="C249" t="str">
        <x:v>R1</x:v>
      </x:c>
      <x:c r="D249" t="str">
        <x:v>0–30</x:v>
      </x:c>
      <x:c r="E249" t="n">
        <x:v>0.625</x:v>
      </x:c>
      <x:c r="F249" t="n">
        <x:v>12</x:v>
      </x:c>
      <x:c r="G249" t="n">
        <x:v>0.5</x:v>
      </x:c>
      <x:c r="H249" s="127" t="n">
        <x:f>MIC_Harmonized!G29</x:f>
        <x:v>0.3088235294117647</x:v>
      </x:c>
      <x:c r="I249" s="127" t="n">
        <x:v>99.94</x:v>
      </x:c>
      <x:c r="J249" s="127" t="n">
        <x:v>74.88</x:v>
      </x:c>
      <x:c r="K249" s="127" t="n">
        <x:v>74.88</x:v>
      </x:c>
      <x:c r="L249" s="127" t="n">
        <x:f>H249*I249/100</x:f>
        <x:v>0.30863823529411766</x:v>
      </x:c>
      <x:c r="M249" s="127" t="n">
        <x:f>H249*J249/100</x:f>
        <x:v>0.23124705882352942</x:v>
      </x:c>
      <x:c r="N249" s="127" t="n">
        <x:f>H249*K249/100</x:f>
        <x:v>0.23124705882352942</x:v>
      </x:c>
      <x:c r="O249" t="str">
        <x:v>Bakthavatchalam et al. 2022, DMID 103:115652, Table 2</x:v>
      </x:c>
    </x:row>
    <x:row r="250">
      <x:c r="A250" t="str">
        <x:v>INDIA2022_OXA48_KP</x:v>
      </x:c>
      <x:c r="B250" t="str">
        <x:v>SENSITIVITY_DONOR</x:v>
      </x:c>
      <x:c r="C250" t="str">
        <x:v>R1</x:v>
      </x:c>
      <x:c r="D250" t="str">
        <x:v>0–30</x:v>
      </x:c>
      <x:c r="E250" t="n">
        <x:v>0.625</x:v>
      </x:c>
      <x:c r="F250" t="n">
        <x:v>12</x:v>
      </x:c>
      <x:c r="G250" t="n">
        <x:v>1</x:v>
      </x:c>
      <x:c r="H250" s="127" t="n">
        <x:f>MIC_Harmonized!G30</x:f>
        <x:v>0.5073529411764706</x:v>
      </x:c>
      <x:c r="I250" s="127" t="n">
        <x:v>99.13499999999999</x:v>
      </x:c>
      <x:c r="J250" s="127" t="n">
        <x:v>74.88</x:v>
      </x:c>
      <x:c r="K250" s="127" t="n">
        <x:v>74.88</x:v>
      </x:c>
      <x:c r="L250" s="127" t="n">
        <x:f>H250*I250/100</x:f>
        <x:v>0.5029643382352941</x:v>
      </x:c>
      <x:c r="M250" s="127" t="n">
        <x:f>H250*J250/100</x:f>
        <x:v>0.3799058823529411</x:v>
      </x:c>
      <x:c r="N250" s="127" t="n">
        <x:f>H250*K250/100</x:f>
        <x:v>0.3799058823529411</x:v>
      </x:c>
      <x:c r="O250" t="str">
        <x:v>Bakthavatchalam et al. 2022, DMID 103:115652, Table 2</x:v>
      </x:c>
    </x:row>
    <x:row r="251">
      <x:c r="A251" t="str">
        <x:v>INDIA2022_OXA48_KP</x:v>
      </x:c>
      <x:c r="B251" t="str">
        <x:v>SENSITIVITY_DONOR</x:v>
      </x:c>
      <x:c r="C251" t="str">
        <x:v>R1</x:v>
      </x:c>
      <x:c r="D251" t="str">
        <x:v>0–30</x:v>
      </x:c>
      <x:c r="E251" t="n">
        <x:v>0.625</x:v>
      </x:c>
      <x:c r="F251" t="n">
        <x:v>12</x:v>
      </x:c>
      <x:c r="G251" t="n">
        <x:v>2</x:v>
      </x:c>
      <x:c r="H251" s="127" t="n">
        <x:f>MIC_Harmonized!G31</x:f>
        <x:v>0.11029411764705882</x:v>
      </x:c>
      <x:c r="I251" s="127" t="n">
        <x:v>92.08</x:v>
      </x:c>
      <x:c r="J251" s="127" t="n">
        <x:v>74.88</x:v>
      </x:c>
      <x:c r="K251" s="127" t="n">
        <x:v>74.86500000000001</x:v>
      </x:c>
      <x:c r="L251" s="127" t="n">
        <x:f>H251*I251/100</x:f>
        <x:v>0.10155882352941177</x:v>
      </x:c>
      <x:c r="M251" s="127" t="n">
        <x:f>H251*J251/100</x:f>
        <x:v>0.08258823529411764</x:v>
      </x:c>
      <x:c r="N251" s="127" t="n">
        <x:f>H251*K251/100</x:f>
        <x:v>0.08257169117647059</x:v>
      </x:c>
      <x:c r="O251" t="str">
        <x:v>Bakthavatchalam et al. 2022, DMID 103:115652, Table 2</x:v>
      </x:c>
    </x:row>
    <x:row r="252">
      <x:c r="A252" t="str">
        <x:v>INDIA2022_OXA48_KP</x:v>
      </x:c>
      <x:c r="B252" t="str">
        <x:v>SENSITIVITY_DONOR</x:v>
      </x:c>
      <x:c r="C252" t="str">
        <x:v>R1</x:v>
      </x:c>
      <x:c r="D252" t="str">
        <x:v>0–30</x:v>
      </x:c>
      <x:c r="E252" t="n">
        <x:v>0.625</x:v>
      </x:c>
      <x:c r="F252" t="n">
        <x:v>12</x:v>
      </x:c>
      <x:c r="G252" t="n">
        <x:v>4</x:v>
      </x:c>
      <x:c r="H252" s="127" t="n">
        <x:f>MIC_Harmonized!G32</x:f>
        <x:v>0.022058823529411766</x:v>
      </x:c>
      <x:c r="I252" s="127" t="n">
        <x:v>68.575</x:v>
      </x:c>
      <x:c r="J252" s="127" t="n">
        <x:v>74.88</x:v>
      </x:c>
      <x:c r="K252" s="127" t="n">
        <x:v>67.045</x:v>
      </x:c>
      <x:c r="L252" s="127" t="n">
        <x:f>H252*I252/100</x:f>
        <x:v>0.01512683823529412</x:v>
      </x:c>
      <x:c r="M252" s="127" t="n">
        <x:f>H252*J252/100</x:f>
        <x:v>0.01651764705882353</x:v>
      </x:c>
      <x:c r="N252" s="127" t="n">
        <x:f>H252*K252/100</x:f>
        <x:v>0.014789338235294118</x:v>
      </x:c>
      <x:c r="O252" t="str">
        <x:v>Bakthavatchalam et al. 2022, DMID 103:115652, Table 2</x:v>
      </x:c>
    </x:row>
    <x:row r="253">
      <x:c r="A253" t="str">
        <x:v>INDIA2022_OXA48_KP</x:v>
      </x:c>
      <x:c r="B253" t="str">
        <x:v>SENSITIVITY_DONOR</x:v>
      </x:c>
      <x:c r="C253" t="str">
        <x:v>R1</x:v>
      </x:c>
      <x:c r="D253" t="str">
        <x:v>0–30</x:v>
      </x:c>
      <x:c r="E253" t="n">
        <x:v>0.625</x:v>
      </x:c>
      <x:c r="F253" t="n">
        <x:v>12</x:v>
      </x:c>
      <x:c r="G253" t="n">
        <x:v>8</x:v>
      </x:c>
      <x:c r="H253" s="127" t="n">
        <x:f>MIC_Harmonized!G33</x:f>
        <x:v>0</x:v>
      </x:c>
      <x:c r="I253" s="127" t="n">
        <x:v>35.775</x:v>
      </x:c>
      <x:c r="J253" s="127" t="n">
        <x:v>74.88</x:v>
      </x:c>
      <x:c r="K253" s="127" t="n">
        <x:v>35.775</x:v>
      </x:c>
      <x:c r="L253" s="127" t="n">
        <x:f>H253*I253/100</x:f>
        <x:v>0</x:v>
      </x:c>
      <x:c r="M253" s="127" t="n">
        <x:f>H253*J253/100</x:f>
        <x:v>0</x:v>
      </x:c>
      <x:c r="N253" s="127" t="n">
        <x:f>H253*K253/100</x:f>
        <x:v>0</x:v>
      </x:c>
      <x:c r="O253" t="str">
        <x:v>Bakthavatchalam et al. 2022, DMID 103:115652, Table 2</x:v>
      </x:c>
    </x:row>
    <x:row r="254">
      <x:c r="A254" t="str">
        <x:v>INDIA2022_OXA48_KP</x:v>
      </x:c>
      <x:c r="B254" t="str">
        <x:v>SENSITIVITY_DONOR</x:v>
      </x:c>
      <x:c r="C254" t="str">
        <x:v>R1</x:v>
      </x:c>
      <x:c r="D254" t="str">
        <x:v>0–30</x:v>
      </x:c>
      <x:c r="E254" t="n">
        <x:v>0.625</x:v>
      </x:c>
      <x:c r="F254" t="n">
        <x:v>12</x:v>
      </x:c>
      <x:c r="G254" t="n">
        <x:v>16</x:v>
      </x:c>
      <x:c r="H254" s="127" t="n">
        <x:f>MIC_Harmonized!G34</x:f>
        <x:v>0</x:v>
      </x:c>
      <x:c r="I254" s="127" t="n">
        <x:v>14.344999999999999</x:v>
      </x:c>
      <x:c r="J254" s="127" t="n">
        <x:v>74.88</x:v>
      </x:c>
      <x:c r="K254" s="127" t="n">
        <x:v>14.344999999999999</x:v>
      </x:c>
      <x:c r="L254" s="127" t="n">
        <x:f>H254*I254/100</x:f>
        <x:v>0</x:v>
      </x:c>
      <x:c r="M254" s="127" t="n">
        <x:f>H254*J254/100</x:f>
        <x:v>0</x:v>
      </x:c>
      <x:c r="N254" s="127" t="n">
        <x:f>H254*K254/100</x:f>
        <x:v>0</x:v>
      </x:c>
      <x:c r="O254" t="str">
        <x:v>Bakthavatchalam et al. 2022, DMID 103:115652, Table 2</x:v>
      </x:c>
    </x:row>
    <x:row r="255">
      <x:c r="A255" t="str">
        <x:v>INDIA2022_OXA48_KP</x:v>
      </x:c>
      <x:c r="B255" t="str">
        <x:v>SENSITIVITY_DONOR</x:v>
      </x:c>
      <x:c r="C255" t="str">
        <x:v>R1</x:v>
      </x:c>
      <x:c r="D255" t="str">
        <x:v>0–30</x:v>
      </x:c>
      <x:c r="E255" t="n">
        <x:v>0.625</x:v>
      </x:c>
      <x:c r="F255" t="n">
        <x:v>12</x:v>
      </x:c>
      <x:c r="G255" t="n">
        <x:v>32</x:v>
      </x:c>
      <x:c r="H255" s="127" t="n">
        <x:f>MIC_Harmonized!G35</x:f>
        <x:v>0.014705882352941176</x:v>
      </x:c>
      <x:c r="I255" s="127" t="n">
        <x:v>4.984999999999999</x:v>
      </x:c>
      <x:c r="J255" s="127" t="n">
        <x:v>74.88</x:v>
      </x:c>
      <x:c r="K255" s="127" t="n">
        <x:v>4.984999999999999</x:v>
      </x:c>
      <x:c r="L255" s="127" t="n">
        <x:f>H255*I255/100</x:f>
        <x:v>0.0007330882352941176</x:v>
      </x:c>
      <x:c r="M255" s="127" t="n">
        <x:f>H255*J255/100</x:f>
        <x:v>0.011011764705882353</x:v>
      </x:c>
      <x:c r="N255" s="127" t="n">
        <x:f>H255*K255/100</x:f>
        <x:v>0.0007330882352941176</x:v>
      </x:c>
      <x:c r="O255" t="str">
        <x:v>Bakthavatchalam et al. 2022, DMID 103:115652, Table 2</x:v>
      </x:c>
    </x:row>
    <x:row r="256">
      <x:c r="A256" t="str">
        <x:v>INDIA2022_OXA48_KP</x:v>
      </x:c>
      <x:c r="B256" t="str">
        <x:v>SENSITIVITY_DONOR</x:v>
      </x:c>
      <x:c r="C256" t="str">
        <x:v>R1</x:v>
      </x:c>
      <x:c r="D256" t="str">
        <x:v>0–30</x:v>
      </x:c>
      <x:c r="E256" t="n">
        <x:v>0.625</x:v>
      </x:c>
      <x:c r="F256" t="n">
        <x:v>12</x:v>
      </x:c>
      <x:c r="G256" t="n">
        <x:v>64</x:v>
      </x:c>
      <x:c r="H256" s="127" t="n">
        <x:f>MIC_Harmonized!G36</x:f>
        <x:v>0.022058823529411766</x:v>
      </x:c>
      <x:c r="I256" s="127" t="n">
        <x:v>1.7399999999999998</x:v>
      </x:c>
      <x:c r="J256" s="127" t="n">
        <x:v>74.88</x:v>
      </x:c>
      <x:c r="K256" s="127" t="n">
        <x:v>1.7399999999999998</x:v>
      </x:c>
      <x:c r="L256" s="127" t="n">
        <x:f>H256*I256/100</x:f>
        <x:v>0.00038382352941176463</x:v>
      </x:c>
      <x:c r="M256" s="127" t="n">
        <x:f>H256*J256/100</x:f>
        <x:v>0.01651764705882353</x:v>
      </x:c>
      <x:c r="N256" s="127" t="n">
        <x:f>H256*K256/100</x:f>
        <x:v>0.00038382352941176463</x:v>
      </x:c>
      <x:c r="O256" t="str">
        <x:v>Bakthavatchalam et al. 2022, DMID 103:115652, Table 2</x:v>
      </x:c>
    </x:row>
    <x:row r="257">
      <x:c r="A257" t="str">
        <x:v>INDIA2022_OXA48_KP</x:v>
      </x:c>
      <x:c r="B257" t="str">
        <x:v>SENSITIVITY_DONOR</x:v>
      </x:c>
      <x:c r="C257" t="str">
        <x:v>R2</x:v>
      </x:c>
      <x:c r="D257" t="str">
        <x:v>0–30</x:v>
      </x:c>
      <x:c r="E257" t="n">
        <x:v>0.625</x:v>
      </x:c>
      <x:c r="F257" t="n">
        <x:v>8</x:v>
      </x:c>
      <x:c r="G257" t="n">
        <x:v>0.0625</x:v>
      </x:c>
      <x:c r="H257" s="127" t="n">
        <x:f>MIC_Harmonized!G26</x:f>
        <x:v>0</x:v>
      </x:c>
      <x:c r="I257" s="127" t="n">
        <x:v>100</x:v>
      </x:c>
      <x:c r="J257" s="127" t="n">
        <x:v>87.38</x:v>
      </x:c>
      <x:c r="K257" s="127" t="n">
        <x:v>87.38</x:v>
      </x:c>
      <x:c r="L257" s="127" t="n">
        <x:f>H257*I257/100</x:f>
        <x:v>0</x:v>
      </x:c>
      <x:c r="M257" s="127" t="n">
        <x:f>H257*J257/100</x:f>
        <x:v>0</x:v>
      </x:c>
      <x:c r="N257" s="127" t="n">
        <x:f>H257*K257/100</x:f>
        <x:v>0</x:v>
      </x:c>
      <x:c r="O257" t="str">
        <x:v>Bakthavatchalam et al. 2022, DMID 103:115652, Table 2</x:v>
      </x:c>
    </x:row>
    <x:row r="258">
      <x:c r="A258" t="str">
        <x:v>INDIA2022_OXA48_KP</x:v>
      </x:c>
      <x:c r="B258" t="str">
        <x:v>SENSITIVITY_DONOR</x:v>
      </x:c>
      <x:c r="C258" t="str">
        <x:v>R2</x:v>
      </x:c>
      <x:c r="D258" t="str">
        <x:v>0–30</x:v>
      </x:c>
      <x:c r="E258" t="n">
        <x:v>0.625</x:v>
      </x:c>
      <x:c r="F258" t="n">
        <x:v>8</x:v>
      </x:c>
      <x:c r="G258" t="n">
        <x:v>0.125</x:v>
      </x:c>
      <x:c r="H258" s="127" t="n">
        <x:f>MIC_Harmonized!G27</x:f>
        <x:v>0</x:v>
      </x:c>
      <x:c r="I258" s="127" t="n">
        <x:v>100</x:v>
      </x:c>
      <x:c r="J258" s="127" t="n">
        <x:v>87.38</x:v>
      </x:c>
      <x:c r="K258" s="127" t="n">
        <x:v>87.38</x:v>
      </x:c>
      <x:c r="L258" s="127" t="n">
        <x:f>H258*I258/100</x:f>
        <x:v>0</x:v>
      </x:c>
      <x:c r="M258" s="127" t="n">
        <x:f>H258*J258/100</x:f>
        <x:v>0</x:v>
      </x:c>
      <x:c r="N258" s="127" t="n">
        <x:f>H258*K258/100</x:f>
        <x:v>0</x:v>
      </x:c>
      <x:c r="O258" t="str">
        <x:v>Bakthavatchalam et al. 2022, DMID 103:115652, Table 2</x:v>
      </x:c>
    </x:row>
    <x:row r="259">
      <x:c r="A259" t="str">
        <x:v>INDIA2022_OXA48_KP</x:v>
      </x:c>
      <x:c r="B259" t="str">
        <x:v>SENSITIVITY_DONOR</x:v>
      </x:c>
      <x:c r="C259" t="str">
        <x:v>R2</x:v>
      </x:c>
      <x:c r="D259" t="str">
        <x:v>0–30</x:v>
      </x:c>
      <x:c r="E259" t="n">
        <x:v>0.625</x:v>
      </x:c>
      <x:c r="F259" t="n">
        <x:v>8</x:v>
      </x:c>
      <x:c r="G259" t="n">
        <x:v>0.25</x:v>
      </x:c>
      <x:c r="H259" s="127" t="n">
        <x:f>MIC_Harmonized!G28</x:f>
        <x:v>0.014705882352941176</x:v>
      </x:c>
      <x:c r="I259" s="127" t="n">
        <x:v>100</x:v>
      </x:c>
      <x:c r="J259" s="127" t="n">
        <x:v>87.38</x:v>
      </x:c>
      <x:c r="K259" s="127" t="n">
        <x:v>87.38</x:v>
      </x:c>
      <x:c r="L259" s="127" t="n">
        <x:f>H259*I259/100</x:f>
        <x:v>0.014705882352941175</x:v>
      </x:c>
      <x:c r="M259" s="127" t="n">
        <x:f>H259*J259/100</x:f>
        <x:v>0.012849999999999999</x:v>
      </x:c>
      <x:c r="N259" s="127" t="n">
        <x:f>H259*K259/100</x:f>
        <x:v>0.012849999999999999</x:v>
      </x:c>
      <x:c r="O259" t="str">
        <x:v>Bakthavatchalam et al. 2022, DMID 103:115652, Table 2</x:v>
      </x:c>
    </x:row>
    <x:row r="260">
      <x:c r="A260" t="str">
        <x:v>INDIA2022_OXA48_KP</x:v>
      </x:c>
      <x:c r="B260" t="str">
        <x:v>SENSITIVITY_DONOR</x:v>
      </x:c>
      <x:c r="C260" t="str">
        <x:v>R2</x:v>
      </x:c>
      <x:c r="D260" t="str">
        <x:v>0–30</x:v>
      </x:c>
      <x:c r="E260" t="n">
        <x:v>0.625</x:v>
      </x:c>
      <x:c r="F260" t="n">
        <x:v>8</x:v>
      </x:c>
      <x:c r="G260" t="n">
        <x:v>0.5</x:v>
      </x:c>
      <x:c r="H260" s="127" t="n">
        <x:f>MIC_Harmonized!G29</x:f>
        <x:v>0.3088235294117647</x:v>
      </x:c>
      <x:c r="I260" s="127" t="n">
        <x:v>100</x:v>
      </x:c>
      <x:c r="J260" s="127" t="n">
        <x:v>87.38</x:v>
      </x:c>
      <x:c r="K260" s="127" t="n">
        <x:v>87.38</x:v>
      </x:c>
      <x:c r="L260" s="127" t="n">
        <x:f>H260*I260/100</x:f>
        <x:v>0.3088235294117647</x:v>
      </x:c>
      <x:c r="M260" s="127" t="n">
        <x:f>H260*J260/100</x:f>
        <x:v>0.26985</x:v>
      </x:c>
      <x:c r="N260" s="127" t="n">
        <x:f>H260*K260/100</x:f>
        <x:v>0.26985</x:v>
      </x:c>
      <x:c r="O260" t="str">
        <x:v>Bakthavatchalam et al. 2022, DMID 103:115652, Table 2</x:v>
      </x:c>
    </x:row>
    <x:row r="261">
      <x:c r="A261" t="str">
        <x:v>INDIA2022_OXA48_KP</x:v>
      </x:c>
      <x:c r="B261" t="str">
        <x:v>SENSITIVITY_DONOR</x:v>
      </x:c>
      <x:c r="C261" t="str">
        <x:v>R2</x:v>
      </x:c>
      <x:c r="D261" t="str">
        <x:v>0–30</x:v>
      </x:c>
      <x:c r="E261" t="n">
        <x:v>0.625</x:v>
      </x:c>
      <x:c r="F261" t="n">
        <x:v>8</x:v>
      </x:c>
      <x:c r="G261" t="n">
        <x:v>1</x:v>
      </x:c>
      <x:c r="H261" s="127" t="n">
        <x:f>MIC_Harmonized!G30</x:f>
        <x:v>0.5073529411764706</x:v>
      </x:c>
      <x:c r="I261" s="127" t="n">
        <x:v>99.88</x:v>
      </x:c>
      <x:c r="J261" s="127" t="n">
        <x:v>87.38</x:v>
      </x:c>
      <x:c r="K261" s="127" t="n">
        <x:v>87.38</x:v>
      </x:c>
      <x:c r="L261" s="127" t="n">
        <x:f>H261*I261/100</x:f>
        <x:v>0.5067441176470588</x:v>
      </x:c>
      <x:c r="M261" s="127" t="n">
        <x:f>H261*J261/100</x:f>
        <x:v>0.44332499999999997</x:v>
      </x:c>
      <x:c r="N261" s="127" t="n">
        <x:f>H261*K261/100</x:f>
        <x:v>0.44332499999999997</x:v>
      </x:c>
      <x:c r="O261" t="str">
        <x:v>Bakthavatchalam et al. 2022, DMID 103:115652, Table 2</x:v>
      </x:c>
    </x:row>
    <x:row r="262">
      <x:c r="A262" t="str">
        <x:v>INDIA2022_OXA48_KP</x:v>
      </x:c>
      <x:c r="B262" t="str">
        <x:v>SENSITIVITY_DONOR</x:v>
      </x:c>
      <x:c r="C262" t="str">
        <x:v>R2</x:v>
      </x:c>
      <x:c r="D262" t="str">
        <x:v>0–30</x:v>
      </x:c>
      <x:c r="E262" t="n">
        <x:v>0.625</x:v>
      </x:c>
      <x:c r="F262" t="n">
        <x:v>8</x:v>
      </x:c>
      <x:c r="G262" t="n">
        <x:v>2</x:v>
      </x:c>
      <x:c r="H262" s="127" t="n">
        <x:f>MIC_Harmonized!G31</x:f>
        <x:v>0.11029411764705882</x:v>
      </x:c>
      <x:c r="I262" s="127" t="n">
        <x:v>97.63</x:v>
      </x:c>
      <x:c r="J262" s="127" t="n">
        <x:v>87.38</x:v>
      </x:c>
      <x:c r="K262" s="127" t="n">
        <x:v>87.38</x:v>
      </x:c>
      <x:c r="L262" s="127" t="n">
        <x:f>H262*I262/100</x:f>
        <x:v>0.10768014705882352</x:v>
      </x:c>
      <x:c r="M262" s="127" t="n">
        <x:f>H262*J262/100</x:f>
        <x:v>0.09637499999999999</x:v>
      </x:c>
      <x:c r="N262" s="127" t="n">
        <x:f>H262*K262/100</x:f>
        <x:v>0.09637499999999999</x:v>
      </x:c>
      <x:c r="O262" t="str">
        <x:v>Bakthavatchalam et al. 2022, DMID 103:115652, Table 2</x:v>
      </x:c>
    </x:row>
    <x:row r="263">
      <x:c r="A263" t="str">
        <x:v>INDIA2022_OXA48_KP</x:v>
      </x:c>
      <x:c r="B263" t="str">
        <x:v>SENSITIVITY_DONOR</x:v>
      </x:c>
      <x:c r="C263" t="str">
        <x:v>R2</x:v>
      </x:c>
      <x:c r="D263" t="str">
        <x:v>0–30</x:v>
      </x:c>
      <x:c r="E263" t="n">
        <x:v>0.625</x:v>
      </x:c>
      <x:c r="F263" t="n">
        <x:v>8</x:v>
      </x:c>
      <x:c r="G263" t="n">
        <x:v>4</x:v>
      </x:c>
      <x:c r="H263" s="127" t="n">
        <x:f>MIC_Harmonized!G32</x:f>
        <x:v>0.022058823529411766</x:v>
      </x:c>
      <x:c r="I263" s="127" t="n">
        <x:v>84.53</x:v>
      </x:c>
      <x:c r="J263" s="127" t="n">
        <x:v>87.38</x:v>
      </x:c>
      <x:c r="K263" s="127" t="n">
        <x:v>83.095</x:v>
      </x:c>
      <x:c r="L263" s="127" t="n">
        <x:f>H263*I263/100</x:f>
        <x:v>0.018646323529411767</x:v>
      </x:c>
      <x:c r="M263" s="127" t="n">
        <x:f>H263*J263/100</x:f>
        <x:v>0.019275</x:v>
      </x:c>
      <x:c r="N263" s="127" t="n">
        <x:f>H263*K263/100</x:f>
        <x:v>0.018329779411764707</x:v>
      </x:c>
      <x:c r="O263" t="str">
        <x:v>Bakthavatchalam et al. 2022, DMID 103:115652, Table 2</x:v>
      </x:c>
    </x:row>
    <x:row r="264">
      <x:c r="A264" t="str">
        <x:v>INDIA2022_OXA48_KP</x:v>
      </x:c>
      <x:c r="B264" t="str">
        <x:v>SENSITIVITY_DONOR</x:v>
      </x:c>
      <x:c r="C264" t="str">
        <x:v>R2</x:v>
      </x:c>
      <x:c r="D264" t="str">
        <x:v>0–30</x:v>
      </x:c>
      <x:c r="E264" t="n">
        <x:v>0.625</x:v>
      </x:c>
      <x:c r="F264" t="n">
        <x:v>8</x:v>
      </x:c>
      <x:c r="G264" t="n">
        <x:v>8</x:v>
      </x:c>
      <x:c r="H264" s="127" t="n">
        <x:f>MIC_Harmonized!G33</x:f>
        <x:v>0</x:v>
      </x:c>
      <x:c r="I264" s="127" t="n">
        <x:v>54.510000000000005</x:v>
      </x:c>
      <x:c r="J264" s="127" t="n">
        <x:v>87.38</x:v>
      </x:c>
      <x:c r="K264" s="127" t="n">
        <x:v>54.510000000000005</x:v>
      </x:c>
      <x:c r="L264" s="127" t="n">
        <x:f>H264*I264/100</x:f>
        <x:v>0</x:v>
      </x:c>
      <x:c r="M264" s="127" t="n">
        <x:f>H264*J264/100</x:f>
        <x:v>0</x:v>
      </x:c>
      <x:c r="N264" s="127" t="n">
        <x:f>H264*K264/100</x:f>
        <x:v>0</x:v>
      </x:c>
      <x:c r="O264" t="str">
        <x:v>Bakthavatchalam et al. 2022, DMID 103:115652, Table 2</x:v>
      </x:c>
    </x:row>
    <x:row r="265">
      <x:c r="A265" t="str">
        <x:v>INDIA2022_OXA48_KP</x:v>
      </x:c>
      <x:c r="B265" t="str">
        <x:v>SENSITIVITY_DONOR</x:v>
      </x:c>
      <x:c r="C265" t="str">
        <x:v>R2</x:v>
      </x:c>
      <x:c r="D265" t="str">
        <x:v>0–30</x:v>
      </x:c>
      <x:c r="E265" t="n">
        <x:v>0.625</x:v>
      </x:c>
      <x:c r="F265" t="n">
        <x:v>8</x:v>
      </x:c>
      <x:c r="G265" t="n">
        <x:v>16</x:v>
      </x:c>
      <x:c r="H265" s="127" t="n">
        <x:f>MIC_Harmonized!G34</x:f>
        <x:v>0</x:v>
      </x:c>
      <x:c r="I265" s="127" t="n">
        <x:v>24.775</x:v>
      </x:c>
      <x:c r="J265" s="127" t="n">
        <x:v>87.38</x:v>
      </x:c>
      <x:c r="K265" s="127" t="n">
        <x:v>24.775</x:v>
      </x:c>
      <x:c r="L265" s="127" t="n">
        <x:f>H265*I265/100</x:f>
        <x:v>0</x:v>
      </x:c>
      <x:c r="M265" s="127" t="n">
        <x:f>H265*J265/100</x:f>
        <x:v>0</x:v>
      </x:c>
      <x:c r="N265" s="127" t="n">
        <x:f>H265*K265/100</x:f>
        <x:v>0</x:v>
      </x:c>
      <x:c r="O265" t="str">
        <x:v>Bakthavatchalam et al. 2022, DMID 103:115652, Table 2</x:v>
      </x:c>
    </x:row>
    <x:row r="266">
      <x:c r="A266" t="str">
        <x:v>INDIA2022_OXA48_KP</x:v>
      </x:c>
      <x:c r="B266" t="str">
        <x:v>SENSITIVITY_DONOR</x:v>
      </x:c>
      <x:c r="C266" t="str">
        <x:v>R2</x:v>
      </x:c>
      <x:c r="D266" t="str">
        <x:v>0–30</x:v>
      </x:c>
      <x:c r="E266" t="n">
        <x:v>0.625</x:v>
      </x:c>
      <x:c r="F266" t="n">
        <x:v>8</x:v>
      </x:c>
      <x:c r="G266" t="n">
        <x:v>32</x:v>
      </x:c>
      <x:c r="H266" s="127" t="n">
        <x:f>MIC_Harmonized!G35</x:f>
        <x:v>0.014705882352941176</x:v>
      </x:c>
      <x:c r="I266" s="127" t="n">
        <x:v>9.47</x:v>
      </x:c>
      <x:c r="J266" s="127" t="n">
        <x:v>87.38</x:v>
      </x:c>
      <x:c r="K266" s="127" t="n">
        <x:v>9.47</x:v>
      </x:c>
      <x:c r="L266" s="127" t="n">
        <x:f>H266*I266/100</x:f>
        <x:v>0.0013926470588235295</x:v>
      </x:c>
      <x:c r="M266" s="127" t="n">
        <x:f>H266*J266/100</x:f>
        <x:v>0.012849999999999999</x:v>
      </x:c>
      <x:c r="N266" s="127" t="n">
        <x:f>H266*K266/100</x:f>
        <x:v>0.0013926470588235295</x:v>
      </x:c>
      <x:c r="O266" t="str">
        <x:v>Bakthavatchalam et al. 2022, DMID 103:115652, Table 2</x:v>
      </x:c>
    </x:row>
    <x:row r="267">
      <x:c r="A267" t="str">
        <x:v>INDIA2022_OXA48_KP</x:v>
      </x:c>
      <x:c r="B267" t="str">
        <x:v>SENSITIVITY_DONOR</x:v>
      </x:c>
      <x:c r="C267" t="str">
        <x:v>R2</x:v>
      </x:c>
      <x:c r="D267" t="str">
        <x:v>0–30</x:v>
      </x:c>
      <x:c r="E267" t="n">
        <x:v>0.625</x:v>
      </x:c>
      <x:c r="F267" t="n">
        <x:v>8</x:v>
      </x:c>
      <x:c r="G267" t="n">
        <x:v>64</x:v>
      </x:c>
      <x:c r="H267" s="127" t="n">
        <x:f>MIC_Harmonized!G36</x:f>
        <x:v>0.022058823529411766</x:v>
      </x:c>
      <x:c r="I267" s="127" t="n">
        <x:v>3.3099999999999996</x:v>
      </x:c>
      <x:c r="J267" s="127" t="n">
        <x:v>87.38</x:v>
      </x:c>
      <x:c r="K267" s="127" t="n">
        <x:v>3.3099999999999996</x:v>
      </x:c>
      <x:c r="L267" s="127" t="n">
        <x:f>H267*I267/100</x:f>
        <x:v>0.0007301470588235294</x:v>
      </x:c>
      <x:c r="M267" s="127" t="n">
        <x:f>H267*J267/100</x:f>
        <x:v>0.019275</x:v>
      </x:c>
      <x:c r="N267" s="127" t="n">
        <x:f>H267*K267/100</x:f>
        <x:v>0.0007301470588235294</x:v>
      </x:c>
      <x:c r="O267" t="str">
        <x:v>Bakthavatchalam et al. 2022, DMID 103:115652, Table 2</x:v>
      </x:c>
    </x:row>
    <x:row r="268">
      <x:c r="A268" t="str">
        <x:v>INDIA2022_OXA48_KP</x:v>
      </x:c>
      <x:c r="B268" t="str">
        <x:v>SENSITIVITY_DONOR</x:v>
      </x:c>
      <x:c r="C268" t="str">
        <x:v>R5</x:v>
      </x:c>
      <x:c r="D268" t="str">
        <x:v>31–60</x:v>
      </x:c>
      <x:c r="E268" t="n">
        <x:v>0.625</x:v>
      </x:c>
      <x:c r="F268" t="n">
        <x:v>8</x:v>
      </x:c>
      <x:c r="G268" t="n">
        <x:v>0.0625</x:v>
      </x:c>
      <x:c r="H268" s="127" t="n">
        <x:f>MIC_Harmonized!G26</x:f>
        <x:v>0</x:v>
      </x:c>
      <x:c r="I268" s="127" t="n">
        <x:v>100</x:v>
      </x:c>
      <x:c r="J268" s="127" t="n">
        <x:v>44.964999999999996</x:v>
      </x:c>
      <x:c r="K268" s="127" t="n">
        <x:v>44.964999999999996</x:v>
      </x:c>
      <x:c r="L268" s="127" t="n">
        <x:f>H268*I268/100</x:f>
        <x:v>0</x:v>
      </x:c>
      <x:c r="M268" s="127" t="n">
        <x:f>H268*J268/100</x:f>
        <x:v>0</x:v>
      </x:c>
      <x:c r="N268" s="127" t="n">
        <x:f>H268*K268/100</x:f>
        <x:v>0</x:v>
      </x:c>
      <x:c r="O268" t="str">
        <x:v>Bakthavatchalam et al. 2022, DMID 103:115652, Table 2</x:v>
      </x:c>
    </x:row>
    <x:row r="269">
      <x:c r="A269" t="str">
        <x:v>INDIA2022_OXA48_KP</x:v>
      </x:c>
      <x:c r="B269" t="str">
        <x:v>SENSITIVITY_DONOR</x:v>
      </x:c>
      <x:c r="C269" t="str">
        <x:v>R5</x:v>
      </x:c>
      <x:c r="D269" t="str">
        <x:v>31–60</x:v>
      </x:c>
      <x:c r="E269" t="n">
        <x:v>0.625</x:v>
      </x:c>
      <x:c r="F269" t="n">
        <x:v>8</x:v>
      </x:c>
      <x:c r="G269" t="n">
        <x:v>0.125</x:v>
      </x:c>
      <x:c r="H269" s="127" t="n">
        <x:f>MIC_Harmonized!G27</x:f>
        <x:v>0</x:v>
      </x:c>
      <x:c r="I269" s="127" t="n">
        <x:v>100</x:v>
      </x:c>
      <x:c r="J269" s="127" t="n">
        <x:v>44.964999999999996</x:v>
      </x:c>
      <x:c r="K269" s="127" t="n">
        <x:v>44.964999999999996</x:v>
      </x:c>
      <x:c r="L269" s="127" t="n">
        <x:f>H269*I269/100</x:f>
        <x:v>0</x:v>
      </x:c>
      <x:c r="M269" s="127" t="n">
        <x:f>H269*J269/100</x:f>
        <x:v>0</x:v>
      </x:c>
      <x:c r="N269" s="127" t="n">
        <x:f>H269*K269/100</x:f>
        <x:v>0</x:v>
      </x:c>
      <x:c r="O269" t="str">
        <x:v>Bakthavatchalam et al. 2022, DMID 103:115652, Table 2</x:v>
      </x:c>
    </x:row>
    <x:row r="270">
      <x:c r="A270" t="str">
        <x:v>INDIA2022_OXA48_KP</x:v>
      </x:c>
      <x:c r="B270" t="str">
        <x:v>SENSITIVITY_DONOR</x:v>
      </x:c>
      <x:c r="C270" t="str">
        <x:v>R5</x:v>
      </x:c>
      <x:c r="D270" t="str">
        <x:v>31–60</x:v>
      </x:c>
      <x:c r="E270" t="n">
        <x:v>0.625</x:v>
      </x:c>
      <x:c r="F270" t="n">
        <x:v>8</x:v>
      </x:c>
      <x:c r="G270" t="n">
        <x:v>0.25</x:v>
      </x:c>
      <x:c r="H270" s="127" t="n">
        <x:f>MIC_Harmonized!G28</x:f>
        <x:v>0.014705882352941176</x:v>
      </x:c>
      <x:c r="I270" s="127" t="n">
        <x:v>100</x:v>
      </x:c>
      <x:c r="J270" s="127" t="n">
        <x:v>44.964999999999996</x:v>
      </x:c>
      <x:c r="K270" s="127" t="n">
        <x:v>44.964999999999996</x:v>
      </x:c>
      <x:c r="L270" s="127" t="n">
        <x:f>H270*I270/100</x:f>
        <x:v>0.014705882352941175</x:v>
      </x:c>
      <x:c r="M270" s="127" t="n">
        <x:f>H270*J270/100</x:f>
        <x:v>0.006612499999999999</x:v>
      </x:c>
      <x:c r="N270" s="127" t="n">
        <x:f>H270*K270/100</x:f>
        <x:v>0.006612499999999999</x:v>
      </x:c>
      <x:c r="O270" t="str">
        <x:v>Bakthavatchalam et al. 2022, DMID 103:115652, Table 2</x:v>
      </x:c>
    </x:row>
    <x:row r="271">
      <x:c r="A271" t="str">
        <x:v>INDIA2022_OXA48_KP</x:v>
      </x:c>
      <x:c r="B271" t="str">
        <x:v>SENSITIVITY_DONOR</x:v>
      </x:c>
      <x:c r="C271" t="str">
        <x:v>R5</x:v>
      </x:c>
      <x:c r="D271" t="str">
        <x:v>31–60</x:v>
      </x:c>
      <x:c r="E271" t="n">
        <x:v>0.625</x:v>
      </x:c>
      <x:c r="F271" t="n">
        <x:v>8</x:v>
      </x:c>
      <x:c r="G271" t="n">
        <x:v>0.5</x:v>
      </x:c>
      <x:c r="H271" s="127" t="n">
        <x:f>MIC_Harmonized!G29</x:f>
        <x:v>0.3088235294117647</x:v>
      </x:c>
      <x:c r="I271" s="127" t="n">
        <x:v>99.935</x:v>
      </x:c>
      <x:c r="J271" s="127" t="n">
        <x:v>44.964999999999996</x:v>
      </x:c>
      <x:c r="K271" s="127" t="n">
        <x:v>44.964999999999996</x:v>
      </x:c>
      <x:c r="L271" s="127" t="n">
        <x:f>H271*I271/100</x:f>
        <x:v>0.3086227941176471</x:v>
      </x:c>
      <x:c r="M271" s="127" t="n">
        <x:f>H271*J271/100</x:f>
        <x:v>0.1388625</x:v>
      </x:c>
      <x:c r="N271" s="127" t="n">
        <x:f>H271*K271/100</x:f>
        <x:v>0.1388625</x:v>
      </x:c>
      <x:c r="O271" t="str">
        <x:v>Bakthavatchalam et al. 2022, DMID 103:115652, Table 2</x:v>
      </x:c>
    </x:row>
    <x:row r="272">
      <x:c r="A272" t="str">
        <x:v>INDIA2022_OXA48_KP</x:v>
      </x:c>
      <x:c r="B272" t="str">
        <x:v>SENSITIVITY_DONOR</x:v>
      </x:c>
      <x:c r="C272" t="str">
        <x:v>R5</x:v>
      </x:c>
      <x:c r="D272" t="str">
        <x:v>31–60</x:v>
      </x:c>
      <x:c r="E272" t="n">
        <x:v>0.625</x:v>
      </x:c>
      <x:c r="F272" t="n">
        <x:v>8</x:v>
      </x:c>
      <x:c r="G272" t="n">
        <x:v>1</x:v>
      </x:c>
      <x:c r="H272" s="127" t="n">
        <x:f>MIC_Harmonized!G30</x:f>
        <x:v>0.5073529411764706</x:v>
      </x:c>
      <x:c r="I272" s="127" t="n">
        <x:v>97.875</x:v>
      </x:c>
      <x:c r="J272" s="127" t="n">
        <x:v>44.964999999999996</x:v>
      </x:c>
      <x:c r="K272" s="127" t="n">
        <x:v>44.964999999999996</x:v>
      </x:c>
      <x:c r="L272" s="127" t="n">
        <x:f>H272*I272/100</x:f>
        <x:v>0.4965716911764706</x:v>
      </x:c>
      <x:c r="M272" s="127" t="n">
        <x:f>H272*J272/100</x:f>
        <x:v>0.22813124999999995</x:v>
      </x:c>
      <x:c r="N272" s="127" t="n">
        <x:f>H272*K272/100</x:f>
        <x:v>0.22813124999999995</x:v>
      </x:c>
      <x:c r="O272" t="str">
        <x:v>Bakthavatchalam et al. 2022, DMID 103:115652, Table 2</x:v>
      </x:c>
    </x:row>
    <x:row r="273">
      <x:c r="A273" t="str">
        <x:v>INDIA2022_OXA48_KP</x:v>
      </x:c>
      <x:c r="B273" t="str">
        <x:v>SENSITIVITY_DONOR</x:v>
      </x:c>
      <x:c r="C273" t="str">
        <x:v>R5</x:v>
      </x:c>
      <x:c r="D273" t="str">
        <x:v>31–60</x:v>
      </x:c>
      <x:c r="E273" t="n">
        <x:v>0.625</x:v>
      </x:c>
      <x:c r="F273" t="n">
        <x:v>8</x:v>
      </x:c>
      <x:c r="G273" t="n">
        <x:v>2</x:v>
      </x:c>
      <x:c r="H273" s="127" t="n">
        <x:f>MIC_Harmonized!G31</x:f>
        <x:v>0.11029411764705882</x:v>
      </x:c>
      <x:c r="I273" s="127" t="n">
        <x:v>82.75</x:v>
      </x:c>
      <x:c r="J273" s="127" t="n">
        <x:v>44.964999999999996</x:v>
      </x:c>
      <x:c r="K273" s="127" t="n">
        <x:v>44.964999999999996</x:v>
      </x:c>
      <x:c r="L273" s="127" t="n">
        <x:f>H273*I273/100</x:f>
        <x:v>0.09126838235294117</x:v>
      </x:c>
      <x:c r="M273" s="127" t="n">
        <x:f>H273*J273/100</x:f>
        <x:v>0.04959375</x:v>
      </x:c>
      <x:c r="N273" s="127" t="n">
        <x:f>H273*K273/100</x:f>
        <x:v>0.04959375</x:v>
      </x:c>
      <x:c r="O273" t="str">
        <x:v>Bakthavatchalam et al. 2022, DMID 103:115652, Table 2</x:v>
      </x:c>
    </x:row>
    <x:row r="274">
      <x:c r="A274" t="str">
        <x:v>INDIA2022_OXA48_KP</x:v>
      </x:c>
      <x:c r="B274" t="str">
        <x:v>SENSITIVITY_DONOR</x:v>
      </x:c>
      <x:c r="C274" t="str">
        <x:v>R5</x:v>
      </x:c>
      <x:c r="D274" t="str">
        <x:v>31–60</x:v>
      </x:c>
      <x:c r="E274" t="n">
        <x:v>0.625</x:v>
      </x:c>
      <x:c r="F274" t="n">
        <x:v>8</x:v>
      </x:c>
      <x:c r="G274" t="n">
        <x:v>4</x:v>
      </x:c>
      <x:c r="H274" s="127" t="n">
        <x:f>MIC_Harmonized!G32</x:f>
        <x:v>0.022058823529411766</x:v>
      </x:c>
      <x:c r="I274" s="127" t="n">
        <x:v>44.345</x:v>
      </x:c>
      <x:c r="J274" s="127" t="n">
        <x:v>44.964999999999996</x:v>
      </x:c>
      <x:c r="K274" s="127" t="n">
        <x:v>39.28</x:v>
      </x:c>
      <x:c r="L274" s="127" t="n">
        <x:f>H274*I274/100</x:f>
        <x:v>0.009781985294117647</x:v>
      </x:c>
      <x:c r="M274" s="127" t="n">
        <x:f>H274*J274/100</x:f>
        <x:v>0.009918749999999999</x:v>
      </x:c>
      <x:c r="N274" s="127" t="n">
        <x:f>H274*K274/100</x:f>
        <x:v>0.008664705882352942</x:v>
      </x:c>
      <x:c r="O274" t="str">
        <x:v>Bakthavatchalam et al. 2022, DMID 103:115652, Table 2</x:v>
      </x:c>
    </x:row>
    <x:row r="275">
      <x:c r="A275" t="str">
        <x:v>INDIA2022_OXA48_KP</x:v>
      </x:c>
      <x:c r="B275" t="str">
        <x:v>SENSITIVITY_DONOR</x:v>
      </x:c>
      <x:c r="C275" t="str">
        <x:v>R5</x:v>
      </x:c>
      <x:c r="D275" t="str">
        <x:v>31–60</x:v>
      </x:c>
      <x:c r="E275" t="n">
        <x:v>0.625</x:v>
      </x:c>
      <x:c r="F275" t="n">
        <x:v>8</x:v>
      </x:c>
      <x:c r="G275" t="n">
        <x:v>8</x:v>
      </x:c>
      <x:c r="H275" s="127" t="n">
        <x:f>MIC_Harmonized!G33</x:f>
        <x:v>0</x:v>
      </x:c>
      <x:c r="I275" s="127" t="n">
        <x:v>10.32</x:v>
      </x:c>
      <x:c r="J275" s="127" t="n">
        <x:v>44.964999999999996</x:v>
      </x:c>
      <x:c r="K275" s="127" t="n">
        <x:v>10.32</x:v>
      </x:c>
      <x:c r="L275" s="127" t="n">
        <x:f>H275*I275/100</x:f>
        <x:v>0</x:v>
      </x:c>
      <x:c r="M275" s="127" t="n">
        <x:f>H275*J275/100</x:f>
        <x:v>0</x:v>
      </x:c>
      <x:c r="N275" s="127" t="n">
        <x:f>H275*K275/100</x:f>
        <x:v>0</x:v>
      </x:c>
      <x:c r="O275" t="str">
        <x:v>Bakthavatchalam et al. 2022, DMID 103:115652, Table 2</x:v>
      </x:c>
    </x:row>
    <x:row r="276">
      <x:c r="A276" t="str">
        <x:v>INDIA2022_OXA48_KP</x:v>
      </x:c>
      <x:c r="B276" t="str">
        <x:v>SENSITIVITY_DONOR</x:v>
      </x:c>
      <x:c r="C276" t="str">
        <x:v>R5</x:v>
      </x:c>
      <x:c r="D276" t="str">
        <x:v>31–60</x:v>
      </x:c>
      <x:c r="E276" t="n">
        <x:v>0.625</x:v>
      </x:c>
      <x:c r="F276" t="n">
        <x:v>8</x:v>
      </x:c>
      <x:c r="G276" t="n">
        <x:v>16</x:v>
      </x:c>
      <x:c r="H276" s="127" t="n">
        <x:f>MIC_Harmonized!G34</x:f>
        <x:v>0</x:v>
      </x:c>
      <x:c r="I276" s="127" t="n">
        <x:v>1.01</x:v>
      </x:c>
      <x:c r="J276" s="127" t="n">
        <x:v>44.964999999999996</x:v>
      </x:c>
      <x:c r="K276" s="127" t="n">
        <x:v>1.01</x:v>
      </x:c>
      <x:c r="L276" s="127" t="n">
        <x:f>H276*I276/100</x:f>
        <x:v>0</x:v>
      </x:c>
      <x:c r="M276" s="127" t="n">
        <x:f>H276*J276/100</x:f>
        <x:v>0</x:v>
      </x:c>
      <x:c r="N276" s="127" t="n">
        <x:f>H276*K276/100</x:f>
        <x:v>0</x:v>
      </x:c>
      <x:c r="O276" t="str">
        <x:v>Bakthavatchalam et al. 2022, DMID 103:115652, Table 2</x:v>
      </x:c>
    </x:row>
    <x:row r="277">
      <x:c r="A277" t="str">
        <x:v>INDIA2022_OXA48_KP</x:v>
      </x:c>
      <x:c r="B277" t="str">
        <x:v>SENSITIVITY_DONOR</x:v>
      </x:c>
      <x:c r="C277" t="str">
        <x:v>R5</x:v>
      </x:c>
      <x:c r="D277" t="str">
        <x:v>31–60</x:v>
      </x:c>
      <x:c r="E277" t="n">
        <x:v>0.625</x:v>
      </x:c>
      <x:c r="F277" t="n">
        <x:v>8</x:v>
      </x:c>
      <x:c r="G277" t="n">
        <x:v>32</x:v>
      </x:c>
      <x:c r="H277" s="127" t="n">
        <x:f>MIC_Harmonized!G35</x:f>
        <x:v>0.014705882352941176</x:v>
      </x:c>
      <x:c r="I277" s="127" t="n">
        <x:v>0.03</x:v>
      </x:c>
      <x:c r="J277" s="127" t="n">
        <x:v>44.964999999999996</x:v>
      </x:c>
      <x:c r="K277" s="127" t="n">
        <x:v>0.03</x:v>
      </x:c>
      <x:c r="L277" s="127" t="n">
        <x:f>H277*I277/100</x:f>
        <x:v>0.0000044117647058823526</x:v>
      </x:c>
      <x:c r="M277" s="127" t="n">
        <x:f>H277*J277/100</x:f>
        <x:v>0.006612499999999999</x:v>
      </x:c>
      <x:c r="N277" s="127" t="n">
        <x:f>H277*K277/100</x:f>
        <x:v>0.0000044117647058823526</x:v>
      </x:c>
      <x:c r="O277" t="str">
        <x:v>Bakthavatchalam et al. 2022, DMID 103:115652, Table 2</x:v>
      </x:c>
    </x:row>
    <x:row r="278">
      <x:c r="A278" t="str">
        <x:v>INDIA2022_OXA48_KP</x:v>
      </x:c>
      <x:c r="B278" t="str">
        <x:v>SENSITIVITY_DONOR</x:v>
      </x:c>
      <x:c r="C278" t="str">
        <x:v>R5</x:v>
      </x:c>
      <x:c r="D278" t="str">
        <x:v>31–60</x:v>
      </x:c>
      <x:c r="E278" t="n">
        <x:v>0.625</x:v>
      </x:c>
      <x:c r="F278" t="n">
        <x:v>8</x:v>
      </x:c>
      <x:c r="G278" t="n">
        <x:v>64</x:v>
      </x:c>
      <x:c r="H278" s="127" t="n">
        <x:f>MIC_Harmonized!G36</x:f>
        <x:v>0.022058823529411766</x:v>
      </x:c>
      <x:c r="I278" s="127" t="n">
        <x:v>0</x:v>
      </x:c>
      <x:c r="J278" s="127" t="n">
        <x:v>44.964999999999996</x:v>
      </x:c>
      <x:c r="K278" s="127" t="n">
        <x:v>0</x:v>
      </x:c>
      <x:c r="L278" s="127" t="n">
        <x:f>H278*I278/100</x:f>
        <x:v>0</x:v>
      </x:c>
      <x:c r="M278" s="127" t="n">
        <x:f>H278*J278/100</x:f>
        <x:v>0.009918749999999999</x:v>
      </x:c>
      <x:c r="N278" s="127" t="n">
        <x:f>H278*K278/100</x:f>
        <x:v>0</x:v>
      </x:c>
      <x:c r="O278" t="str">
        <x:v>Bakthavatchalam et al. 2022, DMID 103:115652, Table 2</x:v>
      </x:c>
    </x:row>
    <x:row r="279">
      <x:c r="A279" t="str">
        <x:v>INDIA2022_OXA48_KP</x:v>
      </x:c>
      <x:c r="B279" t="str">
        <x:v>SENSITIVITY_DONOR</x:v>
      </x:c>
      <x:c r="C279" t="str">
        <x:v>R6</x:v>
      </x:c>
      <x:c r="D279" t="str">
        <x:v>31–60</x:v>
      </x:c>
      <x:c r="E279" t="n">
        <x:v>1.25</x:v>
      </x:c>
      <x:c r="F279" t="n">
        <x:v>12</x:v>
      </x:c>
      <x:c r="G279" t="n">
        <x:v>0.0625</x:v>
      </x:c>
      <x:c r="H279" s="127" t="n">
        <x:f>MIC_Harmonized!G26</x:f>
        <x:v>0</x:v>
      </x:c>
      <x:c r="I279" s="127" t="n">
        <x:v>100</x:v>
      </x:c>
      <x:c r="J279" s="127" t="n">
        <x:v>61.035</x:v>
      </x:c>
      <x:c r="K279" s="127" t="n">
        <x:v>61.035</x:v>
      </x:c>
      <x:c r="L279" s="127" t="n">
        <x:f>H279*I279/100</x:f>
        <x:v>0</x:v>
      </x:c>
      <x:c r="M279" s="127" t="n">
        <x:f>H279*J279/100</x:f>
        <x:v>0</x:v>
      </x:c>
      <x:c r="N279" s="127" t="n">
        <x:f>H279*K279/100</x:f>
        <x:v>0</x:v>
      </x:c>
      <x:c r="O279" t="str">
        <x:v>Bakthavatchalam et al. 2022, DMID 103:115652, Table 2</x:v>
      </x:c>
    </x:row>
    <x:row r="280">
      <x:c r="A280" t="str">
        <x:v>INDIA2022_OXA48_KP</x:v>
      </x:c>
      <x:c r="B280" t="str">
        <x:v>SENSITIVITY_DONOR</x:v>
      </x:c>
      <x:c r="C280" t="str">
        <x:v>R6</x:v>
      </x:c>
      <x:c r="D280" t="str">
        <x:v>31–60</x:v>
      </x:c>
      <x:c r="E280" t="n">
        <x:v>1.25</x:v>
      </x:c>
      <x:c r="F280" t="n">
        <x:v>12</x:v>
      </x:c>
      <x:c r="G280" t="n">
        <x:v>0.125</x:v>
      </x:c>
      <x:c r="H280" s="127" t="n">
        <x:f>MIC_Harmonized!G27</x:f>
        <x:v>0</x:v>
      </x:c>
      <x:c r="I280" s="127" t="n">
        <x:v>100</x:v>
      </x:c>
      <x:c r="J280" s="127" t="n">
        <x:v>61.035</x:v>
      </x:c>
      <x:c r="K280" s="127" t="n">
        <x:v>61.035</x:v>
      </x:c>
      <x:c r="L280" s="127" t="n">
        <x:f>H280*I280/100</x:f>
        <x:v>0</x:v>
      </x:c>
      <x:c r="M280" s="127" t="n">
        <x:f>H280*J280/100</x:f>
        <x:v>0</x:v>
      </x:c>
      <x:c r="N280" s="127" t="n">
        <x:f>H280*K280/100</x:f>
        <x:v>0</x:v>
      </x:c>
      <x:c r="O280" t="str">
        <x:v>Bakthavatchalam et al. 2022, DMID 103:115652, Table 2</x:v>
      </x:c>
    </x:row>
    <x:row r="281">
      <x:c r="A281" t="str">
        <x:v>INDIA2022_OXA48_KP</x:v>
      </x:c>
      <x:c r="B281" t="str">
        <x:v>SENSITIVITY_DONOR</x:v>
      </x:c>
      <x:c r="C281" t="str">
        <x:v>R6</x:v>
      </x:c>
      <x:c r="D281" t="str">
        <x:v>31–60</x:v>
      </x:c>
      <x:c r="E281" t="n">
        <x:v>1.25</x:v>
      </x:c>
      <x:c r="F281" t="n">
        <x:v>12</x:v>
      </x:c>
      <x:c r="G281" t="n">
        <x:v>0.25</x:v>
      </x:c>
      <x:c r="H281" s="127" t="n">
        <x:f>MIC_Harmonized!G28</x:f>
        <x:v>0.014705882352941176</x:v>
      </x:c>
      <x:c r="I281" s="127" t="n">
        <x:v>100</x:v>
      </x:c>
      <x:c r="J281" s="127" t="n">
        <x:v>61.035</x:v>
      </x:c>
      <x:c r="K281" s="127" t="n">
        <x:v>61.035</x:v>
      </x:c>
      <x:c r="L281" s="127" t="n">
        <x:f>H281*I281/100</x:f>
        <x:v>0.014705882352941175</x:v>
      </x:c>
      <x:c r="M281" s="127" t="n">
        <x:f>H281*J281/100</x:f>
        <x:v>0.008975735294117645</x:v>
      </x:c>
      <x:c r="N281" s="127" t="n">
        <x:f>H281*K281/100</x:f>
        <x:v>0.008975735294117645</x:v>
      </x:c>
      <x:c r="O281" t="str">
        <x:v>Bakthavatchalam et al. 2022, DMID 103:115652, Table 2</x:v>
      </x:c>
    </x:row>
    <x:row r="282">
      <x:c r="A282" t="str">
        <x:v>INDIA2022_OXA48_KP</x:v>
      </x:c>
      <x:c r="B282" t="str">
        <x:v>SENSITIVITY_DONOR</x:v>
      </x:c>
      <x:c r="C282" t="str">
        <x:v>R6</x:v>
      </x:c>
      <x:c r="D282" t="str">
        <x:v>31–60</x:v>
      </x:c>
      <x:c r="E282" t="n">
        <x:v>1.25</x:v>
      </x:c>
      <x:c r="F282" t="n">
        <x:v>12</x:v>
      </x:c>
      <x:c r="G282" t="n">
        <x:v>0.5</x:v>
      </x:c>
      <x:c r="H282" s="127" t="n">
        <x:f>MIC_Harmonized!G29</x:f>
        <x:v>0.3088235294117647</x:v>
      </x:c>
      <x:c r="I282" s="127" t="n">
        <x:v>99.995</x:v>
      </x:c>
      <x:c r="J282" s="127" t="n">
        <x:v>61.035</x:v>
      </x:c>
      <x:c r="K282" s="127" t="n">
        <x:v>61.035</x:v>
      </x:c>
      <x:c r="L282" s="127" t="n">
        <x:f>H282*I282/100</x:f>
        <x:v>0.30880808823529415</x:v>
      </x:c>
      <x:c r="M282" s="127" t="n">
        <x:f>H282*J282/100</x:f>
        <x:v>0.18849044117647057</x:v>
      </x:c>
      <x:c r="N282" s="127" t="n">
        <x:f>H282*K282/100</x:f>
        <x:v>0.18849044117647057</x:v>
      </x:c>
      <x:c r="O282" t="str">
        <x:v>Bakthavatchalam et al. 2022, DMID 103:115652, Table 2</x:v>
      </x:c>
    </x:row>
    <x:row r="283">
      <x:c r="A283" t="str">
        <x:v>INDIA2022_OXA48_KP</x:v>
      </x:c>
      <x:c r="B283" t="str">
        <x:v>SENSITIVITY_DONOR</x:v>
      </x:c>
      <x:c r="C283" t="str">
        <x:v>R6</x:v>
      </x:c>
      <x:c r="D283" t="str">
        <x:v>31–60</x:v>
      </x:c>
      <x:c r="E283" t="n">
        <x:v>1.25</x:v>
      </x:c>
      <x:c r="F283" t="n">
        <x:v>12</x:v>
      </x:c>
      <x:c r="G283" t="n">
        <x:v>1</x:v>
      </x:c>
      <x:c r="H283" s="127" t="n">
        <x:f>MIC_Harmonized!G30</x:f>
        <x:v>0.5073529411764706</x:v>
      </x:c>
      <x:c r="I283" s="127" t="n">
        <x:v>99.39</x:v>
      </x:c>
      <x:c r="J283" s="127" t="n">
        <x:v>61.035</x:v>
      </x:c>
      <x:c r="K283" s="127" t="n">
        <x:v>61.035</x:v>
      </x:c>
      <x:c r="L283" s="127" t="n">
        <x:f>H283*I283/100</x:f>
        <x:v>0.504258088235294</x:v>
      </x:c>
      <x:c r="M283" s="127" t="n">
        <x:f>H283*J283/100</x:f>
        <x:v>0.30966286764705875</x:v>
      </x:c>
      <x:c r="N283" s="127" t="n">
        <x:f>H283*K283/100</x:f>
        <x:v>0.30966286764705875</x:v>
      </x:c>
      <x:c r="O283" t="str">
        <x:v>Bakthavatchalam et al. 2022, DMID 103:115652, Table 2</x:v>
      </x:c>
    </x:row>
    <x:row r="284">
      <x:c r="A284" t="str">
        <x:v>INDIA2022_OXA48_KP</x:v>
      </x:c>
      <x:c r="B284" t="str">
        <x:v>SENSITIVITY_DONOR</x:v>
      </x:c>
      <x:c r="C284" t="str">
        <x:v>R6</x:v>
      </x:c>
      <x:c r="D284" t="str">
        <x:v>31–60</x:v>
      </x:c>
      <x:c r="E284" t="n">
        <x:v>1.25</x:v>
      </x:c>
      <x:c r="F284" t="n">
        <x:v>12</x:v>
      </x:c>
      <x:c r="G284" t="n">
        <x:v>2</x:v>
      </x:c>
      <x:c r="H284" s="127" t="n">
        <x:f>MIC_Harmonized!G31</x:f>
        <x:v>0.11029411764705882</x:v>
      </x:c>
      <x:c r="I284" s="127" t="n">
        <x:v>91.82000000000001</x:v>
      </x:c>
      <x:c r="J284" s="127" t="n">
        <x:v>61.035</x:v>
      </x:c>
      <x:c r="K284" s="127" t="n">
        <x:v>61.035</x:v>
      </x:c>
      <x:c r="L284" s="127" t="n">
        <x:f>H284*I284/100</x:f>
        <x:v>0.10127205882352941</x:v>
      </x:c>
      <x:c r="M284" s="127" t="n">
        <x:f>H284*J284/100</x:f>
        <x:v>0.06731801470588235</x:v>
      </x:c>
      <x:c r="N284" s="127" t="n">
        <x:f>H284*K284/100</x:f>
        <x:v>0.06731801470588235</x:v>
      </x:c>
      <x:c r="O284" t="str">
        <x:v>Bakthavatchalam et al. 2022, DMID 103:115652, Table 2</x:v>
      </x:c>
    </x:row>
    <x:row r="285">
      <x:c r="A285" t="str">
        <x:v>INDIA2022_OXA48_KP</x:v>
      </x:c>
      <x:c r="B285" t="str">
        <x:v>SENSITIVITY_DONOR</x:v>
      </x:c>
      <x:c r="C285" t="str">
        <x:v>R6</x:v>
      </x:c>
      <x:c r="D285" t="str">
        <x:v>31–60</x:v>
      </x:c>
      <x:c r="E285" t="n">
        <x:v>1.25</x:v>
      </x:c>
      <x:c r="F285" t="n">
        <x:v>12</x:v>
      </x:c>
      <x:c r="G285" t="n">
        <x:v>4</x:v>
      </x:c>
      <x:c r="H285" s="127" t="n">
        <x:f>MIC_Harmonized!G32</x:f>
        <x:v>0.022058823529411766</x:v>
      </x:c>
      <x:c r="I285" s="127" t="n">
        <x:v>62.11</x:v>
      </x:c>
      <x:c r="J285" s="127" t="n">
        <x:v>61.035</x:v>
      </x:c>
      <x:c r="K285" s="127" t="n">
        <x:v>56.38999999999999</x:v>
      </x:c>
      <x:c r="L285" s="127" t="n">
        <x:f>H285*I285/100</x:f>
        <x:v>0.013700735294117647</x:v>
      </x:c>
      <x:c r="M285" s="127" t="n">
        <x:f>H285*J285/100</x:f>
        <x:v>0.013463602941176472</x:v>
      </x:c>
      <x:c r="N285" s="127" t="n">
        <x:f>H285*K285/100</x:f>
        <x:v>0.012438970588235294</x:v>
      </x:c>
      <x:c r="O285" t="str">
        <x:v>Bakthavatchalam et al. 2022, DMID 103:115652, Table 2</x:v>
      </x:c>
    </x:row>
    <x:row r="286">
      <x:c r="A286" t="str">
        <x:v>INDIA2022_OXA48_KP</x:v>
      </x:c>
      <x:c r="B286" t="str">
        <x:v>SENSITIVITY_DONOR</x:v>
      </x:c>
      <x:c r="C286" t="str">
        <x:v>R6</x:v>
      </x:c>
      <x:c r="D286" t="str">
        <x:v>31–60</x:v>
      </x:c>
      <x:c r="E286" t="n">
        <x:v>1.25</x:v>
      </x:c>
      <x:c r="F286" t="n">
        <x:v>12</x:v>
      </x:c>
      <x:c r="G286" t="n">
        <x:v>8</x:v>
      </x:c>
      <x:c r="H286" s="127" t="n">
        <x:f>MIC_Harmonized!G33</x:f>
        <x:v>0</x:v>
      </x:c>
      <x:c r="I286" s="127" t="n">
        <x:v>21.85</x:v>
      </x:c>
      <x:c r="J286" s="127" t="n">
        <x:v>61.035</x:v>
      </x:c>
      <x:c r="K286" s="127" t="n">
        <x:v>21.84</x:v>
      </x:c>
      <x:c r="L286" s="127" t="n">
        <x:f>H286*I286/100</x:f>
        <x:v>0</x:v>
      </x:c>
      <x:c r="M286" s="127" t="n">
        <x:f>H286*J286/100</x:f>
        <x:v>0</x:v>
      </x:c>
      <x:c r="N286" s="127" t="n">
        <x:f>H286*K286/100</x:f>
        <x:v>0</x:v>
      </x:c>
      <x:c r="O286" t="str">
        <x:v>Bakthavatchalam et al. 2022, DMID 103:115652, Table 2</x:v>
      </x:c>
    </x:row>
    <x:row r="287">
      <x:c r="A287" t="str">
        <x:v>INDIA2022_OXA48_KP</x:v>
      </x:c>
      <x:c r="B287" t="str">
        <x:v>SENSITIVITY_DONOR</x:v>
      </x:c>
      <x:c r="C287" t="str">
        <x:v>R6</x:v>
      </x:c>
      <x:c r="D287" t="str">
        <x:v>31–60</x:v>
      </x:c>
      <x:c r="E287" t="n">
        <x:v>1.25</x:v>
      </x:c>
      <x:c r="F287" t="n">
        <x:v>12</x:v>
      </x:c>
      <x:c r="G287" t="n">
        <x:v>16</x:v>
      </x:c>
      <x:c r="H287" s="127" t="n">
        <x:f>MIC_Harmonized!G34</x:f>
        <x:v>0</x:v>
      </x:c>
      <x:c r="I287" s="127" t="n">
        <x:v>2.93</x:v>
      </x:c>
      <x:c r="J287" s="127" t="n">
        <x:v>61.035</x:v>
      </x:c>
      <x:c r="K287" s="127" t="n">
        <x:v>2.93</x:v>
      </x:c>
      <x:c r="L287" s="127" t="n">
        <x:f>H287*I287/100</x:f>
        <x:v>0</x:v>
      </x:c>
      <x:c r="M287" s="127" t="n">
        <x:f>H287*J287/100</x:f>
        <x:v>0</x:v>
      </x:c>
      <x:c r="N287" s="127" t="n">
        <x:f>H287*K287/100</x:f>
        <x:v>0</x:v>
      </x:c>
      <x:c r="O287" t="str">
        <x:v>Bakthavatchalam et al. 2022, DMID 103:115652, Table 2</x:v>
      </x:c>
    </x:row>
    <x:row r="288">
      <x:c r="A288" t="str">
        <x:v>INDIA2022_OXA48_KP</x:v>
      </x:c>
      <x:c r="B288" t="str">
        <x:v>SENSITIVITY_DONOR</x:v>
      </x:c>
      <x:c r="C288" t="str">
        <x:v>R6</x:v>
      </x:c>
      <x:c r="D288" t="str">
        <x:v>31–60</x:v>
      </x:c>
      <x:c r="E288" t="n">
        <x:v>1.25</x:v>
      </x:c>
      <x:c r="F288" t="n">
        <x:v>12</x:v>
      </x:c>
      <x:c r="G288" t="n">
        <x:v>32</x:v>
      </x:c>
      <x:c r="H288" s="127" t="n">
        <x:f>MIC_Harmonized!G35</x:f>
        <x:v>0.014705882352941176</x:v>
      </x:c>
      <x:c r="I288" s="127" t="n">
        <x:v>0.165</x:v>
      </x:c>
      <x:c r="J288" s="127" t="n">
        <x:v>61.035</x:v>
      </x:c>
      <x:c r="K288" s="127" t="n">
        <x:v>0.165</x:v>
      </x:c>
      <x:c r="L288" s="127" t="n">
        <x:f>H288*I288/100</x:f>
        <x:v>0.000024264705882352942</x:v>
      </x:c>
      <x:c r="M288" s="127" t="n">
        <x:f>H288*J288/100</x:f>
        <x:v>0.008975735294117645</x:v>
      </x:c>
      <x:c r="N288" s="127" t="n">
        <x:f>H288*K288/100</x:f>
        <x:v>0.000024264705882352942</x:v>
      </x:c>
      <x:c r="O288" t="str">
        <x:v>Bakthavatchalam et al. 2022, DMID 103:115652, Table 2</x:v>
      </x:c>
    </x:row>
    <x:row r="289">
      <x:c r="A289" t="str">
        <x:v>INDIA2022_OXA48_KP</x:v>
      </x:c>
      <x:c r="B289" t="str">
        <x:v>SENSITIVITY_DONOR</x:v>
      </x:c>
      <x:c r="C289" t="str">
        <x:v>R6</x:v>
      </x:c>
      <x:c r="D289" t="str">
        <x:v>31–60</x:v>
      </x:c>
      <x:c r="E289" t="n">
        <x:v>1.25</x:v>
      </x:c>
      <x:c r="F289" t="n">
        <x:v>12</x:v>
      </x:c>
      <x:c r="G289" t="n">
        <x:v>64</x:v>
      </x:c>
      <x:c r="H289" s="127" t="n">
        <x:f>MIC_Harmonized!G36</x:f>
        <x:v>0.022058823529411766</x:v>
      </x:c>
      <x:c r="I289" s="127" t="n">
        <x:v>0</x:v>
      </x:c>
      <x:c r="J289" s="127" t="n">
        <x:v>61.035</x:v>
      </x:c>
      <x:c r="K289" s="127" t="n">
        <x:v>0</x:v>
      </x:c>
      <x:c r="L289" s="127" t="n">
        <x:f>H289*I289/100</x:f>
        <x:v>0</x:v>
      </x:c>
      <x:c r="M289" s="127" t="n">
        <x:f>H289*J289/100</x:f>
        <x:v>0.013463602941176472</x:v>
      </x:c>
      <x:c r="N289" s="127" t="n">
        <x:f>H289*K289/100</x:f>
        <x:v>0</x:v>
      </x:c>
      <x:c r="O289" t="str">
        <x:v>Bakthavatchalam et al. 2022, DMID 103:115652, Table 2</x:v>
      </x:c>
    </x:row>
    <x:row r="290">
      <x:c r="A290" t="str">
        <x:v>INDIA2022_OXA48_KP</x:v>
      </x:c>
      <x:c r="B290" t="str">
        <x:v>SENSITIVITY_DONOR</x:v>
      </x:c>
      <x:c r="C290" t="str">
        <x:v>R7</x:v>
      </x:c>
      <x:c r="D290" t="str">
        <x:v>31–60</x:v>
      </x:c>
      <x:c r="E290" t="n">
        <x:v>1.25</x:v>
      </x:c>
      <x:c r="F290" t="n">
        <x:v>8</x:v>
      </x:c>
      <x:c r="G290" t="n">
        <x:v>0.0625</x:v>
      </x:c>
      <x:c r="H290" s="127" t="n">
        <x:f>MIC_Harmonized!G26</x:f>
        <x:v>0</x:v>
      </x:c>
      <x:c r="I290" s="127" t="n">
        <x:v>100</x:v>
      </x:c>
      <x:c r="J290" s="127" t="n">
        <x:v>80.435</x:v>
      </x:c>
      <x:c r="K290" s="127" t="n">
        <x:v>80.435</x:v>
      </x:c>
      <x:c r="L290" s="127" t="n">
        <x:f>H290*I290/100</x:f>
        <x:v>0</x:v>
      </x:c>
      <x:c r="M290" s="127" t="n">
        <x:f>H290*J290/100</x:f>
        <x:v>0</x:v>
      </x:c>
      <x:c r="N290" s="127" t="n">
        <x:f>H290*K290/100</x:f>
        <x:v>0</x:v>
      </x:c>
      <x:c r="O290" t="str">
        <x:v>Bakthavatchalam et al. 2022, DMID 103:115652, Table 2</x:v>
      </x:c>
    </x:row>
    <x:row r="291">
      <x:c r="A291" t="str">
        <x:v>INDIA2022_OXA48_KP</x:v>
      </x:c>
      <x:c r="B291" t="str">
        <x:v>SENSITIVITY_DONOR</x:v>
      </x:c>
      <x:c r="C291" t="str">
        <x:v>R7</x:v>
      </x:c>
      <x:c r="D291" t="str">
        <x:v>31–60</x:v>
      </x:c>
      <x:c r="E291" t="n">
        <x:v>1.25</x:v>
      </x:c>
      <x:c r="F291" t="n">
        <x:v>8</x:v>
      </x:c>
      <x:c r="G291" t="n">
        <x:v>0.125</x:v>
      </x:c>
      <x:c r="H291" s="127" t="n">
        <x:f>MIC_Harmonized!G27</x:f>
        <x:v>0</x:v>
      </x:c>
      <x:c r="I291" s="127" t="n">
        <x:v>100</x:v>
      </x:c>
      <x:c r="J291" s="127" t="n">
        <x:v>80.435</x:v>
      </x:c>
      <x:c r="K291" s="127" t="n">
        <x:v>80.435</x:v>
      </x:c>
      <x:c r="L291" s="127" t="n">
        <x:f>H291*I291/100</x:f>
        <x:v>0</x:v>
      </x:c>
      <x:c r="M291" s="127" t="n">
        <x:f>H291*J291/100</x:f>
        <x:v>0</x:v>
      </x:c>
      <x:c r="N291" s="127" t="n">
        <x:f>H291*K291/100</x:f>
        <x:v>0</x:v>
      </x:c>
      <x:c r="O291" t="str">
        <x:v>Bakthavatchalam et al. 2022, DMID 103:115652, Table 2</x:v>
      </x:c>
    </x:row>
    <x:row r="292">
      <x:c r="A292" t="str">
        <x:v>INDIA2022_OXA48_KP</x:v>
      </x:c>
      <x:c r="B292" t="str">
        <x:v>SENSITIVITY_DONOR</x:v>
      </x:c>
      <x:c r="C292" t="str">
        <x:v>R7</x:v>
      </x:c>
      <x:c r="D292" t="str">
        <x:v>31–60</x:v>
      </x:c>
      <x:c r="E292" t="n">
        <x:v>1.25</x:v>
      </x:c>
      <x:c r="F292" t="n">
        <x:v>8</x:v>
      </x:c>
      <x:c r="G292" t="n">
        <x:v>0.25</x:v>
      </x:c>
      <x:c r="H292" s="127" t="n">
        <x:f>MIC_Harmonized!G28</x:f>
        <x:v>0.014705882352941176</x:v>
      </x:c>
      <x:c r="I292" s="127" t="n">
        <x:v>100</x:v>
      </x:c>
      <x:c r="J292" s="127" t="n">
        <x:v>80.435</x:v>
      </x:c>
      <x:c r="K292" s="127" t="n">
        <x:v>80.435</x:v>
      </x:c>
      <x:c r="L292" s="127" t="n">
        <x:f>H292*I292/100</x:f>
        <x:v>0.014705882352941175</x:v>
      </x:c>
      <x:c r="M292" s="127" t="n">
        <x:f>H292*J292/100</x:f>
        <x:v>0.011828676470588235</x:v>
      </x:c>
      <x:c r="N292" s="127" t="n">
        <x:f>H292*K292/100</x:f>
        <x:v>0.011828676470588235</x:v>
      </x:c>
      <x:c r="O292" t="str">
        <x:v>Bakthavatchalam et al. 2022, DMID 103:115652, Table 2</x:v>
      </x:c>
    </x:row>
    <x:row r="293">
      <x:c r="A293" t="str">
        <x:v>INDIA2022_OXA48_KP</x:v>
      </x:c>
      <x:c r="B293" t="str">
        <x:v>SENSITIVITY_DONOR</x:v>
      </x:c>
      <x:c r="C293" t="str">
        <x:v>R7</x:v>
      </x:c>
      <x:c r="D293" t="str">
        <x:v>31–60</x:v>
      </x:c>
      <x:c r="E293" t="n">
        <x:v>1.25</x:v>
      </x:c>
      <x:c r="F293" t="n">
        <x:v>8</x:v>
      </x:c>
      <x:c r="G293" t="n">
        <x:v>0.5</x:v>
      </x:c>
      <x:c r="H293" s="127" t="n">
        <x:f>MIC_Harmonized!G29</x:f>
        <x:v>0.3088235294117647</x:v>
      </x:c>
      <x:c r="I293" s="127" t="n">
        <x:v>100</x:v>
      </x:c>
      <x:c r="J293" s="127" t="n">
        <x:v>80.435</x:v>
      </x:c>
      <x:c r="K293" s="127" t="n">
        <x:v>80.435</x:v>
      </x:c>
      <x:c r="L293" s="127" t="n">
        <x:f>H293*I293/100</x:f>
        <x:v>0.3088235294117647</x:v>
      </x:c>
      <x:c r="M293" s="127" t="n">
        <x:f>H293*J293/100</x:f>
        <x:v>0.24840220588235298</x:v>
      </x:c>
      <x:c r="N293" s="127" t="n">
        <x:f>H293*K293/100</x:f>
        <x:v>0.24840220588235298</x:v>
      </x:c>
      <x:c r="O293" t="str">
        <x:v>Bakthavatchalam et al. 2022, DMID 103:115652, Table 2</x:v>
      </x:c>
    </x:row>
    <x:row r="294">
      <x:c r="A294" t="str">
        <x:v>INDIA2022_OXA48_KP</x:v>
      </x:c>
      <x:c r="B294" t="str">
        <x:v>SENSITIVITY_DONOR</x:v>
      </x:c>
      <x:c r="C294" t="str">
        <x:v>R7</x:v>
      </x:c>
      <x:c r="D294" t="str">
        <x:v>31–60</x:v>
      </x:c>
      <x:c r="E294" t="n">
        <x:v>1.25</x:v>
      </x:c>
      <x:c r="F294" t="n">
        <x:v>8</x:v>
      </x:c>
      <x:c r="G294" t="n">
        <x:v>1</x:v>
      </x:c>
      <x:c r="H294" s="127" t="n">
        <x:f>MIC_Harmonized!G30</x:f>
        <x:v>0.5073529411764706</x:v>
      </x:c>
      <x:c r="I294" s="127" t="n">
        <x:v>99.935</x:v>
      </x:c>
      <x:c r="J294" s="127" t="n">
        <x:v>80.435</x:v>
      </x:c>
      <x:c r="K294" s="127" t="n">
        <x:v>80.435</x:v>
      </x:c>
      <x:c r="L294" s="127" t="n">
        <x:f>H294*I294/100</x:f>
        <x:v>0.5070231617647059</x:v>
      </x:c>
      <x:c r="M294" s="127" t="n">
        <x:f>H294*J294/100</x:f>
        <x:v>0.4080893382352941</x:v>
      </x:c>
      <x:c r="N294" s="127" t="n">
        <x:f>H294*K294/100</x:f>
        <x:v>0.4080893382352941</x:v>
      </x:c>
      <x:c r="O294" t="str">
        <x:v>Bakthavatchalam et al. 2022, DMID 103:115652, Table 2</x:v>
      </x:c>
    </x:row>
    <x:row r="295">
      <x:c r="A295" t="str">
        <x:v>INDIA2022_OXA48_KP</x:v>
      </x:c>
      <x:c r="B295" t="str">
        <x:v>SENSITIVITY_DONOR</x:v>
      </x:c>
      <x:c r="C295" t="str">
        <x:v>R7</x:v>
      </x:c>
      <x:c r="D295" t="str">
        <x:v>31–60</x:v>
      </x:c>
      <x:c r="E295" t="n">
        <x:v>1.25</x:v>
      </x:c>
      <x:c r="F295" t="n">
        <x:v>8</x:v>
      </x:c>
      <x:c r="G295" t="n">
        <x:v>2</x:v>
      </x:c>
      <x:c r="H295" s="127" t="n">
        <x:f>MIC_Harmonized!G31</x:f>
        <x:v>0.11029411764705882</x:v>
      </x:c>
      <x:c r="I295" s="127" t="n">
        <x:v>97.875</x:v>
      </x:c>
      <x:c r="J295" s="127" t="n">
        <x:v>80.435</x:v>
      </x:c>
      <x:c r="K295" s="127" t="n">
        <x:v>80.435</x:v>
      </x:c>
      <x:c r="L295" s="127" t="n">
        <x:f>H295*I295/100</x:f>
        <x:v>0.10795036764705883</x:v>
      </x:c>
      <x:c r="M295" s="127" t="n">
        <x:f>H295*J295/100</x:f>
        <x:v>0.08871507352941176</x:v>
      </x:c>
      <x:c r="N295" s="127" t="n">
        <x:f>H295*K295/100</x:f>
        <x:v>0.08871507352941176</x:v>
      </x:c>
      <x:c r="O295" t="str">
        <x:v>Bakthavatchalam et al. 2022, DMID 103:115652, Table 2</x:v>
      </x:c>
    </x:row>
    <x:row r="296">
      <x:c r="A296" t="str">
        <x:v>INDIA2022_OXA48_KP</x:v>
      </x:c>
      <x:c r="B296" t="str">
        <x:v>SENSITIVITY_DONOR</x:v>
      </x:c>
      <x:c r="C296" t="str">
        <x:v>R7</x:v>
      </x:c>
      <x:c r="D296" t="str">
        <x:v>31–60</x:v>
      </x:c>
      <x:c r="E296" t="n">
        <x:v>1.25</x:v>
      </x:c>
      <x:c r="F296" t="n">
        <x:v>8</x:v>
      </x:c>
      <x:c r="G296" t="n">
        <x:v>4</x:v>
      </x:c>
      <x:c r="H296" s="127" t="n">
        <x:f>MIC_Harmonized!G32</x:f>
        <x:v>0.022058823529411766</x:v>
      </x:c>
      <x:c r="I296" s="127" t="n">
        <x:v>82.75</x:v>
      </x:c>
      <x:c r="J296" s="127" t="n">
        <x:v>80.435</x:v>
      </x:c>
      <x:c r="K296" s="127" t="n">
        <x:v>77.89500000000001</x:v>
      </x:c>
      <x:c r="L296" s="127" t="n">
        <x:f>H296*I296/100</x:f>
        <x:v>0.018253676470588235</x:v>
      </x:c>
      <x:c r="M296" s="127" t="n">
        <x:f>H296*J296/100</x:f>
        <x:v>0.017743014705882354</x:v>
      </x:c>
      <x:c r="N296" s="127" t="n">
        <x:f>H296*K296/100</x:f>
        <x:v>0.0171827205882353</x:v>
      </x:c>
      <x:c r="O296" t="str">
        <x:v>Bakthavatchalam et al. 2022, DMID 103:115652, Table 2</x:v>
      </x:c>
    </x:row>
    <x:row r="297">
      <x:c r="A297" t="str">
        <x:v>INDIA2022_OXA48_KP</x:v>
      </x:c>
      <x:c r="B297" t="str">
        <x:v>SENSITIVITY_DONOR</x:v>
      </x:c>
      <x:c r="C297" t="str">
        <x:v>R7</x:v>
      </x:c>
      <x:c r="D297" t="str">
        <x:v>31–60</x:v>
      </x:c>
      <x:c r="E297" t="n">
        <x:v>1.25</x:v>
      </x:c>
      <x:c r="F297" t="n">
        <x:v>8</x:v>
      </x:c>
      <x:c r="G297" t="n">
        <x:v>8</x:v>
      </x:c>
      <x:c r="H297" s="127" t="n">
        <x:f>MIC_Harmonized!G33</x:f>
        <x:v>0</x:v>
      </x:c>
      <x:c r="I297" s="127" t="n">
        <x:v>44.345</x:v>
      </x:c>
      <x:c r="J297" s="127" t="n">
        <x:v>80.435</x:v>
      </x:c>
      <x:c r="K297" s="127" t="n">
        <x:v>44.34</x:v>
      </x:c>
      <x:c r="L297" s="127" t="n">
        <x:f>H297*I297/100</x:f>
        <x:v>0</x:v>
      </x:c>
      <x:c r="M297" s="127" t="n">
        <x:f>H297*J297/100</x:f>
        <x:v>0</x:v>
      </x:c>
      <x:c r="N297" s="127" t="n">
        <x:f>H297*K297/100</x:f>
        <x:v>0</x:v>
      </x:c>
      <x:c r="O297" t="str">
        <x:v>Bakthavatchalam et al. 2022, DMID 103:115652, Table 2</x:v>
      </x:c>
    </x:row>
    <x:row r="298">
      <x:c r="A298" t="str">
        <x:v>INDIA2022_OXA48_KP</x:v>
      </x:c>
      <x:c r="B298" t="str">
        <x:v>SENSITIVITY_DONOR</x:v>
      </x:c>
      <x:c r="C298" t="str">
        <x:v>R7</x:v>
      </x:c>
      <x:c r="D298" t="str">
        <x:v>31–60</x:v>
      </x:c>
      <x:c r="E298" t="n">
        <x:v>1.25</x:v>
      </x:c>
      <x:c r="F298" t="n">
        <x:v>8</x:v>
      </x:c>
      <x:c r="G298" t="n">
        <x:v>16</x:v>
      </x:c>
      <x:c r="H298" s="127" t="n">
        <x:f>MIC_Harmonized!G34</x:f>
        <x:v>0</x:v>
      </x:c>
      <x:c r="I298" s="127" t="n">
        <x:v>10.32</x:v>
      </x:c>
      <x:c r="J298" s="127" t="n">
        <x:v>80.435</x:v>
      </x:c>
      <x:c r="K298" s="127" t="n">
        <x:v>10.32</x:v>
      </x:c>
      <x:c r="L298" s="127" t="n">
        <x:f>H298*I298/100</x:f>
        <x:v>0</x:v>
      </x:c>
      <x:c r="M298" s="127" t="n">
        <x:f>H298*J298/100</x:f>
        <x:v>0</x:v>
      </x:c>
      <x:c r="N298" s="127" t="n">
        <x:f>H298*K298/100</x:f>
        <x:v>0</x:v>
      </x:c>
      <x:c r="O298" t="str">
        <x:v>Bakthavatchalam et al. 2022, DMID 103:115652, Table 2</x:v>
      </x:c>
    </x:row>
    <x:row r="299">
      <x:c r="A299" t="str">
        <x:v>INDIA2022_OXA48_KP</x:v>
      </x:c>
      <x:c r="B299" t="str">
        <x:v>SENSITIVITY_DONOR</x:v>
      </x:c>
      <x:c r="C299" t="str">
        <x:v>R7</x:v>
      </x:c>
      <x:c r="D299" t="str">
        <x:v>31–60</x:v>
      </x:c>
      <x:c r="E299" t="n">
        <x:v>1.25</x:v>
      </x:c>
      <x:c r="F299" t="n">
        <x:v>8</x:v>
      </x:c>
      <x:c r="G299" t="n">
        <x:v>32</x:v>
      </x:c>
      <x:c r="H299" s="127" t="n">
        <x:f>MIC_Harmonized!G35</x:f>
        <x:v>0.014705882352941176</x:v>
      </x:c>
      <x:c r="I299" s="127" t="n">
        <x:v>1.01</x:v>
      </x:c>
      <x:c r="J299" s="127" t="n">
        <x:v>80.435</x:v>
      </x:c>
      <x:c r="K299" s="127" t="n">
        <x:v>1.01</x:v>
      </x:c>
      <x:c r="L299" s="127" t="n">
        <x:f>H299*I299/100</x:f>
        <x:v>0.00014852941176470588</x:v>
      </x:c>
      <x:c r="M299" s="127" t="n">
        <x:f>H299*J299/100</x:f>
        <x:v>0.011828676470588235</x:v>
      </x:c>
      <x:c r="N299" s="127" t="n">
        <x:f>H299*K299/100</x:f>
        <x:v>0.00014852941176470588</x:v>
      </x:c>
      <x:c r="O299" t="str">
        <x:v>Bakthavatchalam et al. 2022, DMID 103:115652, Table 2</x:v>
      </x:c>
    </x:row>
    <x:row r="300">
      <x:c r="A300" t="str">
        <x:v>INDIA2022_OXA48_KP</x:v>
      </x:c>
      <x:c r="B300" t="str">
        <x:v>SENSITIVITY_DONOR</x:v>
      </x:c>
      <x:c r="C300" t="str">
        <x:v>R7</x:v>
      </x:c>
      <x:c r="D300" t="str">
        <x:v>31–60</x:v>
      </x:c>
      <x:c r="E300" t="n">
        <x:v>1.25</x:v>
      </x:c>
      <x:c r="F300" t="n">
        <x:v>8</x:v>
      </x:c>
      <x:c r="G300" t="n">
        <x:v>64</x:v>
      </x:c>
      <x:c r="H300" s="127" t="n">
        <x:f>MIC_Harmonized!G36</x:f>
        <x:v>0.022058823529411766</x:v>
      </x:c>
      <x:c r="I300" s="127" t="n">
        <x:v>0.03</x:v>
      </x:c>
      <x:c r="J300" s="127" t="n">
        <x:v>80.435</x:v>
      </x:c>
      <x:c r="K300" s="127" t="n">
        <x:v>0.03</x:v>
      </x:c>
      <x:c r="L300" s="127" t="n">
        <x:f>H300*I300/100</x:f>
        <x:v>0.000006617647058823529</x:v>
      </x:c>
      <x:c r="M300" s="127" t="n">
        <x:f>H300*J300/100</x:f>
        <x:v>0.017743014705882354</x:v>
      </x:c>
      <x:c r="N300" s="127" t="n">
        <x:f>H300*K300/100</x:f>
        <x:v>0.000006617647058823529</x:v>
      </x:c>
      <x:c r="O300" t="str">
        <x:v>Bakthavatchalam et al. 2022, DMID 103:115652, Table 2</x:v>
      </x:c>
    </x:row>
    <x:row r="301">
      <x:c r="A301" t="str">
        <x:v>INDIA2022_OXA48_KP</x:v>
      </x:c>
      <x:c r="B301" t="str">
        <x:v>SENSITIVITY_DONOR</x:v>
      </x:c>
      <x:c r="C301" t="str">
        <x:v>R8</x:v>
      </x:c>
      <x:c r="D301" t="str">
        <x:v>31–60</x:v>
      </x:c>
      <x:c r="E301" t="n">
        <x:v>2.5</x:v>
      </x:c>
      <x:c r="F301" t="n">
        <x:v>12</x:v>
      </x:c>
      <x:c r="G301" t="n">
        <x:v>0.0625</x:v>
      </x:c>
      <x:c r="H301" s="127" t="n">
        <x:f>MIC_Harmonized!G26</x:f>
        <x:v>0</x:v>
      </x:c>
      <x:c r="I301" s="127" t="n">
        <x:v>100</x:v>
      </x:c>
      <x:c r="J301" s="127" t="n">
        <x:v>89.45</x:v>
      </x:c>
      <x:c r="K301" s="127" t="n">
        <x:v>89.45</x:v>
      </x:c>
      <x:c r="L301" s="127" t="n">
        <x:f>H301*I301/100</x:f>
        <x:v>0</x:v>
      </x:c>
      <x:c r="M301" s="127" t="n">
        <x:f>H301*J301/100</x:f>
        <x:v>0</x:v>
      </x:c>
      <x:c r="N301" s="127" t="n">
        <x:f>H301*K301/100</x:f>
        <x:v>0</x:v>
      </x:c>
      <x:c r="O301" t="str">
        <x:v>Bakthavatchalam et al. 2022, DMID 103:115652, Table 2</x:v>
      </x:c>
    </x:row>
    <x:row r="302">
      <x:c r="A302" t="str">
        <x:v>INDIA2022_OXA48_KP</x:v>
      </x:c>
      <x:c r="B302" t="str">
        <x:v>SENSITIVITY_DONOR</x:v>
      </x:c>
      <x:c r="C302" t="str">
        <x:v>R8</x:v>
      </x:c>
      <x:c r="D302" t="str">
        <x:v>31–60</x:v>
      </x:c>
      <x:c r="E302" t="n">
        <x:v>2.5</x:v>
      </x:c>
      <x:c r="F302" t="n">
        <x:v>12</x:v>
      </x:c>
      <x:c r="G302" t="n">
        <x:v>0.125</x:v>
      </x:c>
      <x:c r="H302" s="127" t="n">
        <x:f>MIC_Harmonized!G27</x:f>
        <x:v>0</x:v>
      </x:c>
      <x:c r="I302" s="127" t="n">
        <x:v>100</x:v>
      </x:c>
      <x:c r="J302" s="127" t="n">
        <x:v>89.45</x:v>
      </x:c>
      <x:c r="K302" s="127" t="n">
        <x:v>89.45</x:v>
      </x:c>
      <x:c r="L302" s="127" t="n">
        <x:f>H302*I302/100</x:f>
        <x:v>0</x:v>
      </x:c>
      <x:c r="M302" s="127" t="n">
        <x:f>H302*J302/100</x:f>
        <x:v>0</x:v>
      </x:c>
      <x:c r="N302" s="127" t="n">
        <x:f>H302*K302/100</x:f>
        <x:v>0</x:v>
      </x:c>
      <x:c r="O302" t="str">
        <x:v>Bakthavatchalam et al. 2022, DMID 103:115652, Table 2</x:v>
      </x:c>
    </x:row>
    <x:row r="303">
      <x:c r="A303" t="str">
        <x:v>INDIA2022_OXA48_KP</x:v>
      </x:c>
      <x:c r="B303" t="str">
        <x:v>SENSITIVITY_DONOR</x:v>
      </x:c>
      <x:c r="C303" t="str">
        <x:v>R8</x:v>
      </x:c>
      <x:c r="D303" t="str">
        <x:v>31–60</x:v>
      </x:c>
      <x:c r="E303" t="n">
        <x:v>2.5</x:v>
      </x:c>
      <x:c r="F303" t="n">
        <x:v>12</x:v>
      </x:c>
      <x:c r="G303" t="n">
        <x:v>0.25</x:v>
      </x:c>
      <x:c r="H303" s="127" t="n">
        <x:f>MIC_Harmonized!G28</x:f>
        <x:v>0.014705882352941176</x:v>
      </x:c>
      <x:c r="I303" s="127" t="n">
        <x:v>100</x:v>
      </x:c>
      <x:c r="J303" s="127" t="n">
        <x:v>89.45</x:v>
      </x:c>
      <x:c r="K303" s="127" t="n">
        <x:v>89.45</x:v>
      </x:c>
      <x:c r="L303" s="127" t="n">
        <x:f>H303*I303/100</x:f>
        <x:v>0.014705882352941175</x:v>
      </x:c>
      <x:c r="M303" s="127" t="n">
        <x:f>H303*J303/100</x:f>
        <x:v>0.013154411764705881</x:v>
      </x:c>
      <x:c r="N303" s="127" t="n">
        <x:f>H303*K303/100</x:f>
        <x:v>0.013154411764705881</x:v>
      </x:c>
      <x:c r="O303" t="str">
        <x:v>Bakthavatchalam et al. 2022, DMID 103:115652, Table 2</x:v>
      </x:c>
    </x:row>
    <x:row r="304">
      <x:c r="A304" t="str">
        <x:v>INDIA2022_OXA48_KP</x:v>
      </x:c>
      <x:c r="B304" t="str">
        <x:v>SENSITIVITY_DONOR</x:v>
      </x:c>
      <x:c r="C304" t="str">
        <x:v>R8</x:v>
      </x:c>
      <x:c r="D304" t="str">
        <x:v>31–60</x:v>
      </x:c>
      <x:c r="E304" t="n">
        <x:v>2.5</x:v>
      </x:c>
      <x:c r="F304" t="n">
        <x:v>12</x:v>
      </x:c>
      <x:c r="G304" t="n">
        <x:v>0.5</x:v>
      </x:c>
      <x:c r="H304" s="127" t="n">
        <x:f>MIC_Harmonized!G29</x:f>
        <x:v>0.3088235294117647</x:v>
      </x:c>
      <x:c r="I304" s="127" t="n">
        <x:v>100</x:v>
      </x:c>
      <x:c r="J304" s="127" t="n">
        <x:v>89.45</x:v>
      </x:c>
      <x:c r="K304" s="127" t="n">
        <x:v>89.45</x:v>
      </x:c>
      <x:c r="L304" s="127" t="n">
        <x:f>H304*I304/100</x:f>
        <x:v>0.3088235294117647</x:v>
      </x:c>
      <x:c r="M304" s="127" t="n">
        <x:f>H304*J304/100</x:f>
        <x:v>0.2762426470588235</x:v>
      </x:c>
      <x:c r="N304" s="127" t="n">
        <x:f>H304*K304/100</x:f>
        <x:v>0.2762426470588235</x:v>
      </x:c>
      <x:c r="O304" t="str">
        <x:v>Bakthavatchalam et al. 2022, DMID 103:115652, Table 2</x:v>
      </x:c>
    </x:row>
    <x:row r="305">
      <x:c r="A305" t="str">
        <x:v>INDIA2022_OXA48_KP</x:v>
      </x:c>
      <x:c r="B305" t="str">
        <x:v>SENSITIVITY_DONOR</x:v>
      </x:c>
      <x:c r="C305" t="str">
        <x:v>R8</x:v>
      </x:c>
      <x:c r="D305" t="str">
        <x:v>31–60</x:v>
      </x:c>
      <x:c r="E305" t="n">
        <x:v>2.5</x:v>
      </x:c>
      <x:c r="F305" t="n">
        <x:v>12</x:v>
      </x:c>
      <x:c r="G305" t="n">
        <x:v>1</x:v>
      </x:c>
      <x:c r="H305" s="127" t="n">
        <x:f>MIC_Harmonized!G30</x:f>
        <x:v>0.5073529411764706</x:v>
      </x:c>
      <x:c r="I305" s="127" t="n">
        <x:v>99.995</x:v>
      </x:c>
      <x:c r="J305" s="127" t="n">
        <x:v>89.45</x:v>
      </x:c>
      <x:c r="K305" s="127" t="n">
        <x:v>89.45</x:v>
      </x:c>
      <x:c r="L305" s="127" t="n">
        <x:f>H305*I305/100</x:f>
        <x:v>0.5073275735294118</x:v>
      </x:c>
      <x:c r="M305" s="127" t="n">
        <x:f>H305*J305/100</x:f>
        <x:v>0.4538272058823529</x:v>
      </x:c>
      <x:c r="N305" s="127" t="n">
        <x:f>H305*K305/100</x:f>
        <x:v>0.4538272058823529</x:v>
      </x:c>
      <x:c r="O305" t="str">
        <x:v>Bakthavatchalam et al. 2022, DMID 103:115652, Table 2</x:v>
      </x:c>
    </x:row>
    <x:row r="306">
      <x:c r="A306" t="str">
        <x:v>INDIA2022_OXA48_KP</x:v>
      </x:c>
      <x:c r="B306" t="str">
        <x:v>SENSITIVITY_DONOR</x:v>
      </x:c>
      <x:c r="C306" t="str">
        <x:v>R8</x:v>
      </x:c>
      <x:c r="D306" t="str">
        <x:v>31–60</x:v>
      </x:c>
      <x:c r="E306" t="n">
        <x:v>2.5</x:v>
      </x:c>
      <x:c r="F306" t="n">
        <x:v>12</x:v>
      </x:c>
      <x:c r="G306" t="n">
        <x:v>2</x:v>
      </x:c>
      <x:c r="H306" s="127" t="n">
        <x:f>MIC_Harmonized!G31</x:f>
        <x:v>0.11029411764705882</x:v>
      </x:c>
      <x:c r="I306" s="127" t="n">
        <x:v>99.39</x:v>
      </x:c>
      <x:c r="J306" s="127" t="n">
        <x:v>89.45</x:v>
      </x:c>
      <x:c r="K306" s="127" t="n">
        <x:v>89.45</x:v>
      </x:c>
      <x:c r="L306" s="127" t="n">
        <x:f>H306*I306/100</x:f>
        <x:v>0.10962132352941176</x:v>
      </x:c>
      <x:c r="M306" s="127" t="n">
        <x:f>H306*J306/100</x:f>
        <x:v>0.09865808823529411</x:v>
      </x:c>
      <x:c r="N306" s="127" t="n">
        <x:f>H306*K306/100</x:f>
        <x:v>0.09865808823529411</x:v>
      </x:c>
      <x:c r="O306" t="str">
        <x:v>Bakthavatchalam et al. 2022, DMID 103:115652, Table 2</x:v>
      </x:c>
    </x:row>
    <x:row r="307">
      <x:c r="A307" t="str">
        <x:v>INDIA2022_OXA48_KP</x:v>
      </x:c>
      <x:c r="B307" t="str">
        <x:v>SENSITIVITY_DONOR</x:v>
      </x:c>
      <x:c r="C307" t="str">
        <x:v>R8</x:v>
      </x:c>
      <x:c r="D307" t="str">
        <x:v>31–60</x:v>
      </x:c>
      <x:c r="E307" t="n">
        <x:v>2.5</x:v>
      </x:c>
      <x:c r="F307" t="n">
        <x:v>12</x:v>
      </x:c>
      <x:c r="G307" t="n">
        <x:v>4</x:v>
      </x:c>
      <x:c r="H307" s="127" t="n">
        <x:f>MIC_Harmonized!G32</x:f>
        <x:v>0.022058823529411766</x:v>
      </x:c>
      <x:c r="I307" s="127" t="n">
        <x:v>91.82000000000001</x:v>
      </x:c>
      <x:c r="J307" s="127" t="n">
        <x:v>89.45</x:v>
      </x:c>
      <x:c r="K307" s="127" t="n">
        <x:v>88.28</x:v>
      </x:c>
      <x:c r="L307" s="127" t="n">
        <x:f>H307*I307/100</x:f>
        <x:v>0.020254411764705885</x:v>
      </x:c>
      <x:c r="M307" s="127" t="n">
        <x:f>H307*J307/100</x:f>
        <x:v>0.019731617647058827</x:v>
      </x:c>
      <x:c r="N307" s="127" t="n">
        <x:f>H307*K307/100</x:f>
        <x:v>0.01947352941176471</x:v>
      </x:c>
      <x:c r="O307" t="str">
        <x:v>Bakthavatchalam et al. 2022, DMID 103:115652, Table 2</x:v>
      </x:c>
    </x:row>
    <x:row r="308">
      <x:c r="A308" t="str">
        <x:v>INDIA2022_OXA48_KP</x:v>
      </x:c>
      <x:c r="B308" t="str">
        <x:v>SENSITIVITY_DONOR</x:v>
      </x:c>
      <x:c r="C308" t="str">
        <x:v>R8</x:v>
      </x:c>
      <x:c r="D308" t="str">
        <x:v>31–60</x:v>
      </x:c>
      <x:c r="E308" t="n">
        <x:v>2.5</x:v>
      </x:c>
      <x:c r="F308" t="n">
        <x:v>12</x:v>
      </x:c>
      <x:c r="G308" t="n">
        <x:v>8</x:v>
      </x:c>
      <x:c r="H308" s="127" t="n">
        <x:f>MIC_Harmonized!G33</x:f>
        <x:v>0</x:v>
      </x:c>
      <x:c r="I308" s="127" t="n">
        <x:v>62.11</x:v>
      </x:c>
      <x:c r="J308" s="127" t="n">
        <x:v>89.45</x:v>
      </x:c>
      <x:c r="K308" s="127" t="n">
        <x:v>62.09</x:v>
      </x:c>
      <x:c r="L308" s="127" t="n">
        <x:f>H308*I308/100</x:f>
        <x:v>0</x:v>
      </x:c>
      <x:c r="M308" s="127" t="n">
        <x:f>H308*J308/100</x:f>
        <x:v>0</x:v>
      </x:c>
      <x:c r="N308" s="127" t="n">
        <x:f>H308*K308/100</x:f>
        <x:v>0</x:v>
      </x:c>
      <x:c r="O308" t="str">
        <x:v>Bakthavatchalam et al. 2022, DMID 103:115652, Table 2</x:v>
      </x:c>
    </x:row>
    <x:row r="309">
      <x:c r="A309" t="str">
        <x:v>INDIA2022_OXA48_KP</x:v>
      </x:c>
      <x:c r="B309" t="str">
        <x:v>SENSITIVITY_DONOR</x:v>
      </x:c>
      <x:c r="C309" t="str">
        <x:v>R8</x:v>
      </x:c>
      <x:c r="D309" t="str">
        <x:v>31–60</x:v>
      </x:c>
      <x:c r="E309" t="n">
        <x:v>2.5</x:v>
      </x:c>
      <x:c r="F309" t="n">
        <x:v>12</x:v>
      </x:c>
      <x:c r="G309" t="n">
        <x:v>16</x:v>
      </x:c>
      <x:c r="H309" s="127" t="n">
        <x:f>MIC_Harmonized!G34</x:f>
        <x:v>0</x:v>
      </x:c>
      <x:c r="I309" s="127" t="n">
        <x:v>21.85</x:v>
      </x:c>
      <x:c r="J309" s="127" t="n">
        <x:v>89.45</x:v>
      </x:c>
      <x:c r="K309" s="127" t="n">
        <x:v>21.85</x:v>
      </x:c>
      <x:c r="L309" s="127" t="n">
        <x:f>H309*I309/100</x:f>
        <x:v>0</x:v>
      </x:c>
      <x:c r="M309" s="127" t="n">
        <x:f>H309*J309/100</x:f>
        <x:v>0</x:v>
      </x:c>
      <x:c r="N309" s="127" t="n">
        <x:f>H309*K309/100</x:f>
        <x:v>0</x:v>
      </x:c>
      <x:c r="O309" t="str">
        <x:v>Bakthavatchalam et al. 2022, DMID 103:115652, Table 2</x:v>
      </x:c>
    </x:row>
    <x:row r="310">
      <x:c r="A310" t="str">
        <x:v>INDIA2022_OXA48_KP</x:v>
      </x:c>
      <x:c r="B310" t="str">
        <x:v>SENSITIVITY_DONOR</x:v>
      </x:c>
      <x:c r="C310" t="str">
        <x:v>R8</x:v>
      </x:c>
      <x:c r="D310" t="str">
        <x:v>31–60</x:v>
      </x:c>
      <x:c r="E310" t="n">
        <x:v>2.5</x:v>
      </x:c>
      <x:c r="F310" t="n">
        <x:v>12</x:v>
      </x:c>
      <x:c r="G310" t="n">
        <x:v>32</x:v>
      </x:c>
      <x:c r="H310" s="127" t="n">
        <x:f>MIC_Harmonized!G35</x:f>
        <x:v>0.014705882352941176</x:v>
      </x:c>
      <x:c r="I310" s="127" t="n">
        <x:v>2.93</x:v>
      </x:c>
      <x:c r="J310" s="127" t="n">
        <x:v>89.45</x:v>
      </x:c>
      <x:c r="K310" s="127" t="n">
        <x:v>2.93</x:v>
      </x:c>
      <x:c r="L310" s="127" t="n">
        <x:f>H310*I310/100</x:f>
        <x:v>0.0004308823529411765</x:v>
      </x:c>
      <x:c r="M310" s="127" t="n">
        <x:f>H310*J310/100</x:f>
        <x:v>0.013154411764705881</x:v>
      </x:c>
      <x:c r="N310" s="127" t="n">
        <x:f>H310*K310/100</x:f>
        <x:v>0.0004308823529411765</x:v>
      </x:c>
      <x:c r="O310" t="str">
        <x:v>Bakthavatchalam et al. 2022, DMID 103:115652, Table 2</x:v>
      </x:c>
    </x:row>
    <x:row r="311">
      <x:c r="A311" t="str">
        <x:v>INDIA2022_OXA48_KP</x:v>
      </x:c>
      <x:c r="B311" t="str">
        <x:v>SENSITIVITY_DONOR</x:v>
      </x:c>
      <x:c r="C311" t="str">
        <x:v>R8</x:v>
      </x:c>
      <x:c r="D311" t="str">
        <x:v>31–60</x:v>
      </x:c>
      <x:c r="E311" t="n">
        <x:v>2.5</x:v>
      </x:c>
      <x:c r="F311" t="n">
        <x:v>12</x:v>
      </x:c>
      <x:c r="G311" t="n">
        <x:v>64</x:v>
      </x:c>
      <x:c r="H311" s="127" t="n">
        <x:f>MIC_Harmonized!G36</x:f>
        <x:v>0.022058823529411766</x:v>
      </x:c>
      <x:c r="I311" s="127" t="n">
        <x:v>0.165</x:v>
      </x:c>
      <x:c r="J311" s="127" t="n">
        <x:v>89.45</x:v>
      </x:c>
      <x:c r="K311" s="127" t="n">
        <x:v>0.165</x:v>
      </x:c>
      <x:c r="L311" s="127" t="n">
        <x:f>H311*I311/100</x:f>
        <x:v>0.00003639705882352942</x:v>
      </x:c>
      <x:c r="M311" s="127" t="n">
        <x:f>H311*J311/100</x:f>
        <x:v>0.019731617647058827</x:v>
      </x:c>
      <x:c r="N311" s="127" t="n">
        <x:f>H311*K311/100</x:f>
        <x:v>0.00003639705882352942</x:v>
      </x:c>
      <x:c r="O311" t="str">
        <x:v>Bakthavatchalam et al. 2022, DMID 103:115652, Table 2</x:v>
      </x:c>
    </x:row>
    <x:row r="312">
      <x:c r="A312" t="str">
        <x:v>INDIA2022_OXA48_KP</x:v>
      </x:c>
      <x:c r="B312" t="str">
        <x:v>SENSITIVITY_DONOR</x:v>
      </x:c>
      <x:c r="C312" t="str">
        <x:v>R9</x:v>
      </x:c>
      <x:c r="D312" t="str">
        <x:v>61–90</x:v>
      </x:c>
      <x:c r="E312" t="n">
        <x:v>2.5</x:v>
      </x:c>
      <x:c r="F312" t="n">
        <x:v>12</x:v>
      </x:c>
      <x:c r="G312" t="n">
        <x:v>0.0625</x:v>
      </x:c>
      <x:c r="H312" s="127" t="n">
        <x:f>MIC_Harmonized!G26</x:f>
        <x:v>0</x:v>
      </x:c>
      <x:c r="I312" s="127" t="n">
        <x:v>100</x:v>
      </x:c>
      <x:c r="J312" s="127" t="n">
        <x:v>73.225</x:v>
      </x:c>
      <x:c r="K312" s="127" t="n">
        <x:v>73.225</x:v>
      </x:c>
      <x:c r="L312" s="127" t="n">
        <x:f>H312*I312/100</x:f>
        <x:v>0</x:v>
      </x:c>
      <x:c r="M312" s="127" t="n">
        <x:f>H312*J312/100</x:f>
        <x:v>0</x:v>
      </x:c>
      <x:c r="N312" s="127" t="n">
        <x:f>H312*K312/100</x:f>
        <x:v>0</x:v>
      </x:c>
      <x:c r="O312" t="str">
        <x:v>Bakthavatchalam et al. 2022, DMID 103:115652, Table 2</x:v>
      </x:c>
    </x:row>
    <x:row r="313">
      <x:c r="A313" t="str">
        <x:v>INDIA2022_OXA48_KP</x:v>
      </x:c>
      <x:c r="B313" t="str">
        <x:v>SENSITIVITY_DONOR</x:v>
      </x:c>
      <x:c r="C313" t="str">
        <x:v>R9</x:v>
      </x:c>
      <x:c r="D313" t="str">
        <x:v>61–90</x:v>
      </x:c>
      <x:c r="E313" t="n">
        <x:v>2.5</x:v>
      </x:c>
      <x:c r="F313" t="n">
        <x:v>12</x:v>
      </x:c>
      <x:c r="G313" t="n">
        <x:v>0.125</x:v>
      </x:c>
      <x:c r="H313" s="127" t="n">
        <x:f>MIC_Harmonized!G27</x:f>
        <x:v>0</x:v>
      </x:c>
      <x:c r="I313" s="127" t="n">
        <x:v>100</x:v>
      </x:c>
      <x:c r="J313" s="127" t="n">
        <x:v>73.225</x:v>
      </x:c>
      <x:c r="K313" s="127" t="n">
        <x:v>73.225</x:v>
      </x:c>
      <x:c r="L313" s="127" t="n">
        <x:f>H313*I313/100</x:f>
        <x:v>0</x:v>
      </x:c>
      <x:c r="M313" s="127" t="n">
        <x:f>H313*J313/100</x:f>
        <x:v>0</x:v>
      </x:c>
      <x:c r="N313" s="127" t="n">
        <x:f>H313*K313/100</x:f>
        <x:v>0</x:v>
      </x:c>
      <x:c r="O313" t="str">
        <x:v>Bakthavatchalam et al. 2022, DMID 103:115652, Table 2</x:v>
      </x:c>
    </x:row>
    <x:row r="314">
      <x:c r="A314" t="str">
        <x:v>INDIA2022_OXA48_KP</x:v>
      </x:c>
      <x:c r="B314" t="str">
        <x:v>SENSITIVITY_DONOR</x:v>
      </x:c>
      <x:c r="C314" t="str">
        <x:v>R9</x:v>
      </x:c>
      <x:c r="D314" t="str">
        <x:v>61–90</x:v>
      </x:c>
      <x:c r="E314" t="n">
        <x:v>2.5</x:v>
      </x:c>
      <x:c r="F314" t="n">
        <x:v>12</x:v>
      </x:c>
      <x:c r="G314" t="n">
        <x:v>0.25</x:v>
      </x:c>
      <x:c r="H314" s="127" t="n">
        <x:f>MIC_Harmonized!G28</x:f>
        <x:v>0.014705882352941176</x:v>
      </x:c>
      <x:c r="I314" s="127" t="n">
        <x:v>100</x:v>
      </x:c>
      <x:c r="J314" s="127" t="n">
        <x:v>73.225</x:v>
      </x:c>
      <x:c r="K314" s="127" t="n">
        <x:v>73.225</x:v>
      </x:c>
      <x:c r="L314" s="127" t="n">
        <x:f>H314*I314/100</x:f>
        <x:v>0.014705882352941175</x:v>
      </x:c>
      <x:c r="M314" s="127" t="n">
        <x:f>H314*J314/100</x:f>
        <x:v>0.010768382352941175</x:v>
      </x:c>
      <x:c r="N314" s="127" t="n">
        <x:f>H314*K314/100</x:f>
        <x:v>0.010768382352941175</x:v>
      </x:c>
      <x:c r="O314" t="str">
        <x:v>Bakthavatchalam et al. 2022, DMID 103:115652, Table 2</x:v>
      </x:c>
    </x:row>
    <x:row r="315">
      <x:c r="A315" t="str">
        <x:v>INDIA2022_OXA48_KP</x:v>
      </x:c>
      <x:c r="B315" t="str">
        <x:v>SENSITIVITY_DONOR</x:v>
      </x:c>
      <x:c r="C315" t="str">
        <x:v>R9</x:v>
      </x:c>
      <x:c r="D315" t="str">
        <x:v>61–90</x:v>
      </x:c>
      <x:c r="E315" t="n">
        <x:v>2.5</x:v>
      </x:c>
      <x:c r="F315" t="n">
        <x:v>12</x:v>
      </x:c>
      <x:c r="G315" t="n">
        <x:v>0.5</x:v>
      </x:c>
      <x:c r="H315" s="127" t="n">
        <x:f>MIC_Harmonized!G29</x:f>
        <x:v>0.3088235294117647</x:v>
      </x:c>
      <x:c r="I315" s="127" t="n">
        <x:v>99.995</x:v>
      </x:c>
      <x:c r="J315" s="127" t="n">
        <x:v>73.225</x:v>
      </x:c>
      <x:c r="K315" s="127" t="n">
        <x:v>73.225</x:v>
      </x:c>
      <x:c r="L315" s="127" t="n">
        <x:f>H315*I315/100</x:f>
        <x:v>0.30880808823529415</x:v>
      </x:c>
      <x:c r="M315" s="127" t="n">
        <x:f>H315*J315/100</x:f>
        <x:v>0.2261360294117647</x:v>
      </x:c>
      <x:c r="N315" s="127" t="n">
        <x:f>H315*K315/100</x:f>
        <x:v>0.2261360294117647</x:v>
      </x:c>
      <x:c r="O315" t="str">
        <x:v>Bakthavatchalam et al. 2022, DMID 103:115652, Table 2</x:v>
      </x:c>
    </x:row>
    <x:row r="316">
      <x:c r="A316" t="str">
        <x:v>INDIA2022_OXA48_KP</x:v>
      </x:c>
      <x:c r="B316" t="str">
        <x:v>SENSITIVITY_DONOR</x:v>
      </x:c>
      <x:c r="C316" t="str">
        <x:v>R9</x:v>
      </x:c>
      <x:c r="D316" t="str">
        <x:v>61–90</x:v>
      </x:c>
      <x:c r="E316" t="n">
        <x:v>2.5</x:v>
      </x:c>
      <x:c r="F316" t="n">
        <x:v>12</x:v>
      </x:c>
      <x:c r="G316" t="n">
        <x:v>1</x:v>
      </x:c>
      <x:c r="H316" s="127" t="n">
        <x:f>MIC_Harmonized!G30</x:f>
        <x:v>0.5073529411764706</x:v>
      </x:c>
      <x:c r="I316" s="127" t="n">
        <x:v>99.91499999999999</x:v>
      </x:c>
      <x:c r="J316" s="127" t="n">
        <x:v>73.225</x:v>
      </x:c>
      <x:c r="K316" s="127" t="n">
        <x:v>73.225</x:v>
      </x:c>
      <x:c r="L316" s="127" t="n">
        <x:f>H316*I316/100</x:f>
        <x:v>0.5069216911764706</x:v>
      </x:c>
      <x:c r="M316" s="127" t="n">
        <x:f>H316*J316/100</x:f>
        <x:v>0.3715091911764706</x:v>
      </x:c>
      <x:c r="N316" s="127" t="n">
        <x:f>H316*K316/100</x:f>
        <x:v>0.3715091911764706</x:v>
      </x:c>
      <x:c r="O316" t="str">
        <x:v>Bakthavatchalam et al. 2022, DMID 103:115652, Table 2</x:v>
      </x:c>
    </x:row>
    <x:row r="317">
      <x:c r="A317" t="str">
        <x:v>INDIA2022_OXA48_KP</x:v>
      </x:c>
      <x:c r="B317" t="str">
        <x:v>SENSITIVITY_DONOR</x:v>
      </x:c>
      <x:c r="C317" t="str">
        <x:v>R9</x:v>
      </x:c>
      <x:c r="D317" t="str">
        <x:v>61–90</x:v>
      </x:c>
      <x:c r="E317" t="n">
        <x:v>2.5</x:v>
      </x:c>
      <x:c r="F317" t="n">
        <x:v>12</x:v>
      </x:c>
      <x:c r="G317" t="n">
        <x:v>2</x:v>
      </x:c>
      <x:c r="H317" s="127" t="n">
        <x:f>MIC_Harmonized!G31</x:f>
        <x:v>0.11029411764705882</x:v>
      </x:c>
      <x:c r="I317" s="127" t="n">
        <x:v>97.315</x:v>
      </x:c>
      <x:c r="J317" s="127" t="n">
        <x:v>73.225</x:v>
      </x:c>
      <x:c r="K317" s="127" t="n">
        <x:v>73.225</x:v>
      </x:c>
      <x:c r="L317" s="127" t="n">
        <x:f>H317*I317/100</x:f>
        <x:v>0.10733272058823529</x:v>
      </x:c>
      <x:c r="M317" s="127" t="n">
        <x:f>H317*J317/100</x:f>
        <x:v>0.08076286764705883</x:v>
      </x:c>
      <x:c r="N317" s="127" t="n">
        <x:f>H317*K317/100</x:f>
        <x:v>0.08076286764705883</x:v>
      </x:c>
      <x:c r="O317" t="str">
        <x:v>Bakthavatchalam et al. 2022, DMID 103:115652, Table 2</x:v>
      </x:c>
    </x:row>
    <x:row r="318">
      <x:c r="A318" t="str">
        <x:v>INDIA2022_OXA48_KP</x:v>
      </x:c>
      <x:c r="B318" t="str">
        <x:v>SENSITIVITY_DONOR</x:v>
      </x:c>
      <x:c r="C318" t="str">
        <x:v>R9</x:v>
      </x:c>
      <x:c r="D318" t="str">
        <x:v>61–90</x:v>
      </x:c>
      <x:c r="E318" t="n">
        <x:v>2.5</x:v>
      </x:c>
      <x:c r="F318" t="n">
        <x:v>12</x:v>
      </x:c>
      <x:c r="G318" t="n">
        <x:v>4</x:v>
      </x:c>
      <x:c r="H318" s="127" t="n">
        <x:f>MIC_Harmonized!G32</x:f>
        <x:v>0.022058823529411766</x:v>
      </x:c>
      <x:c r="I318" s="127" t="n">
        <x:v>79.83</x:v>
      </x:c>
      <x:c r="J318" s="127" t="n">
        <x:v>73.225</x:v>
      </x:c>
      <x:c r="K318" s="127" t="n">
        <x:v>71.64500000000001</x:v>
      </x:c>
      <x:c r="L318" s="127" t="n">
        <x:f>H318*I318/100</x:f>
        <x:v>0.017609558823529412</x:v>
      </x:c>
      <x:c r="M318" s="127" t="n">
        <x:f>H318*J318/100</x:f>
        <x:v>0.016152573529411764</x:v>
      </x:c>
      <x:c r="N318" s="127" t="n">
        <x:f>H318*K318/100</x:f>
        <x:v>0.015804044117647062</x:v>
      </x:c>
      <x:c r="O318" t="str">
        <x:v>Bakthavatchalam et al. 2022, DMID 103:115652, Table 2</x:v>
      </x:c>
    </x:row>
    <x:row r="319">
      <x:c r="A319" t="str">
        <x:v>INDIA2022_OXA48_KP</x:v>
      </x:c>
      <x:c r="B319" t="str">
        <x:v>SENSITIVITY_DONOR</x:v>
      </x:c>
      <x:c r="C319" t="str">
        <x:v>R9</x:v>
      </x:c>
      <x:c r="D319" t="str">
        <x:v>61–90</x:v>
      </x:c>
      <x:c r="E319" t="n">
        <x:v>2.5</x:v>
      </x:c>
      <x:c r="F319" t="n">
        <x:v>12</x:v>
      </x:c>
      <x:c r="G319" t="n">
        <x:v>8</x:v>
      </x:c>
      <x:c r="H319" s="127" t="n">
        <x:f>MIC_Harmonized!G33</x:f>
        <x:v>0</x:v>
      </x:c>
      <x:c r="I319" s="127" t="n">
        <x:v>40.085</x:v>
      </x:c>
      <x:c r="J319" s="127" t="n">
        <x:v>73.225</x:v>
      </x:c>
      <x:c r="K319" s="127" t="n">
        <x:v>40.08</x:v>
      </x:c>
      <x:c r="L319" s="127" t="n">
        <x:f>H319*I319/100</x:f>
        <x:v>0</x:v>
      </x:c>
      <x:c r="M319" s="127" t="n">
        <x:f>H319*J319/100</x:f>
        <x:v>0</x:v>
      </x:c>
      <x:c r="N319" s="127" t="n">
        <x:f>H319*K319/100</x:f>
        <x:v>0</x:v>
      </x:c>
      <x:c r="O319" t="str">
        <x:v>Bakthavatchalam et al. 2022, DMID 103:115652, Table 2</x:v>
      </x:c>
    </x:row>
    <x:row r="320">
      <x:c r="A320" t="str">
        <x:v>INDIA2022_OXA48_KP</x:v>
      </x:c>
      <x:c r="B320" t="str">
        <x:v>SENSITIVITY_DONOR</x:v>
      </x:c>
      <x:c r="C320" t="str">
        <x:v>R9</x:v>
      </x:c>
      <x:c r="D320" t="str">
        <x:v>61–90</x:v>
      </x:c>
      <x:c r="E320" t="n">
        <x:v>2.5</x:v>
      </x:c>
      <x:c r="F320" t="n">
        <x:v>12</x:v>
      </x:c>
      <x:c r="G320" t="n">
        <x:v>16</x:v>
      </x:c>
      <x:c r="H320" s="127" t="n">
        <x:f>MIC_Harmonized!G34</x:f>
        <x:v>0</x:v>
      </x:c>
      <x:c r="I320" s="127" t="n">
        <x:v>8.53</x:v>
      </x:c>
      <x:c r="J320" s="127" t="n">
        <x:v>73.225</x:v>
      </x:c>
      <x:c r="K320" s="127" t="n">
        <x:v>8.53</x:v>
      </x:c>
      <x:c r="L320" s="127" t="n">
        <x:f>H320*I320/100</x:f>
        <x:v>0</x:v>
      </x:c>
      <x:c r="M320" s="127" t="n">
        <x:f>H320*J320/100</x:f>
        <x:v>0</x:v>
      </x:c>
      <x:c r="N320" s="127" t="n">
        <x:f>H320*K320/100</x:f>
        <x:v>0</x:v>
      </x:c>
      <x:c r="O320" t="str">
        <x:v>Bakthavatchalam et al. 2022, DMID 103:115652, Table 2</x:v>
      </x:c>
    </x:row>
    <x:row r="321">
      <x:c r="A321" t="str">
        <x:v>INDIA2022_OXA48_KP</x:v>
      </x:c>
      <x:c r="B321" t="str">
        <x:v>SENSITIVITY_DONOR</x:v>
      </x:c>
      <x:c r="C321" t="str">
        <x:v>R9</x:v>
      </x:c>
      <x:c r="D321" t="str">
        <x:v>61–90</x:v>
      </x:c>
      <x:c r="E321" t="n">
        <x:v>2.5</x:v>
      </x:c>
      <x:c r="F321" t="n">
        <x:v>12</x:v>
      </x:c>
      <x:c r="G321" t="n">
        <x:v>32</x:v>
      </x:c>
      <x:c r="H321" s="127" t="n">
        <x:f>MIC_Harmonized!G35</x:f>
        <x:v>0.014705882352941176</x:v>
      </x:c>
      <x:c r="I321" s="127" t="n">
        <x:v>0.62</x:v>
      </x:c>
      <x:c r="J321" s="127" t="n">
        <x:v>73.225</x:v>
      </x:c>
      <x:c r="K321" s="127" t="n">
        <x:v>0.62</x:v>
      </x:c>
      <x:c r="L321" s="127" t="n">
        <x:f>H321*I321/100</x:f>
        <x:v>0.00009117647058823529</x:v>
      </x:c>
      <x:c r="M321" s="127" t="n">
        <x:f>H321*J321/100</x:f>
        <x:v>0.010768382352941175</x:v>
      </x:c>
      <x:c r="N321" s="127" t="n">
        <x:f>H321*K321/100</x:f>
        <x:v>0.00009117647058823529</x:v>
      </x:c>
      <x:c r="O321" t="str">
        <x:v>Bakthavatchalam et al. 2022, DMID 103:115652, Table 2</x:v>
      </x:c>
    </x:row>
    <x:row r="322">
      <x:c r="A322" t="str">
        <x:v>INDIA2022_OXA48_KP</x:v>
      </x:c>
      <x:c r="B322" t="str">
        <x:v>SENSITIVITY_DONOR</x:v>
      </x:c>
      <x:c r="C322" t="str">
        <x:v>R9</x:v>
      </x:c>
      <x:c r="D322" t="str">
        <x:v>61–90</x:v>
      </x:c>
      <x:c r="E322" t="n">
        <x:v>2.5</x:v>
      </x:c>
      <x:c r="F322" t="n">
        <x:v>12</x:v>
      </x:c>
      <x:c r="G322" t="n">
        <x:v>64</x:v>
      </x:c>
      <x:c r="H322" s="127" t="n">
        <x:f>MIC_Harmonized!G36</x:f>
        <x:v>0.022058823529411766</x:v>
      </x:c>
      <x:c r="I322" s="127" t="n">
        <x:v>0.04</x:v>
      </x:c>
      <x:c r="J322" s="127" t="n">
        <x:v>73.225</x:v>
      </x:c>
      <x:c r="K322" s="127" t="n">
        <x:v>0.04</x:v>
      </x:c>
      <x:c r="L322" s="127" t="n">
        <x:f>H322*I322/100</x:f>
        <x:v>0.000008823529411764707</x:v>
      </x:c>
      <x:c r="M322" s="127" t="n">
        <x:f>H322*J322/100</x:f>
        <x:v>0.016152573529411764</x:v>
      </x:c>
      <x:c r="N322" s="127" t="n">
        <x:f>H322*K322/100</x:f>
        <x:v>0.000008823529411764707</x:v>
      </x:c>
      <x:c r="O322" t="str">
        <x:v>Bakthavatchalam et al. 2022, DMID 103:115652, Table 2</x:v>
      </x:c>
    </x:row>
    <x:row r="323">
      <x:c r="A323" t="str">
        <x:v>INDIA2022_OXA48_KP</x:v>
      </x:c>
      <x:c r="B323" t="str">
        <x:v>SENSITIVITY_DONOR</x:v>
      </x:c>
      <x:c r="C323" t="str">
        <x:v>R10</x:v>
      </x:c>
      <x:c r="D323" t="str">
        <x:v>61–90</x:v>
      </x:c>
      <x:c r="E323" t="n">
        <x:v>2.5</x:v>
      </x:c>
      <x:c r="F323" t="n">
        <x:v>8</x:v>
      </x:c>
      <x:c r="G323" t="n">
        <x:v>0.0625</x:v>
      </x:c>
      <x:c r="H323" s="127" t="n">
        <x:f>MIC_Harmonized!G26</x:f>
        <x:v>0</x:v>
      </x:c>
      <x:c r="I323" s="127" t="n">
        <x:v>100</x:v>
      </x:c>
      <x:c r="J323" s="127" t="n">
        <x:v>88.405</x:v>
      </x:c>
      <x:c r="K323" s="127" t="n">
        <x:v>88.405</x:v>
      </x:c>
      <x:c r="L323" s="127" t="n">
        <x:f>H323*I323/100</x:f>
        <x:v>0</x:v>
      </x:c>
      <x:c r="M323" s="127" t="n">
        <x:f>H323*J323/100</x:f>
        <x:v>0</x:v>
      </x:c>
      <x:c r="N323" s="127" t="n">
        <x:f>H323*K323/100</x:f>
        <x:v>0</x:v>
      </x:c>
      <x:c r="O323" t="str">
        <x:v>Bakthavatchalam et al. 2022, DMID 103:115652, Table 2</x:v>
      </x:c>
    </x:row>
    <x:row r="324">
      <x:c r="A324" t="str">
        <x:v>INDIA2022_OXA48_KP</x:v>
      </x:c>
      <x:c r="B324" t="str">
        <x:v>SENSITIVITY_DONOR</x:v>
      </x:c>
      <x:c r="C324" t="str">
        <x:v>R10</x:v>
      </x:c>
      <x:c r="D324" t="str">
        <x:v>61–90</x:v>
      </x:c>
      <x:c r="E324" t="n">
        <x:v>2.5</x:v>
      </x:c>
      <x:c r="F324" t="n">
        <x:v>8</x:v>
      </x:c>
      <x:c r="G324" t="n">
        <x:v>0.125</x:v>
      </x:c>
      <x:c r="H324" s="127" t="n">
        <x:f>MIC_Harmonized!G27</x:f>
        <x:v>0</x:v>
      </x:c>
      <x:c r="I324" s="127" t="n">
        <x:v>100</x:v>
      </x:c>
      <x:c r="J324" s="127" t="n">
        <x:v>88.405</x:v>
      </x:c>
      <x:c r="K324" s="127" t="n">
        <x:v>88.405</x:v>
      </x:c>
      <x:c r="L324" s="127" t="n">
        <x:f>H324*I324/100</x:f>
        <x:v>0</x:v>
      </x:c>
      <x:c r="M324" s="127" t="n">
        <x:f>H324*J324/100</x:f>
        <x:v>0</x:v>
      </x:c>
      <x:c r="N324" s="127" t="n">
        <x:f>H324*K324/100</x:f>
        <x:v>0</x:v>
      </x:c>
      <x:c r="O324" t="str">
        <x:v>Bakthavatchalam et al. 2022, DMID 103:115652, Table 2</x:v>
      </x:c>
    </x:row>
    <x:row r="325">
      <x:c r="A325" t="str">
        <x:v>INDIA2022_OXA48_KP</x:v>
      </x:c>
      <x:c r="B325" t="str">
        <x:v>SENSITIVITY_DONOR</x:v>
      </x:c>
      <x:c r="C325" t="str">
        <x:v>R10</x:v>
      </x:c>
      <x:c r="D325" t="str">
        <x:v>61–90</x:v>
      </x:c>
      <x:c r="E325" t="n">
        <x:v>2.5</x:v>
      </x:c>
      <x:c r="F325" t="n">
        <x:v>8</x:v>
      </x:c>
      <x:c r="G325" t="n">
        <x:v>0.25</x:v>
      </x:c>
      <x:c r="H325" s="127" t="n">
        <x:f>MIC_Harmonized!G28</x:f>
        <x:v>0.014705882352941176</x:v>
      </x:c>
      <x:c r="I325" s="127" t="n">
        <x:v>100</x:v>
      </x:c>
      <x:c r="J325" s="127" t="n">
        <x:v>88.405</x:v>
      </x:c>
      <x:c r="K325" s="127" t="n">
        <x:v>88.405</x:v>
      </x:c>
      <x:c r="L325" s="127" t="n">
        <x:f>H325*I325/100</x:f>
        <x:v>0.014705882352941175</x:v>
      </x:c>
      <x:c r="M325" s="127" t="n">
        <x:f>H325*J325/100</x:f>
        <x:v>0.013000735294117646</x:v>
      </x:c>
      <x:c r="N325" s="127" t="n">
        <x:f>H325*K325/100</x:f>
        <x:v>0.013000735294117646</x:v>
      </x:c>
      <x:c r="O325" t="str">
        <x:v>Bakthavatchalam et al. 2022, DMID 103:115652, Table 2</x:v>
      </x:c>
    </x:row>
    <x:row r="326">
      <x:c r="A326" t="str">
        <x:v>INDIA2022_OXA48_KP</x:v>
      </x:c>
      <x:c r="B326" t="str">
        <x:v>SENSITIVITY_DONOR</x:v>
      </x:c>
      <x:c r="C326" t="str">
        <x:v>R10</x:v>
      </x:c>
      <x:c r="D326" t="str">
        <x:v>61–90</x:v>
      </x:c>
      <x:c r="E326" t="n">
        <x:v>2.5</x:v>
      </x:c>
      <x:c r="F326" t="n">
        <x:v>8</x:v>
      </x:c>
      <x:c r="G326" t="n">
        <x:v>0.5</x:v>
      </x:c>
      <x:c r="H326" s="127" t="n">
        <x:f>MIC_Harmonized!G29</x:f>
        <x:v>0.3088235294117647</x:v>
      </x:c>
      <x:c r="I326" s="127" t="n">
        <x:v>100</x:v>
      </x:c>
      <x:c r="J326" s="127" t="n">
        <x:v>88.405</x:v>
      </x:c>
      <x:c r="K326" s="127" t="n">
        <x:v>88.405</x:v>
      </x:c>
      <x:c r="L326" s="127" t="n">
        <x:f>H326*I326/100</x:f>
        <x:v>0.3088235294117647</x:v>
      </x:c>
      <x:c r="M326" s="127" t="n">
        <x:f>H326*J326/100</x:f>
        <x:v>0.27301544117647064</x:v>
      </x:c>
      <x:c r="N326" s="127" t="n">
        <x:f>H326*K326/100</x:f>
        <x:v>0.27301544117647064</x:v>
      </x:c>
      <x:c r="O326" t="str">
        <x:v>Bakthavatchalam et al. 2022, DMID 103:115652, Table 2</x:v>
      </x:c>
    </x:row>
    <x:row r="327">
      <x:c r="A327" t="str">
        <x:v>INDIA2022_OXA48_KP</x:v>
      </x:c>
      <x:c r="B327" t="str">
        <x:v>SENSITIVITY_DONOR</x:v>
      </x:c>
      <x:c r="C327" t="str">
        <x:v>R10</x:v>
      </x:c>
      <x:c r="D327" t="str">
        <x:v>61–90</x:v>
      </x:c>
      <x:c r="E327" t="n">
        <x:v>2.5</x:v>
      </x:c>
      <x:c r="F327" t="n">
        <x:v>8</x:v>
      </x:c>
      <x:c r="G327" t="n">
        <x:v>1</x:v>
      </x:c>
      <x:c r="H327" s="127" t="n">
        <x:f>MIC_Harmonized!G30</x:f>
        <x:v>0.5073529411764706</x:v>
      </x:c>
      <x:c r="I327" s="127" t="n">
        <x:v>99.995</x:v>
      </x:c>
      <x:c r="J327" s="127" t="n">
        <x:v>88.405</x:v>
      </x:c>
      <x:c r="K327" s="127" t="n">
        <x:v>88.405</x:v>
      </x:c>
      <x:c r="L327" s="127" t="n">
        <x:f>H327*I327/100</x:f>
        <x:v>0.5073275735294118</x:v>
      </x:c>
      <x:c r="M327" s="127" t="n">
        <x:f>H327*J327/100</x:f>
        <x:v>0.4485253676470588</x:v>
      </x:c>
      <x:c r="N327" s="127" t="n">
        <x:f>H327*K327/100</x:f>
        <x:v>0.4485253676470588</x:v>
      </x:c>
      <x:c r="O327" t="str">
        <x:v>Bakthavatchalam et al. 2022, DMID 103:115652, Table 2</x:v>
      </x:c>
    </x:row>
    <x:row r="328">
      <x:c r="A328" t="str">
        <x:v>INDIA2022_OXA48_KP</x:v>
      </x:c>
      <x:c r="B328" t="str">
        <x:v>SENSITIVITY_DONOR</x:v>
      </x:c>
      <x:c r="C328" t="str">
        <x:v>R10</x:v>
      </x:c>
      <x:c r="D328" t="str">
        <x:v>61–90</x:v>
      </x:c>
      <x:c r="E328" t="n">
        <x:v>2.5</x:v>
      </x:c>
      <x:c r="F328" t="n">
        <x:v>8</x:v>
      </x:c>
      <x:c r="G328" t="n">
        <x:v>2</x:v>
      </x:c>
      <x:c r="H328" s="127" t="n">
        <x:f>MIC_Harmonized!G31</x:f>
        <x:v>0.11029411764705882</x:v>
      </x:c>
      <x:c r="I328" s="127" t="n">
        <x:v>99.555</x:v>
      </x:c>
      <x:c r="J328" s="127" t="n">
        <x:v>88.405</x:v>
      </x:c>
      <x:c r="K328" s="127" t="n">
        <x:v>88.405</x:v>
      </x:c>
      <x:c r="L328" s="127" t="n">
        <x:f>H328*I328/100</x:f>
        <x:v>0.10980330882352941</x:v>
      </x:c>
      <x:c r="M328" s="127" t="n">
        <x:f>H328*J328/100</x:f>
        <x:v>0.09750551470588235</x:v>
      </x:c>
      <x:c r="N328" s="127" t="n">
        <x:f>H328*K328/100</x:f>
        <x:v>0.09750551470588235</x:v>
      </x:c>
      <x:c r="O328" t="str">
        <x:v>Bakthavatchalam et al. 2022, DMID 103:115652, Table 2</x:v>
      </x:c>
    </x:row>
    <x:row r="329">
      <x:c r="A329" t="str">
        <x:v>INDIA2022_OXA48_KP</x:v>
      </x:c>
      <x:c r="B329" t="str">
        <x:v>SENSITIVITY_DONOR</x:v>
      </x:c>
      <x:c r="C329" t="str">
        <x:v>R10</x:v>
      </x:c>
      <x:c r="D329" t="str">
        <x:v>61–90</x:v>
      </x:c>
      <x:c r="E329" t="n">
        <x:v>2.5</x:v>
      </x:c>
      <x:c r="F329" t="n">
        <x:v>8</x:v>
      </x:c>
      <x:c r="G329" t="n">
        <x:v>4</x:v>
      </x:c>
      <x:c r="H329" s="127" t="n">
        <x:f>MIC_Harmonized!G32</x:f>
        <x:v>0.022058823529411766</x:v>
      </x:c>
      <x:c r="I329" s="127" t="n">
        <x:v>93.105</x:v>
      </x:c>
      <x:c r="J329" s="127" t="n">
        <x:v>88.405</x:v>
      </x:c>
      <x:c r="K329" s="127" t="n">
        <x:v>87.76</x:v>
      </x:c>
      <x:c r="L329" s="127" t="n">
        <x:f>H329*I329/100</x:f>
        <x:v>0.020537867647058828</x:v>
      </x:c>
      <x:c r="M329" s="127" t="n">
        <x:f>H329*J329/100</x:f>
        <x:v>0.019501102941176473</x:v>
      </x:c>
      <x:c r="N329" s="127" t="n">
        <x:f>H329*K329/100</x:f>
        <x:v>0.019358823529411765</x:v>
      </x:c>
      <x:c r="O329" t="str">
        <x:v>Bakthavatchalam et al. 2022, DMID 103:115652, Table 2</x:v>
      </x:c>
    </x:row>
    <x:row r="330">
      <x:c r="A330" t="str">
        <x:v>INDIA2022_OXA48_KP</x:v>
      </x:c>
      <x:c r="B330" t="str">
        <x:v>SENSITIVITY_DONOR</x:v>
      </x:c>
      <x:c r="C330" t="str">
        <x:v>R10</x:v>
      </x:c>
      <x:c r="D330" t="str">
        <x:v>61–90</x:v>
      </x:c>
      <x:c r="E330" t="n">
        <x:v>2.5</x:v>
      </x:c>
      <x:c r="F330" t="n">
        <x:v>8</x:v>
      </x:c>
      <x:c r="G330" t="n">
        <x:v>8</x:v>
      </x:c>
      <x:c r="H330" s="127" t="n">
        <x:f>MIC_Harmonized!G33</x:f>
        <x:v>0</x:v>
      </x:c>
      <x:c r="I330" s="127" t="n">
        <x:v>64.945</x:v>
      </x:c>
      <x:c r="J330" s="127" t="n">
        <x:v>88.405</x:v>
      </x:c>
      <x:c r="K330" s="127" t="n">
        <x:v>64.92999999999999</x:v>
      </x:c>
      <x:c r="L330" s="127" t="n">
        <x:f>H330*I330/100</x:f>
        <x:v>0</x:v>
      </x:c>
      <x:c r="M330" s="127" t="n">
        <x:f>H330*J330/100</x:f>
        <x:v>0</x:v>
      </x:c>
      <x:c r="N330" s="127" t="n">
        <x:f>H330*K330/100</x:f>
        <x:v>0</x:v>
      </x:c>
      <x:c r="O330" t="str">
        <x:v>Bakthavatchalam et al. 2022, DMID 103:115652, Table 2</x:v>
      </x:c>
    </x:row>
    <x:row r="331">
      <x:c r="A331" t="str">
        <x:v>INDIA2022_OXA48_KP</x:v>
      </x:c>
      <x:c r="B331" t="str">
        <x:v>SENSITIVITY_DONOR</x:v>
      </x:c>
      <x:c r="C331" t="str">
        <x:v>R10</x:v>
      </x:c>
      <x:c r="D331" t="str">
        <x:v>61–90</x:v>
      </x:c>
      <x:c r="E331" t="n">
        <x:v>2.5</x:v>
      </x:c>
      <x:c r="F331" t="n">
        <x:v>8</x:v>
      </x:c>
      <x:c r="G331" t="n">
        <x:v>16</x:v>
      </x:c>
      <x:c r="H331" s="127" t="n">
        <x:f>MIC_Harmonized!G34</x:f>
        <x:v>0</x:v>
      </x:c>
      <x:c r="I331" s="127" t="n">
        <x:v>23.75</x:v>
      </x:c>
      <x:c r="J331" s="127" t="n">
        <x:v>88.405</x:v>
      </x:c>
      <x:c r="K331" s="127" t="n">
        <x:v>23.75</x:v>
      </x:c>
      <x:c r="L331" s="127" t="n">
        <x:f>H331*I331/100</x:f>
        <x:v>0</x:v>
      </x:c>
      <x:c r="M331" s="127" t="n">
        <x:f>H331*J331/100</x:f>
        <x:v>0</x:v>
      </x:c>
      <x:c r="N331" s="127" t="n">
        <x:f>H331*K331/100</x:f>
        <x:v>0</x:v>
      </x:c>
      <x:c r="O331" t="str">
        <x:v>Bakthavatchalam et al. 2022, DMID 103:115652, Table 2</x:v>
      </x:c>
    </x:row>
    <x:row r="332">
      <x:c r="A332" t="str">
        <x:v>INDIA2022_OXA48_KP</x:v>
      </x:c>
      <x:c r="B332" t="str">
        <x:v>SENSITIVITY_DONOR</x:v>
      </x:c>
      <x:c r="C332" t="str">
        <x:v>R10</x:v>
      </x:c>
      <x:c r="D332" t="str">
        <x:v>61–90</x:v>
      </x:c>
      <x:c r="E332" t="n">
        <x:v>2.5</x:v>
      </x:c>
      <x:c r="F332" t="n">
        <x:v>8</x:v>
      </x:c>
      <x:c r="G332" t="n">
        <x:v>32</x:v>
      </x:c>
      <x:c r="H332" s="127" t="n">
        <x:f>MIC_Harmonized!G35</x:f>
        <x:v>0.014705882352941176</x:v>
      </x:c>
      <x:c r="I332" s="127" t="n">
        <x:v>3.485</x:v>
      </x:c>
      <x:c r="J332" s="127" t="n">
        <x:v>88.405</x:v>
      </x:c>
      <x:c r="K332" s="127" t="n">
        <x:v>3.485</x:v>
      </x:c>
      <x:c r="L332" s="127" t="n">
        <x:f>H332*I332/100</x:f>
        <x:v>0.0005124999999999999</x:v>
      </x:c>
      <x:c r="M332" s="127" t="n">
        <x:f>H332*J332/100</x:f>
        <x:v>0.013000735294117646</x:v>
      </x:c>
      <x:c r="N332" s="127" t="n">
        <x:f>H332*K332/100</x:f>
        <x:v>0.0005124999999999999</x:v>
      </x:c>
      <x:c r="O332" t="str">
        <x:v>Bakthavatchalam et al. 2022, DMID 103:115652, Table 2</x:v>
      </x:c>
    </x:row>
    <x:row r="333">
      <x:c r="A333" t="str">
        <x:v>INDIA2022_OXA48_KP</x:v>
      </x:c>
      <x:c r="B333" t="str">
        <x:v>SENSITIVITY_DONOR</x:v>
      </x:c>
      <x:c r="C333" t="str">
        <x:v>R10</x:v>
      </x:c>
      <x:c r="D333" t="str">
        <x:v>61–90</x:v>
      </x:c>
      <x:c r="E333" t="n">
        <x:v>2.5</x:v>
      </x:c>
      <x:c r="F333" t="n">
        <x:v>8</x:v>
      </x:c>
      <x:c r="G333" t="n">
        <x:v>64</x:v>
      </x:c>
      <x:c r="H333" s="127" t="n">
        <x:f>MIC_Harmonized!G36</x:f>
        <x:v>0.022058823529411766</x:v>
      </x:c>
      <x:c r="I333" s="127" t="n">
        <x:v>0.11499999999999999</x:v>
      </x:c>
      <x:c r="J333" s="127" t="n">
        <x:v>88.405</x:v>
      </x:c>
      <x:c r="K333" s="127" t="n">
        <x:v>0.11499999999999999</x:v>
      </x:c>
      <x:c r="L333" s="127" t="n">
        <x:f>H333*I333/100</x:f>
        <x:v>0.00002536764705882353</x:v>
      </x:c>
      <x:c r="M333" s="127" t="n">
        <x:f>H333*J333/100</x:f>
        <x:v>0.019501102941176473</x:v>
      </x:c>
      <x:c r="N333" s="127" t="n">
        <x:f>H333*K333/100</x:f>
        <x:v>0.00002536764705882353</x:v>
      </x:c>
      <x:c r="O333" t="str">
        <x:v>Bakthavatchalam et al. 2022, DMID 103:115652, Table 2</x:v>
      </x:c>
    </x:row>
    <x:row r="334">
      <x:c r="A334" t="str">
        <x:v>INDIA2022_OXA48_KP</x:v>
      </x:c>
      <x:c r="B334" t="str">
        <x:v>SENSITIVITY_DONOR</x:v>
      </x:c>
      <x:c r="C334" t="str">
        <x:v>R11</x:v>
      </x:c>
      <x:c r="D334" t="str">
        <x:v>91–120</x:v>
      </x:c>
      <x:c r="E334" t="n">
        <x:v>2.5</x:v>
      </x:c>
      <x:c r="F334" t="n">
        <x:v>8</x:v>
      </x:c>
      <x:c r="G334" t="n">
        <x:v>0.0625</x:v>
      </x:c>
      <x:c r="H334" s="127" t="n">
        <x:f>MIC_Harmonized!G26</x:f>
        <x:v>0</x:v>
      </x:c>
      <x:c r="I334" s="127" t="n">
        <x:v>100</x:v>
      </x:c>
      <x:c r="J334" s="127" t="n">
        <x:v>78.18</x:v>
      </x:c>
      <x:c r="K334" s="127" t="n">
        <x:v>78.18</x:v>
      </x:c>
      <x:c r="L334" s="127" t="n">
        <x:f>H334*I334/100</x:f>
        <x:v>0</x:v>
      </x:c>
      <x:c r="M334" s="127" t="n">
        <x:f>H334*J334/100</x:f>
        <x:v>0</x:v>
      </x:c>
      <x:c r="N334" s="127" t="n">
        <x:f>H334*K334/100</x:f>
        <x:v>0</x:v>
      </x:c>
      <x:c r="O334" t="str">
        <x:v>Bakthavatchalam et al. 2022, DMID 103:115652, Table 2</x:v>
      </x:c>
    </x:row>
    <x:row r="335">
      <x:c r="A335" t="str">
        <x:v>INDIA2022_OXA48_KP</x:v>
      </x:c>
      <x:c r="B335" t="str">
        <x:v>SENSITIVITY_DONOR</x:v>
      </x:c>
      <x:c r="C335" t="str">
        <x:v>R11</x:v>
      </x:c>
      <x:c r="D335" t="str">
        <x:v>91–120</x:v>
      </x:c>
      <x:c r="E335" t="n">
        <x:v>2.5</x:v>
      </x:c>
      <x:c r="F335" t="n">
        <x:v>8</x:v>
      </x:c>
      <x:c r="G335" t="n">
        <x:v>0.125</x:v>
      </x:c>
      <x:c r="H335" s="127" t="n">
        <x:f>MIC_Harmonized!G27</x:f>
        <x:v>0</x:v>
      </x:c>
      <x:c r="I335" s="127" t="n">
        <x:v>100</x:v>
      </x:c>
      <x:c r="J335" s="127" t="n">
        <x:v>78.18</x:v>
      </x:c>
      <x:c r="K335" s="127" t="n">
        <x:v>78.18</x:v>
      </x:c>
      <x:c r="L335" s="127" t="n">
        <x:f>H335*I335/100</x:f>
        <x:v>0</x:v>
      </x:c>
      <x:c r="M335" s="127" t="n">
        <x:f>H335*J335/100</x:f>
        <x:v>0</x:v>
      </x:c>
      <x:c r="N335" s="127" t="n">
        <x:f>H335*K335/100</x:f>
        <x:v>0</x:v>
      </x:c>
      <x:c r="O335" t="str">
        <x:v>Bakthavatchalam et al. 2022, DMID 103:115652, Table 2</x:v>
      </x:c>
    </x:row>
    <x:row r="336">
      <x:c r="A336" t="str">
        <x:v>INDIA2022_OXA48_KP</x:v>
      </x:c>
      <x:c r="B336" t="str">
        <x:v>SENSITIVITY_DONOR</x:v>
      </x:c>
      <x:c r="C336" t="str">
        <x:v>R11</x:v>
      </x:c>
      <x:c r="D336" t="str">
        <x:v>91–120</x:v>
      </x:c>
      <x:c r="E336" t="n">
        <x:v>2.5</x:v>
      </x:c>
      <x:c r="F336" t="n">
        <x:v>8</x:v>
      </x:c>
      <x:c r="G336" t="n">
        <x:v>0.25</x:v>
      </x:c>
      <x:c r="H336" s="127" t="n">
        <x:f>MIC_Harmonized!G28</x:f>
        <x:v>0.014705882352941176</x:v>
      </x:c>
      <x:c r="I336" s="127" t="n">
        <x:v>100</x:v>
      </x:c>
      <x:c r="J336" s="127" t="n">
        <x:v>78.18</x:v>
      </x:c>
      <x:c r="K336" s="127" t="n">
        <x:v>78.18</x:v>
      </x:c>
      <x:c r="L336" s="127" t="n">
        <x:f>H336*I336/100</x:f>
        <x:v>0.014705882352941175</x:v>
      </x:c>
      <x:c r="M336" s="127" t="n">
        <x:f>H336*J336/100</x:f>
        <x:v>0.011497058823529414</x:v>
      </x:c>
      <x:c r="N336" s="127" t="n">
        <x:f>H336*K336/100</x:f>
        <x:v>0.011497058823529414</x:v>
      </x:c>
      <x:c r="O336" t="str">
        <x:v>Bakthavatchalam et al. 2022, DMID 103:115652, Table 2</x:v>
      </x:c>
    </x:row>
    <x:row r="337">
      <x:c r="A337" t="str">
        <x:v>INDIA2022_OXA48_KP</x:v>
      </x:c>
      <x:c r="B337" t="str">
        <x:v>SENSITIVITY_DONOR</x:v>
      </x:c>
      <x:c r="C337" t="str">
        <x:v>R11</x:v>
      </x:c>
      <x:c r="D337" t="str">
        <x:v>91–120</x:v>
      </x:c>
      <x:c r="E337" t="n">
        <x:v>2.5</x:v>
      </x:c>
      <x:c r="F337" t="n">
        <x:v>8</x:v>
      </x:c>
      <x:c r="G337" t="n">
        <x:v>0.5</x:v>
      </x:c>
      <x:c r="H337" s="127" t="n">
        <x:f>MIC_Harmonized!G29</x:f>
        <x:v>0.3088235294117647</x:v>
      </x:c>
      <x:c r="I337" s="127" t="n">
        <x:v>99.995</x:v>
      </x:c>
      <x:c r="J337" s="127" t="n">
        <x:v>78.18</x:v>
      </x:c>
      <x:c r="K337" s="127" t="n">
        <x:v>78.18</x:v>
      </x:c>
      <x:c r="L337" s="127" t="n">
        <x:f>H337*I337/100</x:f>
        <x:v>0.30880808823529415</x:v>
      </x:c>
      <x:c r="M337" s="127" t="n">
        <x:f>H337*J337/100</x:f>
        <x:v>0.24143823529411768</x:v>
      </x:c>
      <x:c r="N337" s="127" t="n">
        <x:f>H337*K337/100</x:f>
        <x:v>0.24143823529411768</x:v>
      </x:c>
      <x:c r="O337" t="str">
        <x:v>Bakthavatchalam et al. 2022, DMID 103:115652, Table 2</x:v>
      </x:c>
    </x:row>
    <x:row r="338">
      <x:c r="A338" t="str">
        <x:v>INDIA2022_OXA48_KP</x:v>
      </x:c>
      <x:c r="B338" t="str">
        <x:v>SENSITIVITY_DONOR</x:v>
      </x:c>
      <x:c r="C338" t="str">
        <x:v>R11</x:v>
      </x:c>
      <x:c r="D338" t="str">
        <x:v>91–120</x:v>
      </x:c>
      <x:c r="E338" t="n">
        <x:v>2.5</x:v>
      </x:c>
      <x:c r="F338" t="n">
        <x:v>8</x:v>
      </x:c>
      <x:c r="G338" t="n">
        <x:v>1</x:v>
      </x:c>
      <x:c r="H338" s="127" t="n">
        <x:f>MIC_Harmonized!G30</x:f>
        <x:v>0.5073529411764706</x:v>
      </x:c>
      <x:c r="I338" s="127" t="n">
        <x:v>99.95</x:v>
      </x:c>
      <x:c r="J338" s="127" t="n">
        <x:v>78.18</x:v>
      </x:c>
      <x:c r="K338" s="127" t="n">
        <x:v>78.18</x:v>
      </x:c>
      <x:c r="L338" s="127" t="n">
        <x:f>H338*I338/100</x:f>
        <x:v>0.5070992647058824</x:v>
      </x:c>
      <x:c r="M338" s="127" t="n">
        <x:f>H338*J338/100</x:f>
        <x:v>0.3966485294117647</x:v>
      </x:c>
      <x:c r="N338" s="127" t="n">
        <x:f>H338*K338/100</x:f>
        <x:v>0.3966485294117647</x:v>
      </x:c>
      <x:c r="O338" t="str">
        <x:v>Bakthavatchalam et al. 2022, DMID 103:115652, Table 2</x:v>
      </x:c>
    </x:row>
    <x:row r="339">
      <x:c r="A339" t="str">
        <x:v>INDIA2022_OXA48_KP</x:v>
      </x:c>
      <x:c r="B339" t="str">
        <x:v>SENSITIVITY_DONOR</x:v>
      </x:c>
      <x:c r="C339" t="str">
        <x:v>R11</x:v>
      </x:c>
      <x:c r="D339" t="str">
        <x:v>91–120</x:v>
      </x:c>
      <x:c r="E339" t="n">
        <x:v>2.5</x:v>
      </x:c>
      <x:c r="F339" t="n">
        <x:v>8</x:v>
      </x:c>
      <x:c r="G339" t="n">
        <x:v>2</x:v>
      </x:c>
      <x:c r="H339" s="127" t="n">
        <x:f>MIC_Harmonized!G31</x:f>
        <x:v>0.11029411764705882</x:v>
      </x:c>
      <x:c r="I339" s="127" t="n">
        <x:v>98.77</x:v>
      </x:c>
      <x:c r="J339" s="127" t="n">
        <x:v>78.18</x:v>
      </x:c>
      <x:c r="K339" s="127" t="n">
        <x:v>78.18</x:v>
      </x:c>
      <x:c r="L339" s="127" t="n">
        <x:f>H339*I339/100</x:f>
        <x:v>0.10893749999999999</x:v>
      </x:c>
      <x:c r="M339" s="127" t="n">
        <x:f>H339*J339/100</x:f>
        <x:v>0.08622794117647059</x:v>
      </x:c>
      <x:c r="N339" s="127" t="n">
        <x:f>H339*K339/100</x:f>
        <x:v>0.08622794117647059</x:v>
      </x:c>
      <x:c r="O339" t="str">
        <x:v>Bakthavatchalam et al. 2022, DMID 103:115652, Table 2</x:v>
      </x:c>
    </x:row>
    <x:row r="340">
      <x:c r="A340" t="str">
        <x:v>INDIA2022_OXA48_KP</x:v>
      </x:c>
      <x:c r="B340" t="str">
        <x:v>SENSITIVITY_DONOR</x:v>
      </x:c>
      <x:c r="C340" t="str">
        <x:v>R11</x:v>
      </x:c>
      <x:c r="D340" t="str">
        <x:v>91–120</x:v>
      </x:c>
      <x:c r="E340" t="n">
        <x:v>2.5</x:v>
      </x:c>
      <x:c r="F340" t="n">
        <x:v>8</x:v>
      </x:c>
      <x:c r="G340" t="n">
        <x:v>4</x:v>
      </x:c>
      <x:c r="H340" s="127" t="n">
        <x:f>MIC_Harmonized!G32</x:f>
        <x:v>0.022058823529411766</x:v>
      </x:c>
      <x:c r="I340" s="127" t="n">
        <x:v>86.905</x:v>
      </x:c>
      <x:c r="J340" s="127" t="n">
        <x:v>78.18</x:v>
      </x:c>
      <x:c r="K340" s="127" t="n">
        <x:v>77.46</x:v>
      </x:c>
      <x:c r="L340" s="127" t="n">
        <x:f>H340*I340/100</x:f>
        <x:v>0.019170220588235296</x:v>
      </x:c>
      <x:c r="M340" s="127" t="n">
        <x:f>H340*J340/100</x:f>
        <x:v>0.01724558823529412</x:v>
      </x:c>
      <x:c r="N340" s="127" t="n">
        <x:f>H340*K340/100</x:f>
        <x:v>0.017086764705882353</x:v>
      </x:c>
      <x:c r="O340" t="str">
        <x:v>Bakthavatchalam et al. 2022, DMID 103:115652, Table 2</x:v>
      </x:c>
    </x:row>
    <x:row r="341">
      <x:c r="A341" t="str">
        <x:v>INDIA2022_OXA48_KP</x:v>
      </x:c>
      <x:c r="B341" t="str">
        <x:v>SENSITIVITY_DONOR</x:v>
      </x:c>
      <x:c r="C341" t="str">
        <x:v>R11</x:v>
      </x:c>
      <x:c r="D341" t="str">
        <x:v>91–120</x:v>
      </x:c>
      <x:c r="E341" t="n">
        <x:v>2.5</x:v>
      </x:c>
      <x:c r="F341" t="n">
        <x:v>8</x:v>
      </x:c>
      <x:c r="G341" t="n">
        <x:v>8</x:v>
      </x:c>
      <x:c r="H341" s="127" t="n">
        <x:f>MIC_Harmonized!G33</x:f>
        <x:v>0</x:v>
      </x:c>
      <x:c r="I341" s="127" t="n">
        <x:v>50.690000000000005</x:v>
      </x:c>
      <x:c r="J341" s="127" t="n">
        <x:v>78.18</x:v>
      </x:c>
      <x:c r="K341" s="127" t="n">
        <x:v>50.665000000000006</x:v>
      </x:c>
      <x:c r="L341" s="127" t="n">
        <x:f>H341*I341/100</x:f>
        <x:v>0</x:v>
      </x:c>
      <x:c r="M341" s="127" t="n">
        <x:f>H341*J341/100</x:f>
        <x:v>0</x:v>
      </x:c>
      <x:c r="N341" s="127" t="n">
        <x:f>H341*K341/100</x:f>
        <x:v>0</x:v>
      </x:c>
      <x:c r="O341" t="str">
        <x:v>Bakthavatchalam et al. 2022, DMID 103:115652, Table 2</x:v>
      </x:c>
    </x:row>
    <x:row r="342">
      <x:c r="A342" t="str">
        <x:v>INDIA2022_OXA48_KP</x:v>
      </x:c>
      <x:c r="B342" t="str">
        <x:v>SENSITIVITY_DONOR</x:v>
      </x:c>
      <x:c r="C342" t="str">
        <x:v>R11</x:v>
      </x:c>
      <x:c r="D342" t="str">
        <x:v>91–120</x:v>
      </x:c>
      <x:c r="E342" t="n">
        <x:v>2.5</x:v>
      </x:c>
      <x:c r="F342" t="n">
        <x:v>8</x:v>
      </x:c>
      <x:c r="G342" t="n">
        <x:v>16</x:v>
      </x:c>
      <x:c r="H342" s="127" t="n">
        <x:f>MIC_Harmonized!G34</x:f>
        <x:v>0</x:v>
      </x:c>
      <x:c r="I342" s="127" t="n">
        <x:v>13.469999999999999</x:v>
      </x:c>
      <x:c r="J342" s="127" t="n">
        <x:v>78.18</x:v>
      </x:c>
      <x:c r="K342" s="127" t="n">
        <x:v>13.469999999999999</x:v>
      </x:c>
      <x:c r="L342" s="127" t="n">
        <x:f>H342*I342/100</x:f>
        <x:v>0</x:v>
      </x:c>
      <x:c r="M342" s="127" t="n">
        <x:f>H342*J342/100</x:f>
        <x:v>0</x:v>
      </x:c>
      <x:c r="N342" s="127" t="n">
        <x:f>H342*K342/100</x:f>
        <x:v>0</x:v>
      </x:c>
      <x:c r="O342" t="str">
        <x:v>Bakthavatchalam et al. 2022, DMID 103:115652, Table 2</x:v>
      </x:c>
    </x:row>
    <x:row r="343">
      <x:c r="A343" t="str">
        <x:v>INDIA2022_OXA48_KP</x:v>
      </x:c>
      <x:c r="B343" t="str">
        <x:v>SENSITIVITY_DONOR</x:v>
      </x:c>
      <x:c r="C343" t="str">
        <x:v>R11</x:v>
      </x:c>
      <x:c r="D343" t="str">
        <x:v>91–120</x:v>
      </x:c>
      <x:c r="E343" t="n">
        <x:v>2.5</x:v>
      </x:c>
      <x:c r="F343" t="n">
        <x:v>8</x:v>
      </x:c>
      <x:c r="G343" t="n">
        <x:v>32</x:v>
      </x:c>
      <x:c r="H343" s="127" t="n">
        <x:f>MIC_Harmonized!G35</x:f>
        <x:v>0.014705882352941176</x:v>
      </x:c>
      <x:c r="I343" s="127" t="n">
        <x:v>1.29</x:v>
      </x:c>
      <x:c r="J343" s="127" t="n">
        <x:v>78.18</x:v>
      </x:c>
      <x:c r="K343" s="127" t="n">
        <x:v>1.29</x:v>
      </x:c>
      <x:c r="L343" s="127" t="n">
        <x:f>H343*I343/100</x:f>
        <x:v>0.00018970588235294117</x:v>
      </x:c>
      <x:c r="M343" s="127" t="n">
        <x:f>H343*J343/100</x:f>
        <x:v>0.011497058823529414</x:v>
      </x:c>
      <x:c r="N343" s="127" t="n">
        <x:f>H343*K343/100</x:f>
        <x:v>0.00018970588235294117</x:v>
      </x:c>
      <x:c r="O343" t="str">
        <x:v>Bakthavatchalam et al. 2022, DMID 103:115652, Table 2</x:v>
      </x:c>
    </x:row>
    <x:row r="344">
      <x:c r="A344" t="str">
        <x:v>INDIA2022_OXA48_KP</x:v>
      </x:c>
      <x:c r="B344" t="str">
        <x:v>SENSITIVITY_DONOR</x:v>
      </x:c>
      <x:c r="C344" t="str">
        <x:v>R11</x:v>
      </x:c>
      <x:c r="D344" t="str">
        <x:v>91–120</x:v>
      </x:c>
      <x:c r="E344" t="n">
        <x:v>2.5</x:v>
      </x:c>
      <x:c r="F344" t="n">
        <x:v>8</x:v>
      </x:c>
      <x:c r="G344" t="n">
        <x:v>64</x:v>
      </x:c>
      <x:c r="H344" s="127" t="n">
        <x:f>MIC_Harmonized!G36</x:f>
        <x:v>0.022058823529411766</x:v>
      </x:c>
      <x:c r="I344" s="127" t="n">
        <x:v>0.015</x:v>
      </x:c>
      <x:c r="J344" s="127" t="n">
        <x:v>78.18</x:v>
      </x:c>
      <x:c r="K344" s="127" t="n">
        <x:v>0.015</x:v>
      </x:c>
      <x:c r="L344" s="127" t="n">
        <x:f>H344*I344/100</x:f>
        <x:v>0.0000033088235294117644</x:v>
      </x:c>
      <x:c r="M344" s="127" t="n">
        <x:f>H344*J344/100</x:f>
        <x:v>0.01724558823529412</x:v>
      </x:c>
      <x:c r="N344" s="127" t="n">
        <x:f>H344*K344/100</x:f>
        <x:v>0.0000033088235294117644</x:v>
      </x:c>
      <x:c r="O344" t="str">
        <x:v>Bakthavatchalam et al. 2022, DMID 103:115652, Table 2</x:v>
      </x:c>
    </x:row>
    <x:row r="345">
      <x:c r="A345" t="str">
        <x:v>INDIA2022_OXA48_KP</x:v>
      </x:c>
      <x:c r="B345" t="str">
        <x:v>SENSITIVITY_DONOR</x:v>
      </x:c>
      <x:c r="C345" t="str">
        <x:v>R12</x:v>
      </x:c>
      <x:c r="D345" t="str">
        <x:v>91–120</x:v>
      </x:c>
      <x:c r="E345" t="n">
        <x:v>2.5</x:v>
      </x:c>
      <x:c r="F345" t="n">
        <x:v>6</x:v>
      </x:c>
      <x:c r="G345" t="n">
        <x:v>0.0625</x:v>
      </x:c>
      <x:c r="H345" s="127" t="n">
        <x:f>MIC_Harmonized!G26</x:f>
        <x:v>0</x:v>
      </x:c>
      <x:c r="I345" s="127" t="n">
        <x:v>100</x:v>
      </x:c>
      <x:c r="J345" s="127" t="n">
        <x:v>88.46000000000001</x:v>
      </x:c>
      <x:c r="K345" s="127" t="n">
        <x:v>88.46000000000001</x:v>
      </x:c>
      <x:c r="L345" s="127" t="n">
        <x:f>H345*I345/100</x:f>
        <x:v>0</x:v>
      </x:c>
      <x:c r="M345" s="127" t="n">
        <x:f>H345*J345/100</x:f>
        <x:v>0</x:v>
      </x:c>
      <x:c r="N345" s="127" t="n">
        <x:f>H345*K345/100</x:f>
        <x:v>0</x:v>
      </x:c>
      <x:c r="O345" t="str">
        <x:v>Bakthavatchalam et al. 2022, DMID 103:115652, Table 2</x:v>
      </x:c>
    </x:row>
    <x:row r="346">
      <x:c r="A346" t="str">
        <x:v>INDIA2022_OXA48_KP</x:v>
      </x:c>
      <x:c r="B346" t="str">
        <x:v>SENSITIVITY_DONOR</x:v>
      </x:c>
      <x:c r="C346" t="str">
        <x:v>R12</x:v>
      </x:c>
      <x:c r="D346" t="str">
        <x:v>91–120</x:v>
      </x:c>
      <x:c r="E346" t="n">
        <x:v>2.5</x:v>
      </x:c>
      <x:c r="F346" t="n">
        <x:v>6</x:v>
      </x:c>
      <x:c r="G346" t="n">
        <x:v>0.125</x:v>
      </x:c>
      <x:c r="H346" s="127" t="n">
        <x:f>MIC_Harmonized!G27</x:f>
        <x:v>0</x:v>
      </x:c>
      <x:c r="I346" s="127" t="n">
        <x:v>100</x:v>
      </x:c>
      <x:c r="J346" s="127" t="n">
        <x:v>88.46000000000001</x:v>
      </x:c>
      <x:c r="K346" s="127" t="n">
        <x:v>88.46000000000001</x:v>
      </x:c>
      <x:c r="L346" s="127" t="n">
        <x:f>H346*I346/100</x:f>
        <x:v>0</x:v>
      </x:c>
      <x:c r="M346" s="127" t="n">
        <x:f>H346*J346/100</x:f>
        <x:v>0</x:v>
      </x:c>
      <x:c r="N346" s="127" t="n">
        <x:f>H346*K346/100</x:f>
        <x:v>0</x:v>
      </x:c>
      <x:c r="O346" t="str">
        <x:v>Bakthavatchalam et al. 2022, DMID 103:115652, Table 2</x:v>
      </x:c>
    </x:row>
    <x:row r="347">
      <x:c r="A347" t="str">
        <x:v>INDIA2022_OXA48_KP</x:v>
      </x:c>
      <x:c r="B347" t="str">
        <x:v>SENSITIVITY_DONOR</x:v>
      </x:c>
      <x:c r="C347" t="str">
        <x:v>R12</x:v>
      </x:c>
      <x:c r="D347" t="str">
        <x:v>91–120</x:v>
      </x:c>
      <x:c r="E347" t="n">
        <x:v>2.5</x:v>
      </x:c>
      <x:c r="F347" t="n">
        <x:v>6</x:v>
      </x:c>
      <x:c r="G347" t="n">
        <x:v>0.25</x:v>
      </x:c>
      <x:c r="H347" s="127" t="n">
        <x:f>MIC_Harmonized!G28</x:f>
        <x:v>0.014705882352941176</x:v>
      </x:c>
      <x:c r="I347" s="127" t="n">
        <x:v>100</x:v>
      </x:c>
      <x:c r="J347" s="127" t="n">
        <x:v>88.46000000000001</x:v>
      </x:c>
      <x:c r="K347" s="127" t="n">
        <x:v>88.46000000000001</x:v>
      </x:c>
      <x:c r="L347" s="127" t="n">
        <x:f>H347*I347/100</x:f>
        <x:v>0.014705882352941175</x:v>
      </x:c>
      <x:c r="M347" s="127" t="n">
        <x:f>H347*J347/100</x:f>
        <x:v>0.013008823529411765</x:v>
      </x:c>
      <x:c r="N347" s="127" t="n">
        <x:f>H347*K347/100</x:f>
        <x:v>0.013008823529411765</x:v>
      </x:c>
      <x:c r="O347" t="str">
        <x:v>Bakthavatchalam et al. 2022, DMID 103:115652, Table 2</x:v>
      </x:c>
    </x:row>
    <x:row r="348">
      <x:c r="A348" t="str">
        <x:v>INDIA2022_OXA48_KP</x:v>
      </x:c>
      <x:c r="B348" t="str">
        <x:v>SENSITIVITY_DONOR</x:v>
      </x:c>
      <x:c r="C348" t="str">
        <x:v>R12</x:v>
      </x:c>
      <x:c r="D348" t="str">
        <x:v>91–120</x:v>
      </x:c>
      <x:c r="E348" t="n">
        <x:v>2.5</x:v>
      </x:c>
      <x:c r="F348" t="n">
        <x:v>6</x:v>
      </x:c>
      <x:c r="G348" t="n">
        <x:v>0.5</x:v>
      </x:c>
      <x:c r="H348" s="127" t="n">
        <x:f>MIC_Harmonized!G29</x:f>
        <x:v>0.3088235294117647</x:v>
      </x:c>
      <x:c r="I348" s="127" t="n">
        <x:v>100</x:v>
      </x:c>
      <x:c r="J348" s="127" t="n">
        <x:v>88.46000000000001</x:v>
      </x:c>
      <x:c r="K348" s="127" t="n">
        <x:v>88.46000000000001</x:v>
      </x:c>
      <x:c r="L348" s="127" t="n">
        <x:f>H348*I348/100</x:f>
        <x:v>0.3088235294117647</x:v>
      </x:c>
      <x:c r="M348" s="127" t="n">
        <x:f>H348*J348/100</x:f>
        <x:v>0.27318529411764714</x:v>
      </x:c>
      <x:c r="N348" s="127" t="n">
        <x:f>H348*K348/100</x:f>
        <x:v>0.27318529411764714</x:v>
      </x:c>
      <x:c r="O348" t="str">
        <x:v>Bakthavatchalam et al. 2022, DMID 103:115652, Table 2</x:v>
      </x:c>
    </x:row>
    <x:row r="349">
      <x:c r="A349" t="str">
        <x:v>INDIA2022_OXA48_KP</x:v>
      </x:c>
      <x:c r="B349" t="str">
        <x:v>SENSITIVITY_DONOR</x:v>
      </x:c>
      <x:c r="C349" t="str">
        <x:v>R12</x:v>
      </x:c>
      <x:c r="D349" t="str">
        <x:v>91–120</x:v>
      </x:c>
      <x:c r="E349" t="n">
        <x:v>2.5</x:v>
      </x:c>
      <x:c r="F349" t="n">
        <x:v>6</x:v>
      </x:c>
      <x:c r="G349" t="n">
        <x:v>1</x:v>
      </x:c>
      <x:c r="H349" s="127" t="n">
        <x:f>MIC_Harmonized!G30</x:f>
        <x:v>0.5073529411764706</x:v>
      </x:c>
      <x:c r="I349" s="127" t="n">
        <x:v>99.99</x:v>
      </x:c>
      <x:c r="J349" s="127" t="n">
        <x:v>88.46000000000001</x:v>
      </x:c>
      <x:c r="K349" s="127" t="n">
        <x:v>88.46000000000001</x:v>
      </x:c>
      <x:c r="L349" s="127" t="n">
        <x:f>H349*I349/100</x:f>
        <x:v>0.5073022058823529</x:v>
      </x:c>
      <x:c r="M349" s="127" t="n">
        <x:f>H349*J349/100</x:f>
        <x:v>0.4488044117647059</x:v>
      </x:c>
      <x:c r="N349" s="127" t="n">
        <x:f>H349*K349/100</x:f>
        <x:v>0.4488044117647059</x:v>
      </x:c>
      <x:c r="O349" t="str">
        <x:v>Bakthavatchalam et al. 2022, DMID 103:115652, Table 2</x:v>
      </x:c>
    </x:row>
    <x:row r="350">
      <x:c r="A350" t="str">
        <x:v>INDIA2022_OXA48_KP</x:v>
      </x:c>
      <x:c r="B350" t="str">
        <x:v>SENSITIVITY_DONOR</x:v>
      </x:c>
      <x:c r="C350" t="str">
        <x:v>R12</x:v>
      </x:c>
      <x:c r="D350" t="str">
        <x:v>91–120</x:v>
      </x:c>
      <x:c r="E350" t="n">
        <x:v>2.5</x:v>
      </x:c>
      <x:c r="F350" t="n">
        <x:v>6</x:v>
      </x:c>
      <x:c r="G350" t="n">
        <x:v>2</x:v>
      </x:c>
      <x:c r="H350" s="127" t="n">
        <x:f>MIC_Harmonized!G31</x:f>
        <x:v>0.11029411764705882</x:v>
      </x:c>
      <x:c r="I350" s="127" t="n">
        <x:v>99.68</x:v>
      </x:c>
      <x:c r="J350" s="127" t="n">
        <x:v>88.46000000000001</x:v>
      </x:c>
      <x:c r="K350" s="127" t="n">
        <x:v>88.46000000000001</x:v>
      </x:c>
      <x:c r="L350" s="127" t="n">
        <x:f>H350*I350/100</x:f>
        <x:v>0.10994117647058824</x:v>
      </x:c>
      <x:c r="M350" s="127" t="n">
        <x:f>H350*J350/100</x:f>
        <x:v>0.09756617647058824</x:v>
      </x:c>
      <x:c r="N350" s="127" t="n">
        <x:f>H350*K350/100</x:f>
        <x:v>0.09756617647058824</x:v>
      </x:c>
      <x:c r="O350" t="str">
        <x:v>Bakthavatchalam et al. 2022, DMID 103:115652, Table 2</x:v>
      </x:c>
    </x:row>
    <x:row r="351">
      <x:c r="A351" t="str">
        <x:v>INDIA2022_OXA48_KP</x:v>
      </x:c>
      <x:c r="B351" t="str">
        <x:v>SENSITIVITY_DONOR</x:v>
      </x:c>
      <x:c r="C351" t="str">
        <x:v>R12</x:v>
      </x:c>
      <x:c r="D351" t="str">
        <x:v>91–120</x:v>
      </x:c>
      <x:c r="E351" t="n">
        <x:v>2.5</x:v>
      </x:c>
      <x:c r="F351" t="n">
        <x:v>6</x:v>
      </x:c>
      <x:c r="G351" t="n">
        <x:v>4</x:v>
      </x:c>
      <x:c r="H351" s="127" t="n">
        <x:f>MIC_Harmonized!G32</x:f>
        <x:v>0.022058823529411766</x:v>
      </x:c>
      <x:c r="I351" s="127" t="n">
        <x:v>94.405</x:v>
      </x:c>
      <x:c r="J351" s="127" t="n">
        <x:v>88.46000000000001</x:v>
      </x:c>
      <x:c r="K351" s="127" t="n">
        <x:v>88.07000000000001</x:v>
      </x:c>
      <x:c r="L351" s="127" t="n">
        <x:f>H351*I351/100</x:f>
        <x:v>0.020824632352941175</x:v>
      </x:c>
      <x:c r="M351" s="127" t="n">
        <x:f>H351*J351/100</x:f>
        <x:v>0.01951323529411765</x:v>
      </x:c>
      <x:c r="N351" s="127" t="n">
        <x:f>H351*K351/100</x:f>
        <x:v>0.019427205882352944</x:v>
      </x:c>
      <x:c r="O351" t="str">
        <x:v>Bakthavatchalam et al. 2022, DMID 103:115652, Table 2</x:v>
      </x:c>
    </x:row>
    <x:row r="352">
      <x:c r="A352" t="str">
        <x:v>INDIA2022_OXA48_KP</x:v>
      </x:c>
      <x:c r="B352" t="str">
        <x:v>SENSITIVITY_DONOR</x:v>
      </x:c>
      <x:c r="C352" t="str">
        <x:v>R12</x:v>
      </x:c>
      <x:c r="D352" t="str">
        <x:v>91–120</x:v>
      </x:c>
      <x:c r="E352" t="n">
        <x:v>2.5</x:v>
      </x:c>
      <x:c r="F352" t="n">
        <x:v>6</x:v>
      </x:c>
      <x:c r="G352" t="n">
        <x:v>8</x:v>
      </x:c>
      <x:c r="H352" s="127" t="n">
        <x:f>MIC_Harmonized!G33</x:f>
        <x:v>0</x:v>
      </x:c>
      <x:c r="I352" s="127" t="n">
        <x:v>68.11500000000001</x:v>
      </x:c>
      <x:c r="J352" s="127" t="n">
        <x:v>88.46000000000001</x:v>
      </x:c>
      <x:c r="K352" s="127" t="n">
        <x:v>68.045</x:v>
      </x:c>
      <x:c r="L352" s="127" t="n">
        <x:f>H352*I352/100</x:f>
        <x:v>0</x:v>
      </x:c>
      <x:c r="M352" s="127" t="n">
        <x:f>H352*J352/100</x:f>
        <x:v>0</x:v>
      </x:c>
      <x:c r="N352" s="127" t="n">
        <x:f>H352*K352/100</x:f>
        <x:v>0</x:v>
      </x:c>
      <x:c r="O352" t="str">
        <x:v>Bakthavatchalam et al. 2022, DMID 103:115652, Table 2</x:v>
      </x:c>
    </x:row>
    <x:row r="353">
      <x:c r="A353" t="str">
        <x:v>INDIA2022_OXA48_KP</x:v>
      </x:c>
      <x:c r="B353" t="str">
        <x:v>SENSITIVITY_DONOR</x:v>
      </x:c>
      <x:c r="C353" t="str">
        <x:v>R12</x:v>
      </x:c>
      <x:c r="D353" t="str">
        <x:v>91–120</x:v>
      </x:c>
      <x:c r="E353" t="n">
        <x:v>2.5</x:v>
      </x:c>
      <x:c r="F353" t="n">
        <x:v>6</x:v>
      </x:c>
      <x:c r="G353" t="n">
        <x:v>16</x:v>
      </x:c>
      <x:c r="H353" s="127" t="n">
        <x:f>MIC_Harmonized!G34</x:f>
        <x:v>0</x:v>
      </x:c>
      <x:c r="I353" s="127" t="n">
        <x:v>26.174999999999997</x:v>
      </x:c>
      <x:c r="J353" s="127" t="n">
        <x:v>88.46000000000001</x:v>
      </x:c>
      <x:c r="K353" s="127" t="n">
        <x:v>26.174999999999997</x:v>
      </x:c>
      <x:c r="L353" s="127" t="n">
        <x:f>H353*I353/100</x:f>
        <x:v>0</x:v>
      </x:c>
      <x:c r="M353" s="127" t="n">
        <x:f>H353*J353/100</x:f>
        <x:v>0</x:v>
      </x:c>
      <x:c r="N353" s="127" t="n">
        <x:f>H353*K353/100</x:f>
        <x:v>0</x:v>
      </x:c>
      <x:c r="O353" t="str">
        <x:v>Bakthavatchalam et al. 2022, DMID 103:115652, Table 2</x:v>
      </x:c>
    </x:row>
    <x:row r="354">
      <x:c r="A354" t="str">
        <x:v>INDIA2022_OXA48_KP</x:v>
      </x:c>
      <x:c r="B354" t="str">
        <x:v>SENSITIVITY_DONOR</x:v>
      </x:c>
      <x:c r="C354" t="str">
        <x:v>R12</x:v>
      </x:c>
      <x:c r="D354" t="str">
        <x:v>91–120</x:v>
      </x:c>
      <x:c r="E354" t="n">
        <x:v>2.5</x:v>
      </x:c>
      <x:c r="F354" t="n">
        <x:v>6</x:v>
      </x:c>
      <x:c r="G354" t="n">
        <x:v>32</x:v>
      </x:c>
      <x:c r="H354" s="127" t="n">
        <x:f>MIC_Harmonized!G35</x:f>
        <x:v>0.014705882352941176</x:v>
      </x:c>
      <x:c r="I354" s="127" t="n">
        <x:v>3.7800000000000002</x:v>
      </x:c>
      <x:c r="J354" s="127" t="n">
        <x:v>88.46000000000001</x:v>
      </x:c>
      <x:c r="K354" s="127" t="n">
        <x:v>3.7800000000000002</x:v>
      </x:c>
      <x:c r="L354" s="127" t="n">
        <x:f>H354*I354/100</x:f>
        <x:v>0.0005558823529411764</x:v>
      </x:c>
      <x:c r="M354" s="127" t="n">
        <x:f>H354*J354/100</x:f>
        <x:v>0.013008823529411765</x:v>
      </x:c>
      <x:c r="N354" s="127" t="n">
        <x:f>H354*K354/100</x:f>
        <x:v>0.0005558823529411764</x:v>
      </x:c>
      <x:c r="O354" t="str">
        <x:v>Bakthavatchalam et al. 2022, DMID 103:115652, Table 2</x:v>
      </x:c>
    </x:row>
    <x:row r="355">
      <x:c r="A355" t="str">
        <x:v>INDIA2022_OXA48_KP</x:v>
      </x:c>
      <x:c r="B355" t="str">
        <x:v>SENSITIVITY_DONOR</x:v>
      </x:c>
      <x:c r="C355" t="str">
        <x:v>R12</x:v>
      </x:c>
      <x:c r="D355" t="str">
        <x:v>91–120</x:v>
      </x:c>
      <x:c r="E355" t="n">
        <x:v>2.5</x:v>
      </x:c>
      <x:c r="F355" t="n">
        <x:v>6</x:v>
      </x:c>
      <x:c r="G355" t="n">
        <x:v>64</x:v>
      </x:c>
      <x:c r="H355" s="127" t="n">
        <x:f>MIC_Harmonized!G36</x:f>
        <x:v>0.022058823529411766</x:v>
      </x:c>
      <x:c r="I355" s="127" t="n">
        <x:v>0.2</x:v>
      </x:c>
      <x:c r="J355" s="127" t="n">
        <x:v>88.46000000000001</x:v>
      </x:c>
      <x:c r="K355" s="127" t="n">
        <x:v>0.2</x:v>
      </x:c>
      <x:c r="L355" s="127" t="n">
        <x:f>H355*I355/100</x:f>
        <x:v>0.00004411764705882354</x:v>
      </x:c>
      <x:c r="M355" s="127" t="n">
        <x:f>H355*J355/100</x:f>
        <x:v>0.01951323529411765</x:v>
      </x:c>
      <x:c r="N355" s="127" t="n">
        <x:f>H355*K355/100</x:f>
        <x:v>0.00004411764705882354</x:v>
      </x:c>
      <x:c r="O355" t="str">
        <x:v>Bakthavatchalam et al. 2022, DMID 103:115652, Table 2</x:v>
      </x:c>
    </x:row>
    <x:row r="356">
      <x:c r="A356" t="str">
        <x:v>INDIA2022_OXA48_KP</x:v>
      </x:c>
      <x:c r="B356" t="str">
        <x:v>SENSITIVITY_DONOR</x:v>
      </x:c>
      <x:c r="C356" t="str">
        <x:v>R13</x:v>
      </x:c>
      <x:c r="D356" t="str">
        <x:v>121–150</x:v>
      </x:c>
      <x:c r="E356" t="n">
        <x:v>2.5</x:v>
      </x:c>
      <x:c r="F356" t="n">
        <x:v>6</x:v>
      </x:c>
      <x:c r="G356" t="n">
        <x:v>0.0625</x:v>
      </x:c>
      <x:c r="H356" s="127" t="n">
        <x:f>MIC_Harmonized!G26</x:f>
        <x:v>0</x:v>
      </x:c>
      <x:c r="I356" s="127" t="n">
        <x:v>100</x:v>
      </x:c>
      <x:c r="J356" s="127" t="n">
        <x:v>81.245</x:v>
      </x:c>
      <x:c r="K356" s="127" t="n">
        <x:v>81.245</x:v>
      </x:c>
      <x:c r="L356" s="127" t="n">
        <x:f>H356*I356/100</x:f>
        <x:v>0</x:v>
      </x:c>
      <x:c r="M356" s="127" t="n">
        <x:f>H356*J356/100</x:f>
        <x:v>0</x:v>
      </x:c>
      <x:c r="N356" s="127" t="n">
        <x:f>H356*K356/100</x:f>
        <x:v>0</x:v>
      </x:c>
      <x:c r="O356" t="str">
        <x:v>Bakthavatchalam et al. 2022, DMID 103:115652, Table 2</x:v>
      </x:c>
    </x:row>
    <x:row r="357">
      <x:c r="A357" t="str">
        <x:v>INDIA2022_OXA48_KP</x:v>
      </x:c>
      <x:c r="B357" t="str">
        <x:v>SENSITIVITY_DONOR</x:v>
      </x:c>
      <x:c r="C357" t="str">
        <x:v>R13</x:v>
      </x:c>
      <x:c r="D357" t="str">
        <x:v>121–150</x:v>
      </x:c>
      <x:c r="E357" t="n">
        <x:v>2.5</x:v>
      </x:c>
      <x:c r="F357" t="n">
        <x:v>6</x:v>
      </x:c>
      <x:c r="G357" t="n">
        <x:v>0.125</x:v>
      </x:c>
      <x:c r="H357" s="127" t="n">
        <x:f>MIC_Harmonized!G27</x:f>
        <x:v>0</x:v>
      </x:c>
      <x:c r="I357" s="127" t="n">
        <x:v>100</x:v>
      </x:c>
      <x:c r="J357" s="127" t="n">
        <x:v>81.245</x:v>
      </x:c>
      <x:c r="K357" s="127" t="n">
        <x:v>81.245</x:v>
      </x:c>
      <x:c r="L357" s="127" t="n">
        <x:f>H357*I357/100</x:f>
        <x:v>0</x:v>
      </x:c>
      <x:c r="M357" s="127" t="n">
        <x:f>H357*J357/100</x:f>
        <x:v>0</x:v>
      </x:c>
      <x:c r="N357" s="127" t="n">
        <x:f>H357*K357/100</x:f>
        <x:v>0</x:v>
      </x:c>
      <x:c r="O357" t="str">
        <x:v>Bakthavatchalam et al. 2022, DMID 103:115652, Table 2</x:v>
      </x:c>
    </x:row>
    <x:row r="358">
      <x:c r="A358" t="str">
        <x:v>INDIA2022_OXA48_KP</x:v>
      </x:c>
      <x:c r="B358" t="str">
        <x:v>SENSITIVITY_DONOR</x:v>
      </x:c>
      <x:c r="C358" t="str">
        <x:v>R13</x:v>
      </x:c>
      <x:c r="D358" t="str">
        <x:v>121–150</x:v>
      </x:c>
      <x:c r="E358" t="n">
        <x:v>2.5</x:v>
      </x:c>
      <x:c r="F358" t="n">
        <x:v>6</x:v>
      </x:c>
      <x:c r="G358" t="n">
        <x:v>0.25</x:v>
      </x:c>
      <x:c r="H358" s="127" t="n">
        <x:f>MIC_Harmonized!G28</x:f>
        <x:v>0.014705882352941176</x:v>
      </x:c>
      <x:c r="I358" s="127" t="n">
        <x:v>100</x:v>
      </x:c>
      <x:c r="J358" s="127" t="n">
        <x:v>81.245</x:v>
      </x:c>
      <x:c r="K358" s="127" t="n">
        <x:v>81.245</x:v>
      </x:c>
      <x:c r="L358" s="127" t="n">
        <x:f>H358*I358/100</x:f>
        <x:v>0.014705882352941175</x:v>
      </x:c>
      <x:c r="M358" s="127" t="n">
        <x:f>H358*J358/100</x:f>
        <x:v>0.01194779411764706</x:v>
      </x:c>
      <x:c r="N358" s="127" t="n">
        <x:f>H358*K358/100</x:f>
        <x:v>0.01194779411764706</x:v>
      </x:c>
      <x:c r="O358" t="str">
        <x:v>Bakthavatchalam et al. 2022, DMID 103:115652, Table 2</x:v>
      </x:c>
    </x:row>
    <x:row r="359">
      <x:c r="A359" t="str">
        <x:v>INDIA2022_OXA48_KP</x:v>
      </x:c>
      <x:c r="B359" t="str">
        <x:v>SENSITIVITY_DONOR</x:v>
      </x:c>
      <x:c r="C359" t="str">
        <x:v>R13</x:v>
      </x:c>
      <x:c r="D359" t="str">
        <x:v>121–150</x:v>
      </x:c>
      <x:c r="E359" t="n">
        <x:v>2.5</x:v>
      </x:c>
      <x:c r="F359" t="n">
        <x:v>6</x:v>
      </x:c>
      <x:c r="G359" t="n">
        <x:v>0.5</x:v>
      </x:c>
      <x:c r="H359" s="127" t="n">
        <x:f>MIC_Harmonized!G29</x:f>
        <x:v>0.3088235294117647</x:v>
      </x:c>
      <x:c r="I359" s="127" t="n">
        <x:v>100</x:v>
      </x:c>
      <x:c r="J359" s="127" t="n">
        <x:v>81.245</x:v>
      </x:c>
      <x:c r="K359" s="127" t="n">
        <x:v>81.245</x:v>
      </x:c>
      <x:c r="L359" s="127" t="n">
        <x:f>H359*I359/100</x:f>
        <x:v>0.3088235294117647</x:v>
      </x:c>
      <x:c r="M359" s="127" t="n">
        <x:f>H359*J359/100</x:f>
        <x:v>0.25090367647058825</x:v>
      </x:c>
      <x:c r="N359" s="127" t="n">
        <x:f>H359*K359/100</x:f>
        <x:v>0.25090367647058825</x:v>
      </x:c>
      <x:c r="O359" t="str">
        <x:v>Bakthavatchalam et al. 2022, DMID 103:115652, Table 2</x:v>
      </x:c>
    </x:row>
    <x:row r="360">
      <x:c r="A360" t="str">
        <x:v>INDIA2022_OXA48_KP</x:v>
      </x:c>
      <x:c r="B360" t="str">
        <x:v>SENSITIVITY_DONOR</x:v>
      </x:c>
      <x:c r="C360" t="str">
        <x:v>R13</x:v>
      </x:c>
      <x:c r="D360" t="str">
        <x:v>121–150</x:v>
      </x:c>
      <x:c r="E360" t="n">
        <x:v>2.5</x:v>
      </x:c>
      <x:c r="F360" t="n">
        <x:v>6</x:v>
      </x:c>
      <x:c r="G360" t="n">
        <x:v>1</x:v>
      </x:c>
      <x:c r="H360" s="127" t="n">
        <x:f>MIC_Harmonized!G30</x:f>
        <x:v>0.5073529411764706</x:v>
      </x:c>
      <x:c r="I360" s="127" t="n">
        <x:v>99.985</x:v>
      </x:c>
      <x:c r="J360" s="127" t="n">
        <x:v>81.245</x:v>
      </x:c>
      <x:c r="K360" s="127" t="n">
        <x:v>81.245</x:v>
      </x:c>
      <x:c r="L360" s="127" t="n">
        <x:f>H360*I360/100</x:f>
        <x:v>0.5072768382352941</x:v>
      </x:c>
      <x:c r="M360" s="127" t="n">
        <x:f>H360*J360/100</x:f>
        <x:v>0.4121988970588235</x:v>
      </x:c>
      <x:c r="N360" s="127" t="n">
        <x:f>H360*K360/100</x:f>
        <x:v>0.4121988970588235</x:v>
      </x:c>
      <x:c r="O360" t="str">
        <x:v>Bakthavatchalam et al. 2022, DMID 103:115652, Table 2</x:v>
      </x:c>
    </x:row>
    <x:row r="361">
      <x:c r="A361" t="str">
        <x:v>INDIA2022_OXA48_KP</x:v>
      </x:c>
      <x:c r="B361" t="str">
        <x:v>SENSITIVITY_DONOR</x:v>
      </x:c>
      <x:c r="C361" t="str">
        <x:v>R13</x:v>
      </x:c>
      <x:c r="D361" t="str">
        <x:v>121–150</x:v>
      </x:c>
      <x:c r="E361" t="n">
        <x:v>2.5</x:v>
      </x:c>
      <x:c r="F361" t="n">
        <x:v>6</x:v>
      </x:c>
      <x:c r="G361" t="n">
        <x:v>2</x:v>
      </x:c>
      <x:c r="H361" s="127" t="n">
        <x:f>MIC_Harmonized!G31</x:f>
        <x:v>0.11029411764705882</x:v>
      </x:c>
      <x:c r="I361" s="127" t="n">
        <x:v>99.18</x:v>
      </x:c>
      <x:c r="J361" s="127" t="n">
        <x:v>81.245</x:v>
      </x:c>
      <x:c r="K361" s="127" t="n">
        <x:v>81.245</x:v>
      </x:c>
      <x:c r="L361" s="127" t="n">
        <x:f>H361*I361/100</x:f>
        <x:v>0.10938970588235294</x:v>
      </x:c>
      <x:c r="M361" s="127" t="n">
        <x:f>H361*J361/100</x:f>
        <x:v>0.08960845588235294</x:v>
      </x:c>
      <x:c r="N361" s="127" t="n">
        <x:f>H361*K361/100</x:f>
        <x:v>0.08960845588235294</x:v>
      </x:c>
      <x:c r="O361" t="str">
        <x:v>Bakthavatchalam et al. 2022, DMID 103:115652, Table 2</x:v>
      </x:c>
    </x:row>
    <x:row r="362">
      <x:c r="A362" t="str">
        <x:v>INDIA2022_OXA48_KP</x:v>
      </x:c>
      <x:c r="B362" t="str">
        <x:v>SENSITIVITY_DONOR</x:v>
      </x:c>
      <x:c r="C362" t="str">
        <x:v>R13</x:v>
      </x:c>
      <x:c r="D362" t="str">
        <x:v>121–150</x:v>
      </x:c>
      <x:c r="E362" t="n">
        <x:v>2.5</x:v>
      </x:c>
      <x:c r="F362" t="n">
        <x:v>6</x:v>
      </x:c>
      <x:c r="G362" t="n">
        <x:v>4</x:v>
      </x:c>
      <x:c r="H362" s="127" t="n">
        <x:f>MIC_Harmonized!G32</x:f>
        <x:v>0.022058823529411766</x:v>
      </x:c>
      <x:c r="I362" s="127" t="n">
        <x:v>90.425</x:v>
      </x:c>
      <x:c r="J362" s="127" t="n">
        <x:v>81.245</x:v>
      </x:c>
      <x:c r="K362" s="127" t="n">
        <x:v>80.805</x:v>
      </x:c>
      <x:c r="L362" s="127" t="n">
        <x:f>H362*I362/100</x:f>
        <x:v>0.019946691176470587</x:v>
      </x:c>
      <x:c r="M362" s="127" t="n">
        <x:f>H362*J362/100</x:f>
        <x:v>0.01792169117647059</x:v>
      </x:c>
      <x:c r="N362" s="127" t="n">
        <x:f>H362*K362/100</x:f>
        <x:v>0.01782463235294118</x:v>
      </x:c>
      <x:c r="O362" t="str">
        <x:v>Bakthavatchalam et al. 2022, DMID 103:115652, Table 2</x:v>
      </x:c>
    </x:row>
    <x:row r="363">
      <x:c r="A363" t="str">
        <x:v>INDIA2022_OXA48_KP</x:v>
      </x:c>
      <x:c r="B363" t="str">
        <x:v>SENSITIVITY_DONOR</x:v>
      </x:c>
      <x:c r="C363" t="str">
        <x:v>R13</x:v>
      </x:c>
      <x:c r="D363" t="str">
        <x:v>121–150</x:v>
      </x:c>
      <x:c r="E363" t="n">
        <x:v>2.5</x:v>
      </x:c>
      <x:c r="F363" t="n">
        <x:v>6</x:v>
      </x:c>
      <x:c r="G363" t="n">
        <x:v>8</x:v>
      </x:c>
      <x:c r="H363" s="127" t="n">
        <x:f>MIC_Harmonized!G33</x:f>
        <x:v>0</x:v>
      </x:c>
      <x:c r="I363" s="127" t="n">
        <x:v>57.30499999999999</x:v>
      </x:c>
      <x:c r="J363" s="127" t="n">
        <x:v>81.245</x:v>
      </x:c>
      <x:c r="K363" s="127" t="n">
        <x:v>57.205</x:v>
      </x:c>
      <x:c r="L363" s="127" t="n">
        <x:f>H363*I363/100</x:f>
        <x:v>0</x:v>
      </x:c>
      <x:c r="M363" s="127" t="n">
        <x:f>H363*J363/100</x:f>
        <x:v>0</x:v>
      </x:c>
      <x:c r="N363" s="127" t="n">
        <x:f>H363*K363/100</x:f>
        <x:v>0</x:v>
      </x:c>
      <x:c r="O363" t="str">
        <x:v>Bakthavatchalam et al. 2022, DMID 103:115652, Table 2</x:v>
      </x:c>
    </x:row>
    <x:row r="364">
      <x:c r="A364" t="str">
        <x:v>INDIA2022_OXA48_KP</x:v>
      </x:c>
      <x:c r="B364" t="str">
        <x:v>SENSITIVITY_DONOR</x:v>
      </x:c>
      <x:c r="C364" t="str">
        <x:v>R13</x:v>
      </x:c>
      <x:c r="D364" t="str">
        <x:v>121–150</x:v>
      </x:c>
      <x:c r="E364" t="n">
        <x:v>2.5</x:v>
      </x:c>
      <x:c r="F364" t="n">
        <x:v>6</x:v>
      </x:c>
      <x:c r="G364" t="n">
        <x:v>16</x:v>
      </x:c>
      <x:c r="H364" s="127" t="n">
        <x:f>MIC_Harmonized!G34</x:f>
        <x:v>0</x:v>
      </x:c>
      <x:c r="I364" s="127" t="n">
        <x:v>17.7</x:v>
      </x:c>
      <x:c r="J364" s="127" t="n">
        <x:v>81.245</x:v>
      </x:c>
      <x:c r="K364" s="127" t="n">
        <x:v>17.7</x:v>
      </x:c>
      <x:c r="L364" s="127" t="n">
        <x:f>H364*I364/100</x:f>
        <x:v>0</x:v>
      </x:c>
      <x:c r="M364" s="127" t="n">
        <x:f>H364*J364/100</x:f>
        <x:v>0</x:v>
      </x:c>
      <x:c r="N364" s="127" t="n">
        <x:f>H364*K364/100</x:f>
        <x:v>0</x:v>
      </x:c>
      <x:c r="O364" t="str">
        <x:v>Bakthavatchalam et al. 2022, DMID 103:115652, Table 2</x:v>
      </x:c>
    </x:row>
    <x:row r="365">
      <x:c r="A365" t="str">
        <x:v>INDIA2022_OXA48_KP</x:v>
      </x:c>
      <x:c r="B365" t="str">
        <x:v>SENSITIVITY_DONOR</x:v>
      </x:c>
      <x:c r="C365" t="str">
        <x:v>R13</x:v>
      </x:c>
      <x:c r="D365" t="str">
        <x:v>121–150</x:v>
      </x:c>
      <x:c r="E365" t="n">
        <x:v>2.5</x:v>
      </x:c>
      <x:c r="F365" t="n">
        <x:v>6</x:v>
      </x:c>
      <x:c r="G365" t="n">
        <x:v>32</x:v>
      </x:c>
      <x:c r="H365" s="127" t="n">
        <x:f>MIC_Harmonized!G35</x:f>
        <x:v>0.014705882352941176</x:v>
      </x:c>
      <x:c r="I365" s="127" t="n">
        <x:v>2.105</x:v>
      </x:c>
      <x:c r="J365" s="127" t="n">
        <x:v>81.245</x:v>
      </x:c>
      <x:c r="K365" s="127" t="n">
        <x:v>2.105</x:v>
      </x:c>
      <x:c r="L365" s="127" t="n">
        <x:f>H365*I365/100</x:f>
        <x:v>0.00030955882352941174</x:v>
      </x:c>
      <x:c r="M365" s="127" t="n">
        <x:f>H365*J365/100</x:f>
        <x:v>0.01194779411764706</x:v>
      </x:c>
      <x:c r="N365" s="127" t="n">
        <x:f>H365*K365/100</x:f>
        <x:v>0.00030955882352941174</x:v>
      </x:c>
      <x:c r="O365" t="str">
        <x:v>Bakthavatchalam et al. 2022, DMID 103:115652, Table 2</x:v>
      </x:c>
    </x:row>
    <x:row r="366">
      <x:c r="A366" t="str">
        <x:v>INDIA2022_OXA48_KP</x:v>
      </x:c>
      <x:c r="B366" t="str">
        <x:v>SENSITIVITY_DONOR</x:v>
      </x:c>
      <x:c r="C366" t="str">
        <x:v>R13</x:v>
      </x:c>
      <x:c r="D366" t="str">
        <x:v>121–150</x:v>
      </x:c>
      <x:c r="E366" t="n">
        <x:v>2.5</x:v>
      </x:c>
      <x:c r="F366" t="n">
        <x:v>6</x:v>
      </x:c>
      <x:c r="G366" t="n">
        <x:v>64</x:v>
      </x:c>
      <x:c r="H366" s="127" t="n">
        <x:f>MIC_Harmonized!G36</x:f>
        <x:v>0.022058823529411766</x:v>
      </x:c>
      <x:c r="I366" s="127" t="n">
        <x:v>0.06</x:v>
      </x:c>
      <x:c r="J366" s="127" t="n">
        <x:v>81.245</x:v>
      </x:c>
      <x:c r="K366" s="127" t="n">
        <x:v>0.06</x:v>
      </x:c>
      <x:c r="L366" s="127" t="n">
        <x:f>H366*I366/100</x:f>
        <x:v>0.000013235294117647058</x:v>
      </x:c>
      <x:c r="M366" s="127" t="n">
        <x:f>H366*J366/100</x:f>
        <x:v>0.01792169117647059</x:v>
      </x:c>
      <x:c r="N366" s="127" t="n">
        <x:f>H366*K366/100</x:f>
        <x:v>0.000013235294117647058</x:v>
      </x:c>
      <x:c r="O366" t="str">
        <x:v>Bakthavatchalam et al. 2022, DMID 103:115652, Table 2</x:v>
      </x:c>
    </x:row>
  </x:sheetData>
  <x:mergeCells>
    <x:mergeCell ref="A1:O1"/>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45" hidden="0" customWidth="1"/>
    <x:col min="3" max="3" width="20" hidden="0" customWidth="1"/>
    <x:col min="4" max="4" width="10" hidden="0" customWidth="1"/>
    <x:col min="5" max="5" width="12" hidden="0" customWidth="1"/>
    <x:col min="6" max="6" width="9" hidden="0" customWidth="1"/>
    <x:col min="7" max="7" width="10" hidden="0" customWidth="1"/>
    <x:col min="8" max="8" width="12" hidden="0" customWidth="1"/>
    <x:col min="9" max="9" width="22" hidden="0" customWidth="1"/>
    <x:col min="10" max="10" width="13" hidden="0" customWidth="1"/>
    <x:col min="11" max="11" width="12" hidden="0" customWidth="1"/>
    <x:col min="12" max="12" width="14" hidden="0" customWidth="1"/>
    <x:col min="13" max="13" width="24" hidden="0" customWidth="1"/>
  </x:cols>
  <x:sheetData>
    <x:row r="1">
      <x:c r="A1" s="140" t="str">
        <x:v>Calculated CAZ–AVI CFR by MIC Distribution and Regimen</x:v>
      </x:c>
      <x:c r="B1" s="140"/>
      <x:c r="C1" s="140"/>
      <x:c r="D1" s="140"/>
      <x:c r="E1" s="140"/>
      <x:c r="F1" s="140"/>
      <x:c r="G1" s="140"/>
      <x:c r="H1" s="140"/>
      <x:c r="I1" s="140"/>
      <x:c r="J1" s="140"/>
      <x:c r="K1" s="140"/>
      <x:c r="L1" s="140"/>
      <x:c r="M1" s="140"/>
    </x:row>
    <x:row r="3">
      <x:c r="A3" s="145" t="str">
        <x:v>Distribution ID</x:v>
      </x:c>
      <x:c r="B3" s="145" t="str">
        <x:v>Population</x:v>
      </x:c>
      <x:c r="C3" s="145" t="str">
        <x:v>Role</x:v>
      </x:c>
      <x:c r="D3" s="145" t="str">
        <x:v>Regimen</x:v>
      </x:c>
      <x:c r="E3" s="145" t="str">
        <x:v>EKFC</x:v>
      </x:c>
      <x:c r="F3" s="145" t="str">
        <x:v>Dose g</x:v>
      </x:c>
      <x:c r="G3" s="145" t="str">
        <x:v>Interval h</x:v>
      </x:c>
      <x:c r="H3" s="145" t="str">
        <x:v>CAZ CFR %</x:v>
      </x:c>
      <x:c r="I3" s="145" t="str">
        <x:v>AVI weighted attainment %</x:v>
      </x:c>
      <x:c r="J3" s="145" t="str">
        <x:v>Joint CFR %</x:v>
      </x:c>
      <x:c r="K3" s="145" t="str">
        <x:v>Toxicity %</x:v>
      </x:c>
      <x:c r="L3" s="145" t="str">
        <x:v>Decision</x:v>
      </x:c>
      <x:c r="M3" s="145" t="str">
        <x:v>Review state</x:v>
      </x:c>
    </x:row>
    <x:row r="4">
      <x:c r="A4" s="45" t="str">
        <x:v>LEE2022_KPC_KP</x:v>
      </x:c>
      <x:c r="B4" s="45" t="str">
        <x:v>KPC-like CR-K. pneumoniae, ATLAS 2020</x:v>
      </x:c>
      <x:c r="C4" s="45" t="str">
        <x:v>PRIMARY</x:v>
      </x:c>
      <x:c r="D4" s="45" t="str">
        <x:v>R1</x:v>
      </x:c>
      <x:c r="E4" s="45" t="str">
        <x:v>0–30</x:v>
      </x:c>
      <x:c r="F4" s="45" t="n">
        <x:v>0.625</x:v>
      </x:c>
      <x:c r="G4" s="45" t="n">
        <x:v>12</x:v>
      </x:c>
      <x:c r="H4" s="102" t="n">
        <x:f>SUM(CFR_Contributions!L4:L14)*100</x:f>
        <x:v>93.70158311345645</x:v>
      </x:c>
      <x:c r="I4" s="102" t="n">
        <x:f>SUM(CFR_Contributions!M4:M14)*100</x:f>
        <x:v>74.88</x:v>
      </x:c>
      <x:c r="J4" s="102" t="n">
        <x:f>SUM(CFR_Contributions!N4:N14)*100</x:f>
        <x:v>73.44901055408971</x:v>
      </x:c>
      <x:c r="K4" s="102" t="n">
        <x:v>8.924999999999999</x:v>
      </x:c>
      <x:c r="L4" s="45" t="str">
        <x:f>IF(J4&gt;=90,"OPTIMAL",IF(J4&gt;=80,"ACCEPTABLE","LOW"))</x:f>
        <x:v>LOW</x:v>
      </x:c>
      <x:c r="M4" s="45" t="str">
        <x:v>SYSTEM_NORMALIZED</x:v>
      </x:c>
    </x:row>
    <x:row r="5">
      <x:c r="A5" s="45" t="str">
        <x:v>LEE2022_KPC_KP</x:v>
      </x:c>
      <x:c r="B5" s="45" t="str">
        <x:v>KPC-like CR-K. pneumoniae, ATLAS 2020</x:v>
      </x:c>
      <x:c r="C5" s="45" t="str">
        <x:v>PRIMARY</x:v>
      </x:c>
      <x:c r="D5" s="45" t="str">
        <x:v>R2</x:v>
      </x:c>
      <x:c r="E5" s="45" t="str">
        <x:v>0–30</x:v>
      </x:c>
      <x:c r="F5" s="45" t="n">
        <x:v>0.625</x:v>
      </x:c>
      <x:c r="G5" s="45" t="n">
        <x:v>8</x:v>
      </x:c>
      <x:c r="H5" s="102" t="n">
        <x:f>SUM(CFR_Contributions!L15:L25)*100</x:f>
        <x:v>97.07510554089708</x:v>
      </x:c>
      <x:c r="I5" s="102" t="n">
        <x:f>SUM(CFR_Contributions!M15:M25)*100</x:f>
        <x:v>87.38</x:v>
      </x:c>
      <x:c r="J5" s="102" t="n">
        <x:f>SUM(CFR_Contributions!N15:N25)*100</x:f>
        <x:v>86.28428759894459</x:v>
      </x:c>
      <x:c r="K5" s="102" t="n">
        <x:v>16.009999999999998</x:v>
      </x:c>
      <x:c r="L5" s="45" t="str">
        <x:f>IF(J5&gt;=90,"OPTIMAL",IF(J5&gt;=80,"ACCEPTABLE","LOW"))</x:f>
        <x:v>ACCEPTABLE</x:v>
      </x:c>
      <x:c r="M5" s="45" t="str">
        <x:v>SYSTEM_NORMALIZED</x:v>
      </x:c>
    </x:row>
    <x:row r="6">
      <x:c r="A6" s="45" t="str">
        <x:v>LEE2022_KPC_KP</x:v>
      </x:c>
      <x:c r="B6" s="45" t="str">
        <x:v>KPC-like CR-K. pneumoniae, ATLAS 2020</x:v>
      </x:c>
      <x:c r="C6" s="45" t="str">
        <x:v>PRIMARY</x:v>
      </x:c>
      <x:c r="D6" s="45" t="str">
        <x:v>R5</x:v>
      </x:c>
      <x:c r="E6" s="45" t="str">
        <x:v>31–60</x:v>
      </x:c>
      <x:c r="F6" s="45" t="n">
        <x:v>0.625</x:v>
      </x:c>
      <x:c r="G6" s="45" t="n">
        <x:v>8</x:v>
      </x:c>
      <x:c r="H6" s="102" t="n">
        <x:f>SUM(CFR_Contributions!L26:L36)*100</x:f>
        <x:v>88.34014511873352</x:v>
      </x:c>
      <x:c r="I6" s="102" t="n">
        <x:f>SUM(CFR_Contributions!M26:M36)*100</x:f>
        <x:v>44.964999999999996</x:v>
      </x:c>
      <x:c r="J6" s="102" t="n">
        <x:f>SUM(CFR_Contributions!N26:N36)*100</x:f>
        <x:v>43.88473614775726</x:v>
      </x:c>
      <x:c r="K6" s="102" t="n">
        <x:v>0.245</x:v>
      </x:c>
      <x:c r="L6" s="45" t="str">
        <x:f>IF(J6&gt;=90,"OPTIMAL",IF(J6&gt;=80,"ACCEPTABLE","LOW"))</x:f>
        <x:v>LOW</x:v>
      </x:c>
      <x:c r="M6" s="45" t="str">
        <x:v>SYSTEM_NORMALIZED</x:v>
      </x:c>
    </x:row>
    <x:row r="7">
      <x:c r="A7" s="45" t="str">
        <x:v>LEE2022_KPC_KP</x:v>
      </x:c>
      <x:c r="B7" s="45" t="str">
        <x:v>KPC-like CR-K. pneumoniae, ATLAS 2020</x:v>
      </x:c>
      <x:c r="C7" s="45" t="str">
        <x:v>PRIMARY</x:v>
      </x:c>
      <x:c r="D7" s="45" t="str">
        <x:v>R6</x:v>
      </x:c>
      <x:c r="E7" s="45" t="str">
        <x:v>31–60</x:v>
      </x:c>
      <x:c r="F7" s="45" t="n">
        <x:v>1.25</x:v>
      </x:c>
      <x:c r="G7" s="45" t="n">
        <x:v>12</x:v>
      </x:c>
      <x:c r="H7" s="102" t="n">
        <x:f>SUM(CFR_Contributions!L37:L47)*100</x:f>
        <x:v>93.01390501319261</x:v>
      </x:c>
      <x:c r="I7" s="102" t="n">
        <x:f>SUM(CFR_Contributions!M37:M47)*100</x:f>
        <x:v>61.035000000000004</x:v>
      </x:c>
      <x:c r="J7" s="102" t="n">
        <x:f>SUM(CFR_Contributions!N37:N47)*100</x:f>
        <x:v>59.914788918205794</x:v>
      </x:c>
      <x:c r="K7" s="102" t="n">
        <x:v>0.89</x:v>
      </x:c>
      <x:c r="L7" s="45" t="str">
        <x:f>IF(J7&gt;=90,"OPTIMAL",IF(J7&gt;=80,"ACCEPTABLE","LOW"))</x:f>
        <x:v>LOW</x:v>
      </x:c>
      <x:c r="M7" s="45" t="str">
        <x:v>SYSTEM_NORMALIZED</x:v>
      </x:c>
    </x:row>
    <x:row r="8">
      <x:c r="A8" s="45" t="str">
        <x:v>LEE2022_KPC_KP</x:v>
      </x:c>
      <x:c r="B8" s="45" t="str">
        <x:v>KPC-like CR-K. pneumoniae, ATLAS 2020</x:v>
      </x:c>
      <x:c r="C8" s="45" t="str">
        <x:v>PRIMARY</x:v>
      </x:c>
      <x:c r="D8" s="45" t="str">
        <x:v>R7</x:v>
      </x:c>
      <x:c r="E8" s="45" t="str">
        <x:v>31–60</x:v>
      </x:c>
      <x:c r="F8" s="45" t="n">
        <x:v>1.25</x:v>
      </x:c>
      <x:c r="G8" s="45" t="n">
        <x:v>8</x:v>
      </x:c>
      <x:c r="H8" s="102" t="n">
        <x:f>SUM(CFR_Contributions!L48:L58)*100</x:f>
        <x:v>96.8582981530343</x:v>
      </x:c>
      <x:c r="I8" s="102" t="n">
        <x:f>SUM(CFR_Contributions!M48:M58)*100</x:f>
        <x:v>80.435</x:v>
      </x:c>
      <x:c r="J8" s="102" t="n">
        <x:f>SUM(CFR_Contributions!N48:N58)*100</x:f>
        <x:v>79.4424406332454</x:v>
      </x:c>
      <x:c r="K8" s="102" t="n">
        <x:v>3.8350000000000004</x:v>
      </x:c>
      <x:c r="L8" s="45" t="str">
        <x:f>IF(J8&gt;=90,"OPTIMAL",IF(J8&gt;=80,"ACCEPTABLE","LOW"))</x:f>
        <x:v>LOW</x:v>
      </x:c>
      <x:c r="M8" s="45" t="str">
        <x:v>SYSTEM_NORMALIZED</x:v>
      </x:c>
    </x:row>
    <x:row r="9">
      <x:c r="A9" s="45" t="str">
        <x:v>LEE2022_KPC_KP</x:v>
      </x:c>
      <x:c r="B9" s="45" t="str">
        <x:v>KPC-like CR-K. pneumoniae, ATLAS 2020</x:v>
      </x:c>
      <x:c r="C9" s="45" t="str">
        <x:v>PRIMARY</x:v>
      </x:c>
      <x:c r="D9" s="45" t="str">
        <x:v>R8</x:v>
      </x:c>
      <x:c r="E9" s="45" t="str">
        <x:v>31–60</x:v>
      </x:c>
      <x:c r="F9" s="45" t="n">
        <x:v>2.5</x:v>
      </x:c>
      <x:c r="G9" s="45" t="n">
        <x:v>12</x:v>
      </x:c>
      <x:c r="H9" s="102" t="n">
        <x:f>SUM(CFR_Contributions!L59:L69)*100</x:f>
        <x:v>98.27369393139841</x:v>
      </x:c>
      <x:c r="I9" s="102" t="n">
        <x:f>SUM(CFR_Contributions!M59:M69)*100</x:f>
        <x:v>89.45</x:v>
      </x:c>
      <x:c r="J9" s="102" t="n">
        <x:f>SUM(CFR_Contributions!N59:N69)*100</x:f>
        <x:v>88.64850923482848</x:v>
      </x:c>
      <x:c r="K9" s="102" t="n">
        <x:v>9.335</x:v>
      </x:c>
      <x:c r="L9" s="45" t="str">
        <x:f>IF(J9&gt;=90,"OPTIMAL",IF(J9&gt;=80,"ACCEPTABLE","LOW"))</x:f>
        <x:v>ACCEPTABLE</x:v>
      </x:c>
      <x:c r="M9" s="45" t="str">
        <x:v>SYSTEM_NORMALIZED</x:v>
      </x:c>
    </x:row>
    <x:row r="10">
      <x:c r="A10" s="45" t="str">
        <x:v>LEE2022_KPC_KP</x:v>
      </x:c>
      <x:c r="B10" s="45" t="str">
        <x:v>KPC-like CR-K. pneumoniae, ATLAS 2020</x:v>
      </x:c>
      <x:c r="C10" s="45" t="str">
        <x:v>PRIMARY</x:v>
      </x:c>
      <x:c r="D10" s="45" t="str">
        <x:v>R9</x:v>
      </x:c>
      <x:c r="E10" s="45" t="str">
        <x:v>61–90</x:v>
      </x:c>
      <x:c r="F10" s="45" t="n">
        <x:v>2.5</x:v>
      </x:c>
      <x:c r="G10" s="45" t="n">
        <x:v>12</x:v>
      </x:c>
      <x:c r="H10" s="102" t="n">
        <x:f>SUM(CFR_Contributions!L70:L80)*100</x:f>
        <x:v>96.40265171503958</x:v>
      </x:c>
      <x:c r="I10" s="102" t="n">
        <x:f>SUM(CFR_Contributions!M70:M80)*100</x:f>
        <x:v>73.225</x:v>
      </x:c>
      <x:c r="J10" s="102" t="n">
        <x:f>SUM(CFR_Contributions!N70:N80)*100</x:f>
        <x:v>72.37798153034302</x:v>
      </x:c>
      <x:c r="K10" s="102" t="n">
        <x:v>2.98</x:v>
      </x:c>
      <x:c r="L10" s="45" t="str">
        <x:f>IF(J10&gt;=90,"OPTIMAL",IF(J10&gt;=80,"ACCEPTABLE","LOW"))</x:f>
        <x:v>LOW</x:v>
      </x:c>
      <x:c r="M10" s="45" t="str">
        <x:v>SYSTEM_NORMALIZED</x:v>
      </x:c>
    </x:row>
    <x:row r="11">
      <x:c r="A11" s="45" t="str">
        <x:v>LEE2022_KPC_KP</x:v>
      </x:c>
      <x:c r="B11" s="45" t="str">
        <x:v>KPC-like CR-K. pneumoniae, ATLAS 2020</x:v>
      </x:c>
      <x:c r="C11" s="45" t="str">
        <x:v>PRIMARY</x:v>
      </x:c>
      <x:c r="D11" s="45" t="str">
        <x:v>R10</x:v>
      </x:c>
      <x:c r="E11" s="45" t="str">
        <x:v>61–90</x:v>
      </x:c>
      <x:c r="F11" s="45" t="n">
        <x:v>2.5</x:v>
      </x:c>
      <x:c r="G11" s="45" t="n">
        <x:v>8</x:v>
      </x:c>
      <x:c r="H11" s="102" t="n">
        <x:f>SUM(CFR_Contributions!L81:L91)*100</x:f>
        <x:v>98.46139841688654</x:v>
      </x:c>
      <x:c r="I11" s="102" t="n">
        <x:f>SUM(CFR_Contributions!M81:M91)*100</x:f>
        <x:v>88.40500000000002</x:v>
      </x:c>
      <x:c r="J11" s="102" t="n">
        <x:f>SUM(CFR_Contributions!N81:N91)*100</x:f>
        <x:v>87.69923482849605</x:v>
      </x:c>
      <x:c r="K11" s="102" t="n">
        <x:v>10.89</x:v>
      </x:c>
      <x:c r="L11" s="45" t="str">
        <x:f>IF(J11&gt;=90,"OPTIMAL",IF(J11&gt;=80,"ACCEPTABLE","LOW"))</x:f>
        <x:v>ACCEPTABLE</x:v>
      </x:c>
      <x:c r="M11" s="45" t="str">
        <x:v>SYSTEM_NORMALIZED</x:v>
      </x:c>
    </x:row>
    <x:row r="12">
      <x:c r="A12" s="45" t="str">
        <x:v>LEE2022_KPC_KP</x:v>
      </x:c>
      <x:c r="B12" s="45" t="str">
        <x:v>KPC-like CR-K. pneumoniae, ATLAS 2020</x:v>
      </x:c>
      <x:c r="C12" s="45" t="str">
        <x:v>PRIMARY</x:v>
      </x:c>
      <x:c r="D12" s="45" t="str">
        <x:v>R11</x:v>
      </x:c>
      <x:c r="E12" s="45" t="str">
        <x:v>91–120</x:v>
      </x:c>
      <x:c r="F12" s="45" t="n">
        <x:v>2.5</x:v>
      </x:c>
      <x:c r="G12" s="45" t="n">
        <x:v>8</x:v>
      </x:c>
      <x:c r="H12" s="102" t="n">
        <x:f>SUM(CFR_Contributions!L92:L102)*100</x:f>
        <x:v>97.5302506596306</x:v>
      </x:c>
      <x:c r="I12" s="102" t="n">
        <x:f>SUM(CFR_Contributions!M92:M102)*100</x:f>
        <x:v>78.18</x:v>
      </x:c>
      <x:c r="J12" s="102" t="n">
        <x:f>SUM(CFR_Contributions!N92:N102)*100</x:f>
        <x:v>77.45183377308707</x:v>
      </x:c>
      <x:c r="K12" s="102" t="n">
        <x:v>5.1499999999999995</x:v>
      </x:c>
      <x:c r="L12" s="45" t="str">
        <x:f>IF(J12&gt;=90,"OPTIMAL",IF(J12&gt;=80,"ACCEPTABLE","LOW"))</x:f>
        <x:v>LOW</x:v>
      </x:c>
      <x:c r="M12" s="45" t="str">
        <x:v>SYSTEM_NORMALIZED</x:v>
      </x:c>
    </x:row>
    <x:row r="13">
      <x:c r="A13" s="45" t="str">
        <x:v>LEE2022_KPC_KP</x:v>
      </x:c>
      <x:c r="B13" s="45" t="str">
        <x:v>KPC-like CR-K. pneumoniae, ATLAS 2020</x:v>
      </x:c>
      <x:c r="C13" s="45" t="str">
        <x:v>PRIMARY</x:v>
      </x:c>
      <x:c r="D13" s="45" t="str">
        <x:v>R12</x:v>
      </x:c>
      <x:c r="E13" s="45" t="str">
        <x:v>91–120</x:v>
      </x:c>
      <x:c r="F13" s="45" t="n">
        <x:v>2.5</x:v>
      </x:c>
      <x:c r="G13" s="45" t="n">
        <x:v>6</x:v>
      </x:c>
      <x:c r="H13" s="102" t="n">
        <x:f>SUM(CFR_Contributions!L103:L113)*100</x:f>
        <x:v>98.64291556728232</x:v>
      </x:c>
      <x:c r="I13" s="102" t="n">
        <x:f>SUM(CFR_Contributions!M103:M113)*100</x:f>
        <x:v>88.46</x:v>
      </x:c>
      <x:c r="J13" s="102" t="n">
        <x:f>SUM(CFR_Contributions!N103:N113)*100</x:f>
        <x:v>87.81439313984167</x:v>
      </x:c>
      <x:c r="K13" s="102" t="n">
        <x:v>12.32</x:v>
      </x:c>
      <x:c r="L13" s="45" t="str">
        <x:f>IF(J13&gt;=90,"OPTIMAL",IF(J13&gt;=80,"ACCEPTABLE","LOW"))</x:f>
        <x:v>ACCEPTABLE</x:v>
      </x:c>
      <x:c r="M13" s="45" t="str">
        <x:v>SYSTEM_NORMALIZED</x:v>
      </x:c>
    </x:row>
    <x:row r="14">
      <x:c r="A14" s="45" t="str">
        <x:v>LEE2022_KPC_KP</x:v>
      </x:c>
      <x:c r="B14" s="45" t="str">
        <x:v>KPC-like CR-K. pneumoniae, ATLAS 2020</x:v>
      </x:c>
      <x:c r="C14" s="45" t="str">
        <x:v>PRIMARY</x:v>
      </x:c>
      <x:c r="D14" s="45" t="str">
        <x:v>R13</x:v>
      </x:c>
      <x:c r="E14" s="45" t="str">
        <x:v>121–150</x:v>
      </x:c>
      <x:c r="F14" s="45" t="n">
        <x:v>2.5</x:v>
      </x:c>
      <x:c r="G14" s="45" t="n">
        <x:v>6</x:v>
      </x:c>
      <x:c r="H14" s="102" t="n">
        <x:f>SUM(CFR_Contributions!L114:L124)*100</x:f>
        <x:v>98.03352242744062</x:v>
      </x:c>
      <x:c r="I14" s="102" t="n">
        <x:f>SUM(CFR_Contributions!M114:M124)*100</x:f>
        <x:v>81.245</x:v>
      </x:c>
      <x:c r="J14" s="102" t="n">
        <x:f>SUM(CFR_Contributions!N114:N124)*100</x:f>
        <x:v>80.57225593667546</x:v>
      </x:c>
      <x:c r="K14" s="102" t="n">
        <x:v>7.33</x:v>
      </x:c>
      <x:c r="L14" s="45" t="str">
        <x:f>IF(J14&gt;=90,"OPTIMAL",IF(J14&gt;=80,"ACCEPTABLE","LOW"))</x:f>
        <x:v>ACCEPTABLE</x:v>
      </x:c>
      <x:c r="M14" s="45" t="str">
        <x:v>SYSTEM_NORMALIZED</x:v>
      </x:c>
    </x:row>
    <x:row r="15">
      <x:c r="A15" s="45" t="str">
        <x:v>LEE2022_OXA_KP</x:v>
      </x:c>
      <x:c r="B15" s="45" t="str">
        <x:v>OXA-like CR-K. pneumoniae, ATLAS 2020</x:v>
      </x:c>
      <x:c r="C15" s="45" t="str">
        <x:v>PRIMARY</x:v>
      </x:c>
      <x:c r="D15" s="45" t="str">
        <x:v>R1</x:v>
      </x:c>
      <x:c r="E15" s="45" t="str">
        <x:v>0–30</x:v>
      </x:c>
      <x:c r="F15" s="45" t="n">
        <x:v>0.625</x:v>
      </x:c>
      <x:c r="G15" s="45" t="n">
        <x:v>12</x:v>
      </x:c>
      <x:c r="H15" s="102" t="n">
        <x:f>SUM(CFR_Contributions!L125:L135)*100</x:f>
        <x:v>95.55021186440678</x:v>
      </x:c>
      <x:c r="I15" s="102" t="n">
        <x:f>SUM(CFR_Contributions!M125:M135)*100</x:f>
        <x:v>74.88</x:v>
      </x:c>
      <x:c r="J15" s="102" t="n">
        <x:f>SUM(CFR_Contributions!N125:N135)*100</x:f>
        <x:v>73.59593220338982</x:v>
      </x:c>
      <x:c r="K15" s="102" t="n">
        <x:v>8.924999999999999</x:v>
      </x:c>
      <x:c r="L15" s="45" t="str">
        <x:f>IF(J15&gt;=90,"OPTIMAL",IF(J15&gt;=80,"ACCEPTABLE","LOW"))</x:f>
        <x:v>LOW</x:v>
      </x:c>
      <x:c r="M15" s="45" t="str">
        <x:v>SYSTEM_NORMALIZED</x:v>
      </x:c>
    </x:row>
    <x:row r="16">
      <x:c r="A16" s="45" t="str">
        <x:v>LEE2022_OXA_KP</x:v>
      </x:c>
      <x:c r="B16" s="45" t="str">
        <x:v>OXA-like CR-K. pneumoniae, ATLAS 2020</x:v>
      </x:c>
      <x:c r="C16" s="45" t="str">
        <x:v>PRIMARY</x:v>
      </x:c>
      <x:c r="D16" s="45" t="str">
        <x:v>R2</x:v>
      </x:c>
      <x:c r="E16" s="45" t="str">
        <x:v>0–30</x:v>
      </x:c>
      <x:c r="F16" s="45" t="n">
        <x:v>0.625</x:v>
      </x:c>
      <x:c r="G16" s="45" t="n">
        <x:v>8</x:v>
      </x:c>
      <x:c r="H16" s="102" t="n">
        <x:f>SUM(CFR_Contributions!L136:L146)*100</x:f>
        <x:v>97.6457627118644</x:v>
      </x:c>
      <x:c r="I16" s="102" t="n">
        <x:f>SUM(CFR_Contributions!M136:M146)*100</x:f>
        <x:v>87.38</x:v>
      </x:c>
      <x:c r="J16" s="102" t="n">
        <x:f>SUM(CFR_Contributions!N136:N146)*100</x:f>
        <x:v>86.08919491525424</x:v>
      </x:c>
      <x:c r="K16" s="102" t="n">
        <x:v>16.009999999999998</x:v>
      </x:c>
      <x:c r="L16" s="45" t="str">
        <x:f>IF(J16&gt;=90,"OPTIMAL",IF(J16&gt;=80,"ACCEPTABLE","LOW"))</x:f>
        <x:v>ACCEPTABLE</x:v>
      </x:c>
      <x:c r="M16" s="45" t="str">
        <x:v>SYSTEM_NORMALIZED</x:v>
      </x:c>
    </x:row>
    <x:row r="17">
      <x:c r="A17" s="45" t="str">
        <x:v>LEE2022_OXA_KP</x:v>
      </x:c>
      <x:c r="B17" s="45" t="str">
        <x:v>OXA-like CR-K. pneumoniae, ATLAS 2020</x:v>
      </x:c>
      <x:c r="C17" s="45" t="str">
        <x:v>PRIMARY</x:v>
      </x:c>
      <x:c r="D17" s="45" t="str">
        <x:v>R5</x:v>
      </x:c>
      <x:c r="E17" s="45" t="str">
        <x:v>31–60</x:v>
      </x:c>
      <x:c r="F17" s="45" t="n">
        <x:v>0.625</x:v>
      </x:c>
      <x:c r="G17" s="45" t="n">
        <x:v>8</x:v>
      </x:c>
      <x:c r="H17" s="102" t="n">
        <x:f>SUM(CFR_Contributions!L147:L157)*100</x:f>
        <x:v>92.15095338983049</x:v>
      </x:c>
      <x:c r="I17" s="102" t="n">
        <x:f>SUM(CFR_Contributions!M147:M157)*100</x:f>
        <x:v>44.964999999999996</x:v>
      </x:c>
      <x:c r="J17" s="102" t="n">
        <x:f>SUM(CFR_Contributions!N147:N157)*100</x:f>
        <x:v>44.10220338983051</x:v>
      </x:c>
      <x:c r="K17" s="102" t="n">
        <x:v>0.245</x:v>
      </x:c>
      <x:c r="L17" s="45" t="str">
        <x:f>IF(J17&gt;=90,"OPTIMAL",IF(J17&gt;=80,"ACCEPTABLE","LOW"))</x:f>
        <x:v>LOW</x:v>
      </x:c>
      <x:c r="M17" s="45" t="str">
        <x:v>SYSTEM_NORMALIZED</x:v>
      </x:c>
    </x:row>
    <x:row r="18">
      <x:c r="A18" s="45" t="str">
        <x:v>LEE2022_OXA_KP</x:v>
      </x:c>
      <x:c r="B18" s="45" t="str">
        <x:v>OXA-like CR-K. pneumoniae, ATLAS 2020</x:v>
      </x:c>
      <x:c r="C18" s="45" t="str">
        <x:v>PRIMARY</x:v>
      </x:c>
      <x:c r="D18" s="45" t="str">
        <x:v>R6</x:v>
      </x:c>
      <x:c r="E18" s="45" t="str">
        <x:v>31–60</x:v>
      </x:c>
      <x:c r="F18" s="45" t="n">
        <x:v>1.25</x:v>
      </x:c>
      <x:c r="G18" s="45" t="n">
        <x:v>12</x:v>
      </x:c>
      <x:c r="H18" s="102" t="n">
        <x:f>SUM(CFR_Contributions!L158:L168)*100</x:f>
        <x:v>95.38059322033898</x:v>
      </x:c>
      <x:c r="I18" s="102" t="n">
        <x:f>SUM(CFR_Contributions!M158:M168)*100</x:f>
        <x:v>61.035</x:v>
      </x:c>
      <x:c r="J18" s="102" t="n">
        <x:f>SUM(CFR_Contributions!N158:N168)*100</x:f>
        <x:v>59.97565677966102</x:v>
      </x:c>
      <x:c r="K18" s="102" t="n">
        <x:v>0.89</x:v>
      </x:c>
      <x:c r="L18" s="45" t="str">
        <x:f>IF(J18&gt;=90,"OPTIMAL",IF(J18&gt;=80,"ACCEPTABLE","LOW"))</x:f>
        <x:v>LOW</x:v>
      </x:c>
      <x:c r="M18" s="45" t="str">
        <x:v>SYSTEM_NORMALIZED</x:v>
      </x:c>
    </x:row>
    <x:row r="19">
      <x:c r="A19" s="45" t="str">
        <x:v>LEE2022_OXA_KP</x:v>
      </x:c>
      <x:c r="B19" s="45" t="str">
        <x:v>OXA-like CR-K. pneumoniae, ATLAS 2020</x:v>
      </x:c>
      <x:c r="C19" s="45" t="str">
        <x:v>PRIMARY</x:v>
      </x:c>
      <x:c r="D19" s="45" t="str">
        <x:v>R7</x:v>
      </x:c>
      <x:c r="E19" s="45" t="str">
        <x:v>31–60</x:v>
      </x:c>
      <x:c r="F19" s="45" t="n">
        <x:v>1.25</x:v>
      </x:c>
      <x:c r="G19" s="45" t="n">
        <x:v>8</x:v>
      </x:c>
      <x:c r="H19" s="102" t="n">
        <x:f>SUM(CFR_Contributions!L169:L179)*100</x:f>
        <x:v>97.57459745762714</x:v>
      </x:c>
      <x:c r="I19" s="102" t="n">
        <x:f>SUM(CFR_Contributions!M169:M179)*100</x:f>
        <x:v>80.43500000000002</x:v>
      </x:c>
      <x:c r="J19" s="102" t="n">
        <x:f>SUM(CFR_Contributions!N169:N179)*100</x:f>
        <x:v>79.19953389830509</x:v>
      </x:c>
      <x:c r="K19" s="102" t="n">
        <x:v>3.8350000000000004</x:v>
      </x:c>
      <x:c r="L19" s="45" t="str">
        <x:f>IF(J19&gt;=90,"OPTIMAL",IF(J19&gt;=80,"ACCEPTABLE","LOW"))</x:f>
        <x:v>LOW</x:v>
      </x:c>
      <x:c r="M19" s="45" t="str">
        <x:v>SYSTEM_NORMALIZED</x:v>
      </x:c>
    </x:row>
    <x:row r="20">
      <x:c r="A20" s="45" t="str">
        <x:v>LEE2022_OXA_KP</x:v>
      </x:c>
      <x:c r="B20" s="45" t="str">
        <x:v>OXA-like CR-K. pneumoniae, ATLAS 2020</x:v>
      </x:c>
      <x:c r="C20" s="45" t="str">
        <x:v>PRIMARY</x:v>
      </x:c>
      <x:c r="D20" s="45" t="str">
        <x:v>R8</x:v>
      </x:c>
      <x:c r="E20" s="45" t="str">
        <x:v>31–60</x:v>
      </x:c>
      <x:c r="F20" s="45" t="n">
        <x:v>2.5</x:v>
      </x:c>
      <x:c r="G20" s="45" t="n">
        <x:v>12</x:v>
      </x:c>
      <x:c r="H20" s="102" t="n">
        <x:f>SUM(CFR_Contributions!L180:L190)*100</x:f>
        <x:v>98.24224576271186</x:v>
      </x:c>
      <x:c r="I20" s="102" t="n">
        <x:f>SUM(CFR_Contributions!M180:M190)*100</x:f>
        <x:v>89.45000000000002</x:v>
      </x:c>
      <x:c r="J20" s="102" t="n">
        <x:f>SUM(CFR_Contributions!N180:N190)*100</x:f>
        <x:v>88.18105932203389</x:v>
      </x:c>
      <x:c r="K20" s="102" t="n">
        <x:v>9.335</x:v>
      </x:c>
      <x:c r="L20" s="45" t="str">
        <x:f>IF(J20&gt;=90,"OPTIMAL",IF(J20&gt;=80,"ACCEPTABLE","LOW"))</x:f>
        <x:v>ACCEPTABLE</x:v>
      </x:c>
      <x:c r="M20" s="45" t="str">
        <x:v>SYSTEM_NORMALIZED</x:v>
      </x:c>
    </x:row>
    <x:row r="21">
      <x:c r="A21" s="45" t="str">
        <x:v>LEE2022_OXA_KP</x:v>
      </x:c>
      <x:c r="B21" s="45" t="str">
        <x:v>OXA-like CR-K. pneumoniae, ATLAS 2020</x:v>
      </x:c>
      <x:c r="C21" s="45" t="str">
        <x:v>PRIMARY</x:v>
      </x:c>
      <x:c r="D21" s="45" t="str">
        <x:v>R9</x:v>
      </x:c>
      <x:c r="E21" s="45" t="str">
        <x:v>61–90</x:v>
      </x:c>
      <x:c r="F21" s="45" t="n">
        <x:v>2.5</x:v>
      </x:c>
      <x:c r="G21" s="45" t="n">
        <x:v>12</x:v>
      </x:c>
      <x:c r="H21" s="102" t="n">
        <x:f>SUM(CFR_Contributions!L191:L201)*100</x:f>
        <x:v>97.3506779661017</x:v>
      </x:c>
      <x:c r="I21" s="102" t="n">
        <x:f>SUM(CFR_Contributions!M191:M201)*100</x:f>
        <x:v>73.22499999999998</x:v>
      </x:c>
      <x:c r="J21" s="102" t="n">
        <x:f>SUM(CFR_Contributions!N191:N201)*100</x:f>
        <x:v>72.11652542372882</x:v>
      </x:c>
      <x:c r="K21" s="102" t="n">
        <x:v>2.98</x:v>
      </x:c>
      <x:c r="L21" s="45" t="str">
        <x:f>IF(J21&gt;=90,"OPTIMAL",IF(J21&gt;=80,"ACCEPTABLE","LOW"))</x:f>
        <x:v>LOW</x:v>
      </x:c>
      <x:c r="M21" s="45" t="str">
        <x:v>SYSTEM_NORMALIZED</x:v>
      </x:c>
    </x:row>
    <x:row r="22">
      <x:c r="A22" s="45" t="str">
        <x:v>LEE2022_OXA_KP</x:v>
      </x:c>
      <x:c r="B22" s="45" t="str">
        <x:v>OXA-like CR-K. pneumoniae, ATLAS 2020</x:v>
      </x:c>
      <x:c r="C22" s="45" t="str">
        <x:v>PRIMARY</x:v>
      </x:c>
      <x:c r="D22" s="45" t="str">
        <x:v>R10</x:v>
      </x:c>
      <x:c r="E22" s="45" t="str">
        <x:v>61–90</x:v>
      </x:c>
      <x:c r="F22" s="45" t="n">
        <x:v>2.5</x:v>
      </x:c>
      <x:c r="G22" s="45" t="n">
        <x:v>8</x:v>
      </x:c>
      <x:c r="H22" s="102" t="n">
        <x:f>SUM(CFR_Contributions!L202:L212)*100</x:f>
        <x:v>98.32381355932205</x:v>
      </x:c>
      <x:c r="I22" s="102" t="n">
        <x:f>SUM(CFR_Contributions!M202:M212)*100</x:f>
        <x:v>88.405</x:v>
      </x:c>
      <x:c r="J22" s="102" t="n">
        <x:f>SUM(CFR_Contributions!N202:N212)*100</x:f>
        <x:v>87.18108050847458</x:v>
      </x:c>
      <x:c r="K22" s="102" t="n">
        <x:v>10.89</x:v>
      </x:c>
      <x:c r="L22" s="45" t="str">
        <x:f>IF(J22&gt;=90,"OPTIMAL",IF(J22&gt;=80,"ACCEPTABLE","LOW"))</x:f>
        <x:v>ACCEPTABLE</x:v>
      </x:c>
      <x:c r="M22" s="45" t="str">
        <x:v>SYSTEM_NORMALIZED</x:v>
      </x:c>
    </x:row>
    <x:row r="23">
      <x:c r="A23" s="45" t="str">
        <x:v>LEE2022_OXA_KP</x:v>
      </x:c>
      <x:c r="B23" s="45" t="str">
        <x:v>OXA-like CR-K. pneumoniae, ATLAS 2020</x:v>
      </x:c>
      <x:c r="C23" s="45" t="str">
        <x:v>PRIMARY</x:v>
      </x:c>
      <x:c r="D23" s="45" t="str">
        <x:v>R11</x:v>
      </x:c>
      <x:c r="E23" s="45" t="str">
        <x:v>91–120</x:v>
      </x:c>
      <x:c r="F23" s="45" t="n">
        <x:v>2.5</x:v>
      </x:c>
      <x:c r="G23" s="45" t="n">
        <x:v>8</x:v>
      </x:c>
      <x:c r="H23" s="102" t="n">
        <x:f>SUM(CFR_Contributions!L213:L223)*100</x:f>
        <x:v>97.90476694915256</x:v>
      </x:c>
      <x:c r="I23" s="102" t="n">
        <x:f>SUM(CFR_Contributions!M213:M223)*100</x:f>
        <x:v>78.17999999999999</x:v>
      </x:c>
      <x:c r="J23" s="102" t="n">
        <x:f>SUM(CFR_Contributions!N213:N223)*100</x:f>
        <x:v>77.05688559322034</x:v>
      </x:c>
      <x:c r="K23" s="102" t="n">
        <x:v>5.1499999999999995</x:v>
      </x:c>
      <x:c r="L23" s="45" t="str">
        <x:f>IF(J23&gt;=90,"OPTIMAL",IF(J23&gt;=80,"ACCEPTABLE","LOW"))</x:f>
        <x:v>LOW</x:v>
      </x:c>
      <x:c r="M23" s="45" t="str">
        <x:v>SYSTEM_NORMALIZED</x:v>
      </x:c>
    </x:row>
    <x:row r="24">
      <x:c r="A24" s="45" t="str">
        <x:v>LEE2022_OXA_KP</x:v>
      </x:c>
      <x:c r="B24" s="45" t="str">
        <x:v>OXA-like CR-K. pneumoniae, ATLAS 2020</x:v>
      </x:c>
      <x:c r="C24" s="45" t="str">
        <x:v>PRIMARY</x:v>
      </x:c>
      <x:c r="D24" s="45" t="str">
        <x:v>R12</x:v>
      </x:c>
      <x:c r="E24" s="45" t="str">
        <x:v>91–120</x:v>
      </x:c>
      <x:c r="F24" s="45" t="n">
        <x:v>2.5</x:v>
      </x:c>
      <x:c r="G24" s="45" t="n">
        <x:v>6</x:v>
      </x:c>
      <x:c r="H24" s="102" t="n">
        <x:f>SUM(CFR_Contributions!L224:L234)*100</x:f>
        <x:v>98.39612288135594</x:v>
      </x:c>
      <x:c r="I24" s="102" t="n">
        <x:f>SUM(CFR_Contributions!M224:M234)*100</x:f>
        <x:v>88.46000000000001</x:v>
      </x:c>
      <x:c r="J24" s="102" t="n">
        <x:f>SUM(CFR_Contributions!N224:N234)*100</x:f>
        <x:v>87.25680084745764</x:v>
      </x:c>
      <x:c r="K24" s="102" t="n">
        <x:v>12.32</x:v>
      </x:c>
      <x:c r="L24" s="45" t="str">
        <x:f>IF(J24&gt;=90,"OPTIMAL",IF(J24&gt;=80,"ACCEPTABLE","LOW"))</x:f>
        <x:v>ACCEPTABLE</x:v>
      </x:c>
      <x:c r="M24" s="45" t="str">
        <x:v>SYSTEM_NORMALIZED</x:v>
      </x:c>
    </x:row>
    <x:row r="25">
      <x:c r="A25" s="45" t="str">
        <x:v>LEE2022_OXA_KP</x:v>
      </x:c>
      <x:c r="B25" s="45" t="str">
        <x:v>OXA-like CR-K. pneumoniae, ATLAS 2020</x:v>
      </x:c>
      <x:c r="C25" s="45" t="str">
        <x:v>PRIMARY</x:v>
      </x:c>
      <x:c r="D25" s="45" t="str">
        <x:v>R13</x:v>
      </x:c>
      <x:c r="E25" s="45" t="str">
        <x:v>121–150</x:v>
      </x:c>
      <x:c r="F25" s="45" t="n">
        <x:v>2.5</x:v>
      </x:c>
      <x:c r="G25" s="45" t="n">
        <x:v>6</x:v>
      </x:c>
      <x:c r="H25" s="102" t="n">
        <x:f>SUM(CFR_Contributions!L235:L245)*100</x:f>
        <x:v>98.13228813559323</x:v>
      </x:c>
      <x:c r="I25" s="102" t="n">
        <x:f>SUM(CFR_Contributions!M235:M245)*100</x:f>
        <x:v>81.24500000000002</x:v>
      </x:c>
      <x:c r="J25" s="102" t="n">
        <x:f>SUM(CFR_Contributions!N235:N245)*100</x:f>
        <x:v>80.10860169491527</x:v>
      </x:c>
      <x:c r="K25" s="102" t="n">
        <x:v>7.33</x:v>
      </x:c>
      <x:c r="L25" s="45" t="str">
        <x:f>IF(J25&gt;=90,"OPTIMAL",IF(J25&gt;=80,"ACCEPTABLE","LOW"))</x:f>
        <x:v>ACCEPTABLE</x:v>
      </x:c>
      <x:c r="M25" s="45" t="str">
        <x:v>SYSTEM_NORMALIZED</x:v>
      </x:c>
    </x:row>
    <x:row r="26">
      <x:c r="A26" s="45" t="str">
        <x:v>INDIA2022_OXA48_KP</x:v>
      </x:c>
      <x:c r="B26" s="45" t="str">
        <x:v>OXA-48-like CR-K. pneumoniae, India ATLAS 2018–2019</x:v>
      </x:c>
      <x:c r="C26" s="45" t="str">
        <x:v>SENSITIVITY_DONOR</x:v>
      </x:c>
      <x:c r="D26" s="45" t="str">
        <x:v>R1</x:v>
      </x:c>
      <x:c r="E26" s="45" t="str">
        <x:v>0–30</x:v>
      </x:c>
      <x:c r="F26" s="45" t="n">
        <x:v>0.625</x:v>
      </x:c>
      <x:c r="G26" s="45" t="n">
        <x:v>12</x:v>
      </x:c>
      <x:c r="H26" s="102" t="n">
        <x:f>SUM(CFR_Contributions!L246:L256)*100</x:f>
        <x:v>94.41110294117648</x:v>
      </x:c>
      <x:c r="I26" s="102" t="n">
        <x:f>SUM(CFR_Contributions!M246:M256)*100</x:f>
        <x:v>74.88</x:v>
      </x:c>
      <x:c r="J26" s="102" t="n">
        <x:f>SUM(CFR_Contributions!N246:N256)*100</x:f>
        <x:v>72.06426470588235</x:v>
      </x:c>
      <x:c r="K26" s="102" t="n">
        <x:v>8.924999999999999</x:v>
      </x:c>
      <x:c r="L26" s="45" t="str">
        <x:f>IF(J26&gt;=90,"OPTIMAL",IF(J26&gt;=80,"ACCEPTABLE","LOW"))</x:f>
        <x:v>LOW</x:v>
      </x:c>
      <x:c r="M26" s="45" t="str">
        <x:v>USER_REVIEW_REQUIRED</x:v>
      </x:c>
    </x:row>
    <x:row r="27">
      <x:c r="A27" s="45" t="str">
        <x:v>INDIA2022_OXA48_KP</x:v>
      </x:c>
      <x:c r="B27" s="45" t="str">
        <x:v>OXA-48-like CR-K. pneumoniae, India ATLAS 2018–2019</x:v>
      </x:c>
      <x:c r="C27" s="45" t="str">
        <x:v>SENSITIVITY_DONOR</x:v>
      </x:c>
      <x:c r="D27" s="45" t="str">
        <x:v>R2</x:v>
      </x:c>
      <x:c r="E27" s="45" t="str">
        <x:v>0–30</x:v>
      </x:c>
      <x:c r="F27" s="45" t="n">
        <x:v>0.625</x:v>
      </x:c>
      <x:c r="G27" s="45" t="n">
        <x:v>8</x:v>
      </x:c>
      <x:c r="H27" s="102" t="n">
        <x:f>SUM(CFR_Contributions!L257:L267)*100</x:f>
        <x:v>95.87227941176472</x:v>
      </x:c>
      <x:c r="I27" s="102" t="n">
        <x:f>SUM(CFR_Contributions!M257:M267)*100</x:f>
        <x:v>87.38</x:v>
      </x:c>
      <x:c r="J27" s="102" t="n">
        <x:f>SUM(CFR_Contributions!N257:N267)*100</x:f>
        <x:v>84.28525735294117</x:v>
      </x:c>
      <x:c r="K27" s="102" t="n">
        <x:v>16.009999999999998</x:v>
      </x:c>
      <x:c r="L27" s="45" t="str">
        <x:f>IF(J27&gt;=90,"OPTIMAL",IF(J27&gt;=80,"ACCEPTABLE","LOW"))</x:f>
        <x:v>ACCEPTABLE</x:v>
      </x:c>
      <x:c r="M27" s="45" t="str">
        <x:v>USER_REVIEW_REQUIRED</x:v>
      </x:c>
    </x:row>
    <x:row r="28">
      <x:c r="A28" s="45" t="str">
        <x:v>INDIA2022_OXA48_KP</x:v>
      </x:c>
      <x:c r="B28" s="45" t="str">
        <x:v>OXA-48-like CR-K. pneumoniae, India ATLAS 2018–2019</x:v>
      </x:c>
      <x:c r="C28" s="45" t="str">
        <x:v>SENSITIVITY_DONOR</x:v>
      </x:c>
      <x:c r="D28" s="45" t="str">
        <x:v>R5</x:v>
      </x:c>
      <x:c r="E28" s="45" t="str">
        <x:v>31–60</x:v>
      </x:c>
      <x:c r="F28" s="45" t="n">
        <x:v>0.625</x:v>
      </x:c>
      <x:c r="G28" s="45" t="n">
        <x:v>8</x:v>
      </x:c>
      <x:c r="H28" s="102" t="n">
        <x:f>SUM(CFR_Contributions!L268:L278)*100</x:f>
        <x:v>92.09551470588237</x:v>
      </x:c>
      <x:c r="I28" s="102" t="n">
        <x:f>SUM(CFR_Contributions!M268:M278)*100</x:f>
        <x:v>44.96499999999999</x:v>
      </x:c>
      <x:c r="J28" s="102" t="n">
        <x:f>SUM(CFR_Contributions!N268:N278)*100</x:f>
        <x:v>43.186911764705876</x:v>
      </x:c>
      <x:c r="K28" s="102" t="n">
        <x:v>0.245</x:v>
      </x:c>
      <x:c r="L28" s="45" t="str">
        <x:f>IF(J28&gt;=90,"OPTIMAL",IF(J28&gt;=80,"ACCEPTABLE","LOW"))</x:f>
        <x:v>LOW</x:v>
      </x:c>
      <x:c r="M28" s="45" t="str">
        <x:v>USER_REVIEW_REQUIRED</x:v>
      </x:c>
    </x:row>
    <x:row r="29">
      <x:c r="A29" s="45" t="str">
        <x:v>INDIA2022_OXA48_KP</x:v>
      </x:c>
      <x:c r="B29" s="45" t="str">
        <x:v>OXA-48-like CR-K. pneumoniae, India ATLAS 2018–2019</x:v>
      </x:c>
      <x:c r="C29" s="45" t="str">
        <x:v>SENSITIVITY_DONOR</x:v>
      </x:c>
      <x:c r="D29" s="45" t="str">
        <x:v>R6</x:v>
      </x:c>
      <x:c r="E29" s="45" t="str">
        <x:v>31–60</x:v>
      </x:c>
      <x:c r="F29" s="45" t="n">
        <x:v>1.25</x:v>
      </x:c>
      <x:c r="G29" s="45" t="n">
        <x:v>12</x:v>
      </x:c>
      <x:c r="H29" s="102" t="n">
        <x:f>SUM(CFR_Contributions!L279:L289)*100</x:f>
        <x:v>94.27691176470587</x:v>
      </x:c>
      <x:c r="I29" s="102" t="n">
        <x:f>SUM(CFR_Contributions!M279:M289)*100</x:f>
        <x:v>61.035</x:v>
      </x:c>
      <x:c r="J29" s="102" t="n">
        <x:f>SUM(CFR_Contributions!N279:N289)*100</x:f>
        <x:v>58.6910294117647</x:v>
      </x:c>
      <x:c r="K29" s="102" t="n">
        <x:v>0.89</x:v>
      </x:c>
      <x:c r="L29" s="45" t="str">
        <x:f>IF(J29&gt;=90,"OPTIMAL",IF(J29&gt;=80,"ACCEPTABLE","LOW"))</x:f>
        <x:v>LOW</x:v>
      </x:c>
      <x:c r="M29" s="45" t="str">
        <x:v>USER_REVIEW_REQUIRED</x:v>
      </x:c>
    </x:row>
    <x:row r="30">
      <x:c r="A30" s="45" t="str">
        <x:v>INDIA2022_OXA48_KP</x:v>
      </x:c>
      <x:c r="B30" s="45" t="str">
        <x:v>OXA-48-like CR-K. pneumoniae, India ATLAS 2018–2019</x:v>
      </x:c>
      <x:c r="C30" s="45" t="str">
        <x:v>SENSITIVITY_DONOR</x:v>
      </x:c>
      <x:c r="D30" s="45" t="str">
        <x:v>R7</x:v>
      </x:c>
      <x:c r="E30" s="45" t="str">
        <x:v>31–60</x:v>
      </x:c>
      <x:c r="F30" s="45" t="n">
        <x:v>1.25</x:v>
      </x:c>
      <x:c r="G30" s="45" t="n">
        <x:v>8</x:v>
      </x:c>
      <x:c r="H30" s="102" t="n">
        <x:f>SUM(CFR_Contributions!L290:L300)*100</x:f>
        <x:v>95.69117647058822</x:v>
      </x:c>
      <x:c r="I30" s="102" t="n">
        <x:f>SUM(CFR_Contributions!M290:M300)*100</x:f>
        <x:v>80.435</x:v>
      </x:c>
      <x:c r="J30" s="102" t="n">
        <x:f>SUM(CFR_Contributions!N290:N300)*100</x:f>
        <x:v>77.43731617647059</x:v>
      </x:c>
      <x:c r="K30" s="102" t="n">
        <x:v>3.8350000000000004</x:v>
      </x:c>
      <x:c r="L30" s="45" t="str">
        <x:f>IF(J30&gt;=90,"OPTIMAL",IF(J30&gt;=80,"ACCEPTABLE","LOW"))</x:f>
        <x:v>LOW</x:v>
      </x:c>
      <x:c r="M30" s="45" t="str">
        <x:v>USER_REVIEW_REQUIRED</x:v>
      </x:c>
    </x:row>
    <x:row r="31">
      <x:c r="A31" s="45" t="str">
        <x:v>INDIA2022_OXA48_KP</x:v>
      </x:c>
      <x:c r="B31" s="45" t="str">
        <x:v>OXA-48-like CR-K. pneumoniae, India ATLAS 2018–2019</x:v>
      </x:c>
      <x:c r="C31" s="45" t="str">
        <x:v>SENSITIVITY_DONOR</x:v>
      </x:c>
      <x:c r="D31" s="45" t="str">
        <x:v>R8</x:v>
      </x:c>
      <x:c r="E31" s="45" t="str">
        <x:v>31–60</x:v>
      </x:c>
      <x:c r="F31" s="45" t="n">
        <x:v>2.5</x:v>
      </x:c>
      <x:c r="G31" s="45" t="n">
        <x:v>12</x:v>
      </x:c>
      <x:c r="H31" s="102" t="n">
        <x:f>SUM(CFR_Contributions!L301:L311)*100</x:f>
        <x:v>96.12</x:v>
      </x:c>
      <x:c r="I31" s="102" t="n">
        <x:f>SUM(CFR_Contributions!M301:M311)*100</x:f>
        <x:v>89.44999999999999</x:v>
      </x:c>
      <x:c r="J31" s="102" t="n">
        <x:f>SUM(CFR_Contributions!N301:N311)*100</x:f>
        <x:v>86.18231617647058</x:v>
      </x:c>
      <x:c r="K31" s="102" t="n">
        <x:v>9.335</x:v>
      </x:c>
      <x:c r="L31" s="45" t="str">
        <x:f>IF(J31&gt;=90,"OPTIMAL",IF(J31&gt;=80,"ACCEPTABLE","LOW"))</x:f>
        <x:v>ACCEPTABLE</x:v>
      </x:c>
      <x:c r="M31" s="45" t="str">
        <x:v>USER_REVIEW_REQUIRED</x:v>
      </x:c>
    </x:row>
    <x:row r="32">
      <x:c r="A32" s="45" t="str">
        <x:v>INDIA2022_OXA48_KP</x:v>
      </x:c>
      <x:c r="B32" s="45" t="str">
        <x:v>OXA-48-like CR-K. pneumoniae, India ATLAS 2018–2019</x:v>
      </x:c>
      <x:c r="C32" s="45" t="str">
        <x:v>SENSITIVITY_DONOR</x:v>
      </x:c>
      <x:c r="D32" s="45" t="str">
        <x:v>R9</x:v>
      </x:c>
      <x:c r="E32" s="45" t="str">
        <x:v>61–90</x:v>
      </x:c>
      <x:c r="F32" s="45" t="n">
        <x:v>2.5</x:v>
      </x:c>
      <x:c r="G32" s="45" t="n">
        <x:v>12</x:v>
      </x:c>
      <x:c r="H32" s="102" t="n">
        <x:f>SUM(CFR_Contributions!L312:L322)*100</x:f>
        <x:v>95.54779411764707</x:v>
      </x:c>
      <x:c r="I32" s="102" t="n">
        <x:f>SUM(CFR_Contributions!M312:M322)*100</x:f>
        <x:v>73.22500000000001</x:v>
      </x:c>
      <x:c r="J32" s="102" t="n">
        <x:f>SUM(CFR_Contributions!N312:N322)*100</x:f>
        <x:v>70.50805147058823</x:v>
      </x:c>
      <x:c r="K32" s="102" t="n">
        <x:v>2.98</x:v>
      </x:c>
      <x:c r="L32" s="45" t="str">
        <x:f>IF(J32&gt;=90,"OPTIMAL",IF(J32&gt;=80,"ACCEPTABLE","LOW"))</x:f>
        <x:v>LOW</x:v>
      </x:c>
      <x:c r="M32" s="45" t="str">
        <x:v>USER_REVIEW_REQUIRED</x:v>
      </x:c>
    </x:row>
    <x:row r="33">
      <x:c r="A33" s="45" t="str">
        <x:v>INDIA2022_OXA48_KP</x:v>
      </x:c>
      <x:c r="B33" s="45" t="str">
        <x:v>OXA-48-like CR-K. pneumoniae, India ATLAS 2018–2019</x:v>
      </x:c>
      <x:c r="C33" s="45" t="str">
        <x:v>SENSITIVITY_DONOR</x:v>
      </x:c>
      <x:c r="D33" s="45" t="str">
        <x:v>R10</x:v>
      </x:c>
      <x:c r="E33" s="45" t="str">
        <x:v>61–90</x:v>
      </x:c>
      <x:c r="F33" s="45" t="n">
        <x:v>2.5</x:v>
      </x:c>
      <x:c r="G33" s="45" t="n">
        <x:v>8</x:v>
      </x:c>
      <x:c r="H33" s="102" t="n">
        <x:f>SUM(CFR_Contributions!L323:L333)*100</x:f>
        <x:v>96.17360294117647</x:v>
      </x:c>
      <x:c r="I33" s="102" t="n">
        <x:f>SUM(CFR_Contributions!M323:M333)*100</x:f>
        <x:v>88.40499999999999</x:v>
      </x:c>
      <x:c r="J33" s="102" t="n">
        <x:f>SUM(CFR_Contributions!N323:N333)*100</x:f>
        <x:v>85.194375</x:v>
      </x:c>
      <x:c r="K33" s="102" t="n">
        <x:v>10.89</x:v>
      </x:c>
      <x:c r="L33" s="45" t="str">
        <x:f>IF(J33&gt;=90,"OPTIMAL",IF(J33&gt;=80,"ACCEPTABLE","LOW"))</x:f>
        <x:v>ACCEPTABLE</x:v>
      </x:c>
      <x:c r="M33" s="45" t="str">
        <x:v>USER_REVIEW_REQUIRED</x:v>
      </x:c>
    </x:row>
    <x:row r="34">
      <x:c r="A34" s="45" t="str">
        <x:v>INDIA2022_OXA48_KP</x:v>
      </x:c>
      <x:c r="B34" s="45" t="str">
        <x:v>OXA-48-like CR-K. pneumoniae, India ATLAS 2018–2019</x:v>
      </x:c>
      <x:c r="C34" s="45" t="str">
        <x:v>SENSITIVITY_DONOR</x:v>
      </x:c>
      <x:c r="D34" s="45" t="str">
        <x:v>R11</x:v>
      </x:c>
      <x:c r="E34" s="45" t="str">
        <x:v>91–120</x:v>
      </x:c>
      <x:c r="F34" s="45" t="n">
        <x:v>2.5</x:v>
      </x:c>
      <x:c r="G34" s="45" t="n">
        <x:v>8</x:v>
      </x:c>
      <x:c r="H34" s="102" t="n">
        <x:f>SUM(CFR_Contributions!L334:L344)*100</x:f>
        <x:v>95.89139705882353</x:v>
      </x:c>
      <x:c r="I34" s="102" t="n">
        <x:f>SUM(CFR_Contributions!M334:M344)*100</x:f>
        <x:v>78.17999999999999</x:v>
      </x:c>
      <x:c r="J34" s="102" t="n">
        <x:f>SUM(CFR_Contributions!N334:N344)*100</x:f>
        <x:v>75.3091544117647</x:v>
      </x:c>
      <x:c r="K34" s="102" t="n">
        <x:v>5.1499999999999995</x:v>
      </x:c>
      <x:c r="L34" s="45" t="str">
        <x:f>IF(J34&gt;=90,"OPTIMAL",IF(J34&gt;=80,"ACCEPTABLE","LOW"))</x:f>
        <x:v>LOW</x:v>
      </x:c>
      <x:c r="M34" s="45" t="str">
        <x:v>USER_REVIEW_REQUIRED</x:v>
      </x:c>
    </x:row>
    <x:row r="35">
      <x:c r="A35" s="45" t="str">
        <x:v>INDIA2022_OXA48_KP</x:v>
      </x:c>
      <x:c r="B35" s="45" t="str">
        <x:v>OXA-48-like CR-K. pneumoniae, India ATLAS 2018–2019</x:v>
      </x:c>
      <x:c r="C35" s="45" t="str">
        <x:v>SENSITIVITY_DONOR</x:v>
      </x:c>
      <x:c r="D35" s="45" t="str">
        <x:v>R12</x:v>
      </x:c>
      <x:c r="E35" s="45" t="str">
        <x:v>91–120</x:v>
      </x:c>
      <x:c r="F35" s="45" t="n">
        <x:v>2.5</x:v>
      </x:c>
      <x:c r="G35" s="45" t="n">
        <x:v>6</x:v>
      </x:c>
      <x:c r="H35" s="102" t="n">
        <x:f>SUM(CFR_Contributions!L345:L355)*100</x:f>
        <x:v>96.21974264705881</x:v>
      </x:c>
      <x:c r="I35" s="102" t="n">
        <x:f>SUM(CFR_Contributions!M345:M355)*100</x:f>
        <x:v>88.46000000000002</x:v>
      </x:c>
      <x:c r="J35" s="102" t="n">
        <x:f>SUM(CFR_Contributions!N345:N355)*100</x:f>
        <x:v>85.2591911764706</x:v>
      </x:c>
      <x:c r="K35" s="102" t="n">
        <x:v>12.32</x:v>
      </x:c>
      <x:c r="L35" s="45" t="str">
        <x:f>IF(J35&gt;=90,"OPTIMAL",IF(J35&gt;=80,"ACCEPTABLE","LOW"))</x:f>
        <x:v>ACCEPTABLE</x:v>
      </x:c>
      <x:c r="M35" s="45" t="str">
        <x:v>USER_REVIEW_REQUIRED</x:v>
      </x:c>
    </x:row>
    <x:row r="36">
      <x:c r="A36" s="45" t="str">
        <x:v>INDIA2022_OXA48_KP</x:v>
      </x:c>
      <x:c r="B36" s="45" t="str">
        <x:v>OXA-48-like CR-K. pneumoniae, India ATLAS 2018–2019</x:v>
      </x:c>
      <x:c r="C36" s="45" t="str">
        <x:v>SENSITIVITY_DONOR</x:v>
      </x:c>
      <x:c r="D36" s="45" t="str">
        <x:v>R13</x:v>
      </x:c>
      <x:c r="E36" s="45" t="str">
        <x:v>121–150</x:v>
      </x:c>
      <x:c r="F36" s="45" t="n">
        <x:v>2.5</x:v>
      </x:c>
      <x:c r="G36" s="45" t="n">
        <x:v>6</x:v>
      </x:c>
      <x:c r="H36" s="102" t="n">
        <x:f>SUM(CFR_Contributions!L356:L366)*100</x:f>
        <x:v>96.04654411764707</x:v>
      </x:c>
      <x:c r="I36" s="102" t="n">
        <x:f>SUM(CFR_Contributions!M356:M366)*100</x:f>
        <x:v>81.245</x:v>
      </x:c>
      <x:c r="J36" s="102" t="n">
        <x:f>SUM(CFR_Contributions!N356:N366)*100</x:f>
        <x:v>78.28062500000001</x:v>
      </x:c>
      <x:c r="K36" s="102" t="n">
        <x:v>7.33</x:v>
      </x:c>
      <x:c r="L36" s="45" t="str">
        <x:f>IF(J36&gt;=90,"OPTIMAL",IF(J36&gt;=80,"ACCEPTABLE","LOW"))</x:f>
        <x:v>LOW</x:v>
      </x:c>
      <x:c r="M36" s="45" t="str">
        <x:v>USER_REVIEW_REQUIRED</x:v>
      </x:c>
    </x:row>
  </x:sheetData>
  <x:mergeCells>
    <x:mergeCell ref="A1:M1"/>
  </x:mergeCells>
  <x:conditionalFormatting sqref="L4:L36">
    <x:cfRule type="expression" dxfId="13" priority="1">
      <x:formula>L4="OPTIMAL"</x:formula>
    </x:cfRule>
    <x:cfRule type="expression" dxfId="14" priority="2">
      <x:formula>L4="ACCEPTABLE"</x:formula>
    </x:cfRule>
    <x:cfRule type="expression" dxfId="15" priority="3">
      <x:formula>L4="LOW"</x:formula>
    </x:cfRule>
  </x:conditionalFormatting>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48" hidden="0" customWidth="1"/>
    <x:col min="3" max="3" width="70" hidden="0" customWidth="1"/>
    <x:col min="4" max="4" width="22" hidden="0" customWidth="1"/>
    <x:col min="5" max="5" width="24" hidden="0" customWidth="1"/>
    <x:col min="6" max="6" width="44" hidden="0" customWidth="1"/>
  </x:cols>
  <x:sheetData>
    <x:row r="1">
      <x:c r="A1" s="150" t="str">
        <x:v>Scientific Interpretation of Added MIC Evidence</x:v>
      </x:c>
      <x:c r="B1" s="150"/>
      <x:c r="C1" s="150"/>
      <x:c r="D1" s="150"/>
      <x:c r="E1" s="150"/>
      <x:c r="F1" s="150"/>
    </x:row>
    <x:row r="2">
      <x:c r="A2" s="45"/>
      <x:c r="B2" s="45"/>
      <x:c r="C2" s="45"/>
      <x:c r="D2" s="45"/>
      <x:c r="E2" s="45"/>
      <x:c r="F2" s="45"/>
    </x:row>
    <x:row r="3">
      <x:c r="A3" s="145" t="str">
        <x:v>Finding</x:v>
      </x:c>
      <x:c r="B3" s="145" t="str">
        <x:v>Evidence</x:v>
      </x:c>
      <x:c r="C3" s="145" t="str">
        <x:v>Scientific interpretation</x:v>
      </x:c>
      <x:c r="D3" s="145" t="str">
        <x:v>Provenance</x:v>
      </x:c>
      <x:c r="E3" s="145" t="str">
        <x:v>Review state</x:v>
      </x:c>
      <x:c r="F3" s="145" t="str">
        <x:v>Action</x:v>
      </x:c>
    </x:row>
    <x:row r="4">
      <x:c r="A4" s="45" t="str">
        <x:v>Lee KPC distribution accepted</x:v>
      </x:c>
      <x:c r="B4" s="45" t="str">
        <x:v>379 KPC-like CR-KP with exact counts across 13 MIC dilutions</x:v>
      </x:c>
      <x:c r="C4" s="45" t="str">
        <x:v>Primary KPC CFR input</x:v>
      </x:c>
      <x:c r="D4" s="45" t="str">
        <x:v>REPORTED_DIRECT</x:v>
      </x:c>
      <x:c r="E4" s="45" t="str">
        <x:v>SYSTEM_NORMALIZED</x:v>
      </x:c>
      <x:c r="F4" s="45" t="str">
        <x:v>Use in baseline CFR</x:v>
      </x:c>
    </x:row>
    <x:row r="5">
      <x:c r="A5" s="45" t="str">
        <x:v>Lee OXA distribution accepted</x:v>
      </x:c>
      <x:c r="B5" s="45" t="str">
        <x:v>236 OXA-like CR-KP with exact counts across 13 MIC dilutions</x:v>
      </x:c>
      <x:c r="C5" s="45" t="str">
        <x:v>Primary OXA-KP CFR input</x:v>
      </x:c>
      <x:c r="D5" s="45" t="str">
        <x:v>REPORTED_DIRECT</x:v>
      </x:c>
      <x:c r="E5" s="45" t="str">
        <x:v>SYSTEM_NORMALIZED</x:v>
      </x:c>
      <x:c r="F5" s="45" t="str">
        <x:v>Use in baseline CFR</x:v>
      </x:c>
    </x:row>
    <x:row r="6">
      <x:c r="A6" s="45" t="str">
        <x:v>India OXA-48 distribution accepted conditionally</x:v>
      </x:c>
      <x:c r="B6" s="45" t="str">
        <x:v>136 OXA-48-like CR-KP with exact MIC counts</x:v>
      </x:c>
      <x:c r="C6" s="45" t="str">
        <x:v>Geographically restricted donor and sensitivity scenario</x:v>
      </x:c>
      <x:c r="D6" s="45" t="str">
        <x:v>DONOR_POOL</x:v>
      </x:c>
      <x:c r="E6" s="45" t="str">
        <x:v>USER_REVIEW_REQUIRED</x:v>
      </x:c>
      <x:c r="F6" s="45" t="str">
        <x:v>Do not merge with global distribution</x:v>
      </x:c>
    </x:row>
    <x:row r="7">
      <x:c r="A7" s="45" t="str">
        <x:v>Bonnin excluded</x:v>
      </x:c>
      <x:c r="B7" s="45" t="str">
        <x:v>Cefiderocol MIC only</x:v>
      </x:c>
      <x:c r="C7" s="45" t="str">
        <x:v>Drug mismatch</x:v>
      </x:c>
      <x:c r="D7" s="45" t="str">
        <x:v>REPORTED_DIRECT</x:v>
      </x:c>
      <x:c r="E7" s="45" t="str">
        <x:v>USER_REJECTED</x:v>
      </x:c>
      <x:c r="F7" s="45" t="str">
        <x:v>Archive separately</x:v>
      </x:c>
    </x:row>
    <x:row r="8">
      <x:c r="A8" s="45" t="str">
        <x:v>Rossolini excluded</x:v>
      </x:c>
      <x:c r="B8" s="45" t="str">
        <x:v>Aztreonam–avibactam MIC only</x:v>
      </x:c>
      <x:c r="C8" s="45" t="str">
        <x:v>Combination mismatch</x:v>
      </x:c>
      <x:c r="D8" s="45" t="str">
        <x:v>REPORTED_DIRECT</x:v>
      </x:c>
      <x:c r="E8" s="45" t="str">
        <x:v>USER_REJECTED</x:v>
      </x:c>
      <x:c r="F8" s="45" t="str">
        <x:v>Archive separately</x:v>
      </x:c>
    </x:row>
    <x:row r="9">
      <x:c r="A9" s="45" t="str">
        <x:v>Terminal MIC handling</x:v>
      </x:c>
      <x:c r="B9" s="45" t="str">
        <x:v>128 mg/L and &gt;32 mg/L mapped to model grid 64 mg/L</x:v>
      </x:c>
      <x:c r="C9" s="45" t="str">
        <x:v>Conservative grid harmonization; effect expected small because PTA is near zero</x:v>
      </x:c>
      <x:c r="D9" s="45" t="str">
        <x:v>REPORTED_DIRECT</x:v>
      </x:c>
      <x:c r="E9" s="45" t="str">
        <x:v>USER_REVIEW_REQUIRED</x:v>
      </x:c>
      <x:c r="F9" s="45" t="str">
        <x:v>Retain sensitivity flag</x:v>
      </x:c>
    </x:row>
    <x:row r="10">
      <x:c r="A10" s="45" t="str">
        <x:v>Current CFR scope</x:v>
      </x:c>
      <x:c r="B10" s="45" t="str">
        <x:v>KPC-KP, OXA-KP, and India OXA-48-KP donor</x:v>
      </x:c>
      <x:c r="C10" s="45" t="str">
        <x:v>Does not yet include the separate French OXA-48 Enterobacterales distribution used in the original Cojutti CFR</x:v>
      </x:c>
      <x:c r="D10" s="45" t="str">
        <x:v>MODEL_INFERRED</x:v>
      </x:c>
      <x:c r="E10" s="45" t="str">
        <x:v>USER_REVIEW_REQUIRED</x:v>
      </x:c>
      <x:c r="F10" s="45" t="str">
        <x:v>Search/ingest exact French CAZ–AVI distribution separately</x:v>
      </x:c>
    </x:row>
    <x:row r="12">
      <x:c r="A12" t="str">
        <x:v>French OXA-484 package</x:v>
      </x:c>
      <x:c r="B12" t="str">
        <x:v>64 isolate-level CAZ–AVI MICs; preferred serine-only n=60</x:v>
      </x:c>
      <x:c r="C12" t="str">
        <x:v>Added as variant-specific French sensitivity donor, not as replacement for 2021 broad OXA-48-like distribution</x:v>
      </x:c>
      <x:c r="D12" t="str">
        <x:v>DONOR_POOL</x:v>
      </x:c>
      <x:c r="E12" t="str">
        <x:v>USER_REVIEW_REQUIRED</x:v>
      </x:c>
      <x:c r="F12" t="str">
        <x:v>Original French 2021 OXA-48-like Enterobacterales distribution remains pending</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58" hidden="0" customWidth="1"/>
    <x:col min="3" max="3" width="28" hidden="0" customWidth="1"/>
    <x:col min="4" max="4" width="20" hidden="0" customWidth="1"/>
    <x:col min="5" max="5" width="24" hidden="0" customWidth="1"/>
    <x:col min="6" max="6" width="72" hidden="0" customWidth="1"/>
  </x:cols>
  <x:sheetData>
    <x:row r="1">
      <x:c r="A1" s="167" t="str">
        <x:v>French OXA-484 Evidence Adjudication</x:v>
      </x:c>
      <x:c r="B1" s="167"/>
      <x:c r="C1" s="167"/>
      <x:c r="D1" s="167"/>
      <x:c r="E1" s="167"/>
      <x:c r="F1" s="167"/>
    </x:row>
    <x:row r="2">
      <x:c r="A2" s="45"/>
      <x:c r="B2" s="45"/>
      <x:c r="C2" s="45"/>
      <x:c r="D2" s="45"/>
      <x:c r="E2" s="45"/>
      <x:c r="F2" s="45"/>
    </x:row>
    <x:row r="3">
      <x:c r="A3" s="162" t="str">
        <x:v>Question</x:v>
      </x:c>
      <x:c r="B3" s="162" t="str">
        <x:v>Finding</x:v>
      </x:c>
      <x:c r="C3" s="162" t="str">
        <x:v>Decision</x:v>
      </x:c>
      <x:c r="D3" s="162" t="str">
        <x:v>Origin class</x:v>
      </x:c>
      <x:c r="E3" s="162" t="str">
        <x:v>Review state</x:v>
      </x:c>
      <x:c r="F3" s="162" t="str">
        <x:v>Scientific rationale</x:v>
      </x:c>
    </x:row>
    <x:row r="4">
      <x:c r="A4" s="45" t="str">
        <x:v>Correct drug?</x:v>
      </x:c>
      <x:c r="B4" s="45" t="str">
        <x:v>Yes — ceftazidime–avibactam MICs are reported isolate-by-isolate</x:v>
      </x:c>
      <x:c r="C4" s="168" t="str">
        <x:v>ACCEPT</x:v>
      </x:c>
      <x:c r="D4" s="168" t="str">
        <x:v>REPORTED_DIRECT</x:v>
      </x:c>
      <x:c r="E4" s="168" t="str">
        <x:v>SYSTEM_NORMALIZED</x:v>
      </x:c>
      <x:c r="F4" s="45" t="str">
        <x:v>Appendix 1 Table 4 contains CAZ–AVI MIC for all 64 isolates.</x:v>
      </x:c>
    </x:row>
    <x:row r="5">
      <x:c r="A5" s="45" t="str">
        <x:v>Correct geography?</x:v>
      </x:c>
      <x:c r="B5" s="45" t="str">
        <x:v>Yes — French National Reference Center</x:v>
      </x:c>
      <x:c r="C5" s="168" t="str">
        <x:v>ACCEPT</x:v>
      </x:c>
      <x:c r="D5" s="168" t="str">
        <x:v>REPORTED_DIRECT</x:v>
      </x:c>
      <x:c r="E5" s="168" t="str">
        <x:v>SYSTEM_NORMALIZED</x:v>
      </x:c>
      <x:c r="F5" s="45" t="str">
        <x:v>National French reference-center collection.</x:v>
      </x:c>
    </x:row>
    <x:row r="6">
      <x:c r="A6" s="45" t="str">
        <x:v>Correct mechanism?</x:v>
      </x:c>
      <x:c r="B6" s="45" t="str">
        <x:v>OXA-484, an OXA-48-like variant</x:v>
      </x:c>
      <x:c r="C6" s="169" t="str">
        <x:v>ACCEPT WITH SCOPE LIMIT</x:v>
      </x:c>
      <x:c r="D6" s="169" t="str">
        <x:v>REPORTED_DIRECT</x:v>
      </x:c>
      <x:c r="E6" s="169" t="str">
        <x:v>USER_REVIEW_REQUIRED</x:v>
      </x:c>
      <x:c r="F6" s="45" t="str">
        <x:v>Variant-specific; not equivalent to all OXA-48-like Enterobacterales.</x:v>
      </x:c>
    </x:row>
    <x:row r="7">
      <x:c r="A7" s="45" t="str">
        <x:v>Correct period?</x:v>
      </x:c>
      <x:c r="B7" s="45" t="str">
        <x:v>2018–2023</x:v>
      </x:c>
      <x:c r="C7" s="169" t="str">
        <x:v>SENSITIVITY ONLY</x:v>
      </x:c>
      <x:c r="D7" s="169" t="str">
        <x:v>REPORTED_DIRECT</x:v>
      </x:c>
      <x:c r="E7" s="169" t="str">
        <x:v>USER_REVIEW_REQUIRED</x:v>
      </x:c>
      <x:c r="F7" s="45" t="str">
        <x:v>Does not reproduce the 2021 distribution used in original CFR.</x:v>
      </x:c>
    </x:row>
    <x:row r="8">
      <x:c r="A8" s="45" t="str">
        <x:v>Mixed carbapenemases?</x:v>
      </x:c>
      <x:c r="B8" s="45" t="str">
        <x:v>4 isolates co-produced NDM-5</x:v>
      </x:c>
      <x:c r="C8" s="169" t="str">
        <x:v>EXCLUDE FROM PREFERRED SUBSET</x:v>
      </x:c>
      <x:c r="D8" s="169" t="str">
        <x:v>REPORTED_DIRECT</x:v>
      </x:c>
      <x:c r="E8" s="169" t="str">
        <x:v>SYSTEM_NORMALIZED</x:v>
      </x:c>
      <x:c r="F8" s="45" t="str">
        <x:v>MBL co-production changes CAZ–AVI activity and should not define OXA-only CFR.</x:v>
      </x:c>
    </x:row>
    <x:row r="9">
      <x:c r="A9" s="45" t="str">
        <x:v>Final role</x:v>
      </x:c>
      <x:c r="B9" s="45" t="str">
        <x:v>French OXA-484 sensitivity donor</x:v>
      </x:c>
      <x:c r="C9" s="168" t="str">
        <x:v>ADD</x:v>
      </x:c>
      <x:c r="D9" s="168" t="str">
        <x:v>DONOR_POOL</x:v>
      </x:c>
      <x:c r="E9" s="168" t="str">
        <x:v>USER_REVIEW_REQUIRED</x:v>
      </x:c>
      <x:c r="F9" s="45" t="str">
        <x:v>Useful contemporary French external scenario; does not close original French OXA-48-like 2021 gap.</x:v>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14" hidden="0" customWidth="1"/>
    <x:col min="5" max="5" width="10" hidden="0" customWidth="1"/>
    <x:col min="6" max="6" width="8" hidden="0" customWidth="1"/>
    <x:col min="7" max="7" width="12" hidden="0" customWidth="1"/>
    <x:col min="8" max="8" width="58" hidden="0" customWidth="1"/>
    <x:col min="9" max="9" width="20" hidden="0" customWidth="1"/>
    <x:col min="10" max="10" width="24" hidden="0" customWidth="1"/>
  </x:cols>
  <x:sheetData>
    <x:row r="1">
      <x:c r="A1" s="157" t="str">
        <x:v>French OXA-484 Raw CAZ–AVI MIC Distributions</x:v>
      </x:c>
      <x:c r="B1" s="157"/>
      <x:c r="C1" s="157"/>
      <x:c r="D1" s="157"/>
      <x:c r="E1" s="157"/>
      <x:c r="F1" s="157"/>
      <x:c r="G1" s="157"/>
      <x:c r="H1" s="157"/>
      <x:c r="I1" s="157"/>
      <x:c r="J1" s="157"/>
    </x:row>
    <x:row r="3">
      <x:c r="A3" s="162" t="str">
        <x:v>Distribution ID</x:v>
      </x:c>
      <x:c r="B3" s="162" t="str">
        <x:v>Population</x:v>
      </x:c>
      <x:c r="C3" s="162" t="str">
        <x:v>Role</x:v>
      </x:c>
      <x:c r="D3" s="162" t="str">
        <x:v>Original MIC</x:v>
      </x:c>
      <x:c r="E3" s="162" t="str">
        <x:v>Count</x:v>
      </x:c>
      <x:c r="F3" s="162" t="str">
        <x:v>N</x:v>
      </x:c>
      <x:c r="G3" s="162" t="str">
        <x:v>Frequency</x:v>
      </x:c>
      <x:c r="H3" s="162" t="str">
        <x:v>Source</x:v>
      </x:c>
      <x:c r="I3" s="162" t="str">
        <x:v>Origin class</x:v>
      </x:c>
      <x:c r="J3" s="162" t="str">
        <x:v>Review state</x:v>
      </x:c>
    </x:row>
    <x:row r="4">
      <x:c r="A4" t="str">
        <x:v>FR2024_OXA484_ALL</x:v>
      </x:c>
      <x:c r="B4" t="str">
        <x:v>French OXA-484-producing Enterobacterales, all isolates (2018–2023)</x:v>
      </x:c>
      <x:c r="C4" t="str">
        <x:v>SENSITIVITY_DONOR</x:v>
      </x:c>
      <x:c r="D4" t="str">
        <x:v>&lt;=0.25</x:v>
      </x:c>
      <x:c r="E4" t="n">
        <x:v>27</x:v>
      </x:c>
      <x:c r="F4" t="n">
        <x:v>64</x:v>
      </x:c>
      <x:c r="G4" s="127" t="n">
        <x:f>E4/F4</x:f>
        <x:v>0.421875</x:v>
      </x:c>
      <x:c r="H4" t="str">
        <x:v>Emeraud et al. 2024, EID 30(10):2178–2182, Appendix 1 Table 4</x:v>
      </x:c>
      <x:c r="I4" t="str">
        <x:v>REPORTED_DIRECT</x:v>
      </x:c>
      <x:c r="J4" t="str">
        <x:v>USER_REVIEW_REQUIRED</x:v>
      </x:c>
    </x:row>
    <x:row r="5">
      <x:c r="A5" t="str">
        <x:v>FR2024_OXA484_ALL</x:v>
      </x:c>
      <x:c r="B5" t="str">
        <x:v>French OXA-484-producing Enterobacterales, all isolates (2018–2023)</x:v>
      </x:c>
      <x:c r="C5" t="str">
        <x:v>SENSITIVITY_DONOR</x:v>
      </x:c>
      <x:c r="D5" t="str">
        <x:v>0.5</x:v>
      </x:c>
      <x:c r="E5" t="n">
        <x:v>8</x:v>
      </x:c>
      <x:c r="F5" t="n">
        <x:v>64</x:v>
      </x:c>
      <x:c r="G5" s="127" t="n">
        <x:f>E5/F5</x:f>
        <x:v>0.125</x:v>
      </x:c>
      <x:c r="H5" t="str">
        <x:v>Emeraud et al. 2024, EID 30(10):2178–2182, Appendix 1 Table 4</x:v>
      </x:c>
      <x:c r="I5" t="str">
        <x:v>REPORTED_DIRECT</x:v>
      </x:c>
      <x:c r="J5" t="str">
        <x:v>USER_REVIEW_REQUIRED</x:v>
      </x:c>
    </x:row>
    <x:row r="6">
      <x:c r="A6" t="str">
        <x:v>FR2024_OXA484_ALL</x:v>
      </x:c>
      <x:c r="B6" t="str">
        <x:v>French OXA-484-producing Enterobacterales, all isolates (2018–2023)</x:v>
      </x:c>
      <x:c r="C6" t="str">
        <x:v>SENSITIVITY_DONOR</x:v>
      </x:c>
      <x:c r="D6" t="str">
        <x:v>1</x:v>
      </x:c>
      <x:c r="E6" t="n">
        <x:v>15</x:v>
      </x:c>
      <x:c r="F6" t="n">
        <x:v>64</x:v>
      </x:c>
      <x:c r="G6" s="127" t="n">
        <x:f>E6/F6</x:f>
        <x:v>0.234375</x:v>
      </x:c>
      <x:c r="H6" t="str">
        <x:v>Emeraud et al. 2024, EID 30(10):2178–2182, Appendix 1 Table 4</x:v>
      </x:c>
      <x:c r="I6" t="str">
        <x:v>REPORTED_DIRECT</x:v>
      </x:c>
      <x:c r="J6" t="str">
        <x:v>USER_REVIEW_REQUIRED</x:v>
      </x:c>
    </x:row>
    <x:row r="7">
      <x:c r="A7" t="str">
        <x:v>FR2024_OXA484_ALL</x:v>
      </x:c>
      <x:c r="B7" t="str">
        <x:v>French OXA-484-producing Enterobacterales, all isolates (2018–2023)</x:v>
      </x:c>
      <x:c r="C7" t="str">
        <x:v>SENSITIVITY_DONOR</x:v>
      </x:c>
      <x:c r="D7" t="str">
        <x:v>2</x:v>
      </x:c>
      <x:c r="E7" t="n">
        <x:v>9</x:v>
      </x:c>
      <x:c r="F7" t="n">
        <x:v>64</x:v>
      </x:c>
      <x:c r="G7" s="127" t="n">
        <x:f>E7/F7</x:f>
        <x:v>0.140625</x:v>
      </x:c>
      <x:c r="H7" t="str">
        <x:v>Emeraud et al. 2024, EID 30(10):2178–2182, Appendix 1 Table 4</x:v>
      </x:c>
      <x:c r="I7" t="str">
        <x:v>REPORTED_DIRECT</x:v>
      </x:c>
      <x:c r="J7" t="str">
        <x:v>USER_REVIEW_REQUIRED</x:v>
      </x:c>
    </x:row>
    <x:row r="8">
      <x:c r="A8" t="str">
        <x:v>FR2024_OXA484_ALL</x:v>
      </x:c>
      <x:c r="B8" t="str">
        <x:v>French OXA-484-producing Enterobacterales, all isolates (2018–2023)</x:v>
      </x:c>
      <x:c r="C8" t="str">
        <x:v>SENSITIVITY_DONOR</x:v>
      </x:c>
      <x:c r="D8" t="str">
        <x:v>4</x:v>
      </x:c>
      <x:c r="E8" t="n">
        <x:v>1</x:v>
      </x:c>
      <x:c r="F8" t="n">
        <x:v>64</x:v>
      </x:c>
      <x:c r="G8" s="127" t="n">
        <x:f>E8/F8</x:f>
        <x:v>0.015625</x:v>
      </x:c>
      <x:c r="H8" t="str">
        <x:v>Emeraud et al. 2024, EID 30(10):2178–2182, Appendix 1 Table 4</x:v>
      </x:c>
      <x:c r="I8" t="str">
        <x:v>REPORTED_DIRECT</x:v>
      </x:c>
      <x:c r="J8" t="str">
        <x:v>USER_REVIEW_REQUIRED</x:v>
      </x:c>
    </x:row>
    <x:row r="9">
      <x:c r="A9" t="str">
        <x:v>FR2024_OXA484_ALL</x:v>
      </x:c>
      <x:c r="B9" t="str">
        <x:v>French OXA-484-producing Enterobacterales, all isolates (2018–2023)</x:v>
      </x:c>
      <x:c r="C9" t="str">
        <x:v>SENSITIVITY_DONOR</x:v>
      </x:c>
      <x:c r="D9" t="str">
        <x:v>&gt;16</x:v>
      </x:c>
      <x:c r="E9" t="n">
        <x:v>4</x:v>
      </x:c>
      <x:c r="F9" t="n">
        <x:v>64</x:v>
      </x:c>
      <x:c r="G9" s="127" t="n">
        <x:f>E9/F9</x:f>
        <x:v>0.0625</x:v>
      </x:c>
      <x:c r="H9" t="str">
        <x:v>Emeraud et al. 2024, EID 30(10):2178–2182, Appendix 1 Table 4</x:v>
      </x:c>
      <x:c r="I9" t="str">
        <x:v>REPORTED_DIRECT</x:v>
      </x:c>
      <x:c r="J9" t="str">
        <x:v>USER_REVIEW_REQUIRED</x:v>
      </x:c>
    </x:row>
    <x:row r="10">
      <x:c r="A10" t="str">
        <x:v>FR2024_OXA484_SERINE_ONLY</x:v>
      </x:c>
      <x:c r="B10" t="str">
        <x:v>French OXA-484-producing Enterobacterales without NDM co-production</x:v>
      </x:c>
      <x:c r="C10" t="str">
        <x:v>PREFERRED_FRENCH_SENSITIVITY</x:v>
      </x:c>
      <x:c r="D10" t="str">
        <x:v>&lt;=0.25</x:v>
      </x:c>
      <x:c r="E10" t="n">
        <x:v>27</x:v>
      </x:c>
      <x:c r="F10" t="n">
        <x:v>60</x:v>
      </x:c>
      <x:c r="G10" s="127" t="n">
        <x:f>E10/F10</x:f>
        <x:v>0.45</x:v>
      </x:c>
      <x:c r="H10" t="str">
        <x:v>Emeraud et al. 2024, EID 30(10):2178–2182, Appendix 1 Table 4</x:v>
      </x:c>
      <x:c r="I10" t="str">
        <x:v>REPORTED_DIRECT</x:v>
      </x:c>
      <x:c r="J10" t="str">
        <x:v>USER_REVIEW_REQUIRED</x:v>
      </x:c>
    </x:row>
    <x:row r="11">
      <x:c r="A11" t="str">
        <x:v>FR2024_OXA484_SERINE_ONLY</x:v>
      </x:c>
      <x:c r="B11" t="str">
        <x:v>French OXA-484-producing Enterobacterales without NDM co-production</x:v>
      </x:c>
      <x:c r="C11" t="str">
        <x:v>PREFERRED_FRENCH_SENSITIVITY</x:v>
      </x:c>
      <x:c r="D11" t="str">
        <x:v>0.5</x:v>
      </x:c>
      <x:c r="E11" t="n">
        <x:v>8</x:v>
      </x:c>
      <x:c r="F11" t="n">
        <x:v>60</x:v>
      </x:c>
      <x:c r="G11" s="127" t="n">
        <x:f>E11/F11</x:f>
        <x:v>0.13333333333333333</x:v>
      </x:c>
      <x:c r="H11" t="str">
        <x:v>Emeraud et al. 2024, EID 30(10):2178–2182, Appendix 1 Table 4</x:v>
      </x:c>
      <x:c r="I11" t="str">
        <x:v>REPORTED_DIRECT</x:v>
      </x:c>
      <x:c r="J11" t="str">
        <x:v>USER_REVIEW_REQUIRED</x:v>
      </x:c>
    </x:row>
    <x:row r="12">
      <x:c r="A12" t="str">
        <x:v>FR2024_OXA484_SERINE_ONLY</x:v>
      </x:c>
      <x:c r="B12" t="str">
        <x:v>French OXA-484-producing Enterobacterales without NDM co-production</x:v>
      </x:c>
      <x:c r="C12" t="str">
        <x:v>PREFERRED_FRENCH_SENSITIVITY</x:v>
      </x:c>
      <x:c r="D12" t="str">
        <x:v>1</x:v>
      </x:c>
      <x:c r="E12" t="n">
        <x:v>15</x:v>
      </x:c>
      <x:c r="F12" t="n">
        <x:v>60</x:v>
      </x:c>
      <x:c r="G12" s="127" t="n">
        <x:f>E12/F12</x:f>
        <x:v>0.25</x:v>
      </x:c>
      <x:c r="H12" t="str">
        <x:v>Emeraud et al. 2024, EID 30(10):2178–2182, Appendix 1 Table 4</x:v>
      </x:c>
      <x:c r="I12" t="str">
        <x:v>REPORTED_DIRECT</x:v>
      </x:c>
      <x:c r="J12" t="str">
        <x:v>USER_REVIEW_REQUIRED</x:v>
      </x:c>
    </x:row>
    <x:row r="13">
      <x:c r="A13" t="str">
        <x:v>FR2024_OXA484_SERINE_ONLY</x:v>
      </x:c>
      <x:c r="B13" t="str">
        <x:v>French OXA-484-producing Enterobacterales without NDM co-production</x:v>
      </x:c>
      <x:c r="C13" t="str">
        <x:v>PREFERRED_FRENCH_SENSITIVITY</x:v>
      </x:c>
      <x:c r="D13" t="str">
        <x:v>2</x:v>
      </x:c>
      <x:c r="E13" t="n">
        <x:v>9</x:v>
      </x:c>
      <x:c r="F13" t="n">
        <x:v>60</x:v>
      </x:c>
      <x:c r="G13" s="127" t="n">
        <x:f>E13/F13</x:f>
        <x:v>0.15</x:v>
      </x:c>
      <x:c r="H13" t="str">
        <x:v>Emeraud et al. 2024, EID 30(10):2178–2182, Appendix 1 Table 4</x:v>
      </x:c>
      <x:c r="I13" t="str">
        <x:v>REPORTED_DIRECT</x:v>
      </x:c>
      <x:c r="J13" t="str">
        <x:v>USER_REVIEW_REQUIRED</x:v>
      </x:c>
    </x:row>
    <x:row r="14">
      <x:c r="A14" t="str">
        <x:v>FR2024_OXA484_SERINE_ONLY</x:v>
      </x:c>
      <x:c r="B14" t="str">
        <x:v>French OXA-484-producing Enterobacterales without NDM co-production</x:v>
      </x:c>
      <x:c r="C14" t="str">
        <x:v>PREFERRED_FRENCH_SENSITIVITY</x:v>
      </x:c>
      <x:c r="D14" t="str">
        <x:v>4</x:v>
      </x:c>
      <x:c r="E14" t="n">
        <x:v>1</x:v>
      </x:c>
      <x:c r="F14" t="n">
        <x:v>60</x:v>
      </x:c>
      <x:c r="G14" s="127" t="n">
        <x:f>E14/F14</x:f>
        <x:v>0.016666666666666666</x:v>
      </x:c>
      <x:c r="H14" t="str">
        <x:v>Emeraud et al. 2024, EID 30(10):2178–2182, Appendix 1 Table 4</x:v>
      </x:c>
      <x:c r="I14" t="str">
        <x:v>REPORTED_DIRECT</x:v>
      </x:c>
      <x:c r="J14" t="str">
        <x:v>USER_REVIEW_REQUIRED</x:v>
      </x:c>
    </x:row>
    <x:row r="15">
      <x:c r="A15" t="str">
        <x:v>FR2024_OXA484_ONLY</x:v>
      </x:c>
      <x:c r="B15" t="str">
        <x:v>French Enterobacterales producing OXA-484 only</x:v>
      </x:c>
      <x:c r="C15" t="str">
        <x:v>STRICT_VARIANT_SENSITIVITY</x:v>
      </x:c>
      <x:c r="D15" t="str">
        <x:v>&lt;=0.25</x:v>
      </x:c>
      <x:c r="E15" t="n">
        <x:v>27</x:v>
      </x:c>
      <x:c r="F15" t="n">
        <x:v>59</x:v>
      </x:c>
      <x:c r="G15" s="127" t="n">
        <x:f>E15/F15</x:f>
        <x:v>0.4576271186440678</x:v>
      </x:c>
      <x:c r="H15" t="str">
        <x:v>Emeraud et al. 2024, EID 30(10):2178–2182, Appendix 1 Table 4</x:v>
      </x:c>
      <x:c r="I15" t="str">
        <x:v>REPORTED_DIRECT</x:v>
      </x:c>
      <x:c r="J15" t="str">
        <x:v>USER_REVIEW_REQUIRED</x:v>
      </x:c>
    </x:row>
    <x:row r="16">
      <x:c r="A16" t="str">
        <x:v>FR2024_OXA484_ONLY</x:v>
      </x:c>
      <x:c r="B16" t="str">
        <x:v>French Enterobacterales producing OXA-484 only</x:v>
      </x:c>
      <x:c r="C16" t="str">
        <x:v>STRICT_VARIANT_SENSITIVITY</x:v>
      </x:c>
      <x:c r="D16" t="str">
        <x:v>0.5</x:v>
      </x:c>
      <x:c r="E16" t="n">
        <x:v>7</x:v>
      </x:c>
      <x:c r="F16" t="n">
        <x:v>59</x:v>
      </x:c>
      <x:c r="G16" s="127" t="n">
        <x:f>E16/F16</x:f>
        <x:v>0.11864406779661017</x:v>
      </x:c>
      <x:c r="H16" t="str">
        <x:v>Emeraud et al. 2024, EID 30(10):2178–2182, Appendix 1 Table 4</x:v>
      </x:c>
      <x:c r="I16" t="str">
        <x:v>REPORTED_DIRECT</x:v>
      </x:c>
      <x:c r="J16" t="str">
        <x:v>USER_REVIEW_REQUIRED</x:v>
      </x:c>
    </x:row>
    <x:row r="17">
      <x:c r="A17" t="str">
        <x:v>FR2024_OXA484_ONLY</x:v>
      </x:c>
      <x:c r="B17" t="str">
        <x:v>French Enterobacterales producing OXA-484 only</x:v>
      </x:c>
      <x:c r="C17" t="str">
        <x:v>STRICT_VARIANT_SENSITIVITY</x:v>
      </x:c>
      <x:c r="D17" t="str">
        <x:v>1</x:v>
      </x:c>
      <x:c r="E17" t="n">
        <x:v>15</x:v>
      </x:c>
      <x:c r="F17" t="n">
        <x:v>59</x:v>
      </x:c>
      <x:c r="G17" s="127" t="n">
        <x:f>E17/F17</x:f>
        <x:v>0.2542372881355932</x:v>
      </x:c>
      <x:c r="H17" t="str">
        <x:v>Emeraud et al. 2024, EID 30(10):2178–2182, Appendix 1 Table 4</x:v>
      </x:c>
      <x:c r="I17" t="str">
        <x:v>REPORTED_DIRECT</x:v>
      </x:c>
      <x:c r="J17" t="str">
        <x:v>USER_REVIEW_REQUIRED</x:v>
      </x:c>
    </x:row>
    <x:row r="18">
      <x:c r="A18" t="str">
        <x:v>FR2024_OXA484_ONLY</x:v>
      </x:c>
      <x:c r="B18" t="str">
        <x:v>French Enterobacterales producing OXA-484 only</x:v>
      </x:c>
      <x:c r="C18" t="str">
        <x:v>STRICT_VARIANT_SENSITIVITY</x:v>
      </x:c>
      <x:c r="D18" t="str">
        <x:v>2</x:v>
      </x:c>
      <x:c r="E18" t="n">
        <x:v>9</x:v>
      </x:c>
      <x:c r="F18" t="n">
        <x:v>59</x:v>
      </x:c>
      <x:c r="G18" s="127" t="n">
        <x:f>E18/F18</x:f>
        <x:v>0.15254237288135594</x:v>
      </x:c>
      <x:c r="H18" t="str">
        <x:v>Emeraud et al. 2024, EID 30(10):2178–2182, Appendix 1 Table 4</x:v>
      </x:c>
      <x:c r="I18" t="str">
        <x:v>REPORTED_DIRECT</x:v>
      </x:c>
      <x:c r="J18" t="str">
        <x:v>USER_REVIEW_REQUIRED</x:v>
      </x:c>
    </x:row>
    <x:row r="19">
      <x:c r="A19" t="str">
        <x:v>FR2024_OXA484_ONLY</x:v>
      </x:c>
      <x:c r="B19" t="str">
        <x:v>French Enterobacterales producing OXA-484 only</x:v>
      </x:c>
      <x:c r="C19" t="str">
        <x:v>STRICT_VARIANT_SENSITIVITY</x:v>
      </x:c>
      <x:c r="D19" t="str">
        <x:v>4</x:v>
      </x:c>
      <x:c r="E19" t="n">
        <x:v>1</x:v>
      </x:c>
      <x:c r="F19" t="n">
        <x:v>59</x:v>
      </x:c>
      <x:c r="G19" s="127" t="n">
        <x:f>E19/F19</x:f>
        <x:v>0.01694915254237288</x:v>
      </x:c>
      <x:c r="H19" t="str">
        <x:v>Emeraud et al. 2024, EID 30(10):2178–2182, Appendix 1 Table 4</x:v>
      </x:c>
      <x:c r="I19" t="str">
        <x:v>REPORTED_DIRECT</x:v>
      </x:c>
      <x:c r="J19" t="str">
        <x:v>USER_REVIEW_REQUIRED</x:v>
      </x:c>
    </x:row>
  </x:sheetData>
  <x:mergeCells>
    <x:mergeCell ref="A1:J1"/>
  </x:mergeCells>
  <x:pageMargins left="0.7" right="0.7" top="0.75" bottom="0.75" header="0.3" footer="0.3"/>
</x:worksheet>
</file>

<file path=xl/worksheets/sheet26.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22" hidden="0" customWidth="1"/>
    <x:col min="5" max="5" width="12" hidden="0" customWidth="1"/>
    <x:col min="6" max="6" width="10" hidden="0" customWidth="1"/>
    <x:col min="7" max="7" width="8" hidden="0" customWidth="1"/>
    <x:col min="8" max="8" width="12" hidden="0" customWidth="1"/>
    <x:col min="9" max="9" width="46" hidden="0" customWidth="1"/>
    <x:col min="10" max="10" width="28" hidden="0" customWidth="1"/>
    <x:col min="11" max="11" width="20" hidden="0" customWidth="1"/>
    <x:col min="12" max="12" width="24" hidden="0" customWidth="1"/>
    <x:col min="13" max="13" width="10" hidden="0" customWidth="1"/>
  </x:cols>
  <x:sheetData>
    <x:row r="1">
      <x:c r="A1" s="157" t="str">
        <x:v>French OXA-484 MIC Harmonization Scenarios</x:v>
      </x:c>
      <x:c r="B1" s="157"/>
      <x:c r="C1" s="157"/>
      <x:c r="D1" s="157"/>
      <x:c r="E1" s="157"/>
      <x:c r="F1" s="157"/>
      <x:c r="G1" s="157"/>
      <x:c r="H1" s="157"/>
      <x:c r="I1" s="157"/>
      <x:c r="J1" s="157"/>
      <x:c r="K1" s="157"/>
      <x:c r="L1" s="157"/>
      <x:c r="M1" s="157"/>
    </x:row>
    <x:row r="3">
      <x:c r="A3" s="162" t="str">
        <x:v>Distribution ID</x:v>
      </x:c>
      <x:c r="B3" s="162" t="str">
        <x:v>Population</x:v>
      </x:c>
      <x:c r="C3" s="162" t="str">
        <x:v>Role</x:v>
      </x:c>
      <x:c r="D3" s="162" t="str">
        <x:v>Terminal scenario</x:v>
      </x:c>
      <x:c r="E3" s="162" t="str">
        <x:v>Model MIC</x:v>
      </x:c>
      <x:c r="F3" s="162" t="str">
        <x:v>Count</x:v>
      </x:c>
      <x:c r="G3" s="162" t="str">
        <x:v>N</x:v>
      </x:c>
      <x:c r="H3" s="162" t="str">
        <x:v>Frequency</x:v>
      </x:c>
      <x:c r="I3" s="162" t="str">
        <x:v>Mapping rule</x:v>
      </x:c>
      <x:c r="J3" s="162" t="str">
        <x:v>Transformation</x:v>
      </x:c>
      <x:c r="K3" s="162" t="str">
        <x:v>Origin class</x:v>
      </x:c>
      <x:c r="L3" s="162" t="str">
        <x:v>Review state</x:v>
      </x:c>
      <x:c r="M3" s="162" t="str">
        <x:v>QC</x:v>
      </x:c>
    </x:row>
    <x:row r="4">
      <x:c r="A4" t="str">
        <x:v>FR2024_OXA484_ALL</x:v>
      </x:c>
      <x:c r="B4" t="str">
        <x:v>French OXA-484-producing Enterobacterales, all isolates (2018–2023)</x:v>
      </x:c>
      <x:c r="C4" t="str">
        <x:v>SENSITIVITY_DONOR</x:v>
      </x:c>
      <x:c r="D4" t="str">
        <x:v>NEXT_DILUTION_32</x:v>
      </x:c>
      <x:c r="E4" t="n">
        <x:v>0.25</x:v>
      </x:c>
      <x:c r="F4" t="n">
        <x:v>27</x:v>
      </x:c>
      <x:c r="G4" t="n">
        <x:v>64</x:v>
      </x:c>
      <x:c r="H4" s="127" t="n">
        <x:f>F4/G4</x:f>
        <x:v>0.421875</x:v>
      </x:c>
      <x:c r="I4" t="str">
        <x:v>≤0.25 assigned to upper bound 0.25</x:v>
      </x:c>
      <x:c r="J4" t="str">
        <x:v>CATEGORICAL_HARMONIZATION</x:v>
      </x:c>
      <x:c r="K4" t="str">
        <x:v>REPORTED_DIRECT</x:v>
      </x:c>
      <x:c r="L4" t="str">
        <x:v>USER_REVIEW_REQUIRED</x:v>
      </x:c>
      <x:c r="M4" t="str">
        <x:f>IF(ABS(SUMIFS($H$4:$H$35,$A$4:$A$35,A4,$D$4:$D$35,D4)-1)&lt;0.0001,"PASS","CHECK")</x:f>
        <x:v>PASS</x:v>
      </x:c>
    </x:row>
    <x:row r="5">
      <x:c r="A5" t="str">
        <x:v>FR2024_OXA484_ALL</x:v>
      </x:c>
      <x:c r="B5" t="str">
        <x:v>French OXA-484-producing Enterobacterales, all isolates (2018–2023)</x:v>
      </x:c>
      <x:c r="C5" t="str">
        <x:v>SENSITIVITY_DONOR</x:v>
      </x:c>
      <x:c r="D5" t="str">
        <x:v>NEXT_DILUTION_32</x:v>
      </x:c>
      <x:c r="E5" t="n">
        <x:v>0.5</x:v>
      </x:c>
      <x:c r="F5" t="n">
        <x:v>8</x:v>
      </x:c>
      <x:c r="G5" t="n">
        <x:v>64</x:v>
      </x:c>
      <x:c r="H5" s="127" t="n">
        <x:f>F5/G5</x:f>
        <x:v>0.125</x:v>
      </x:c>
      <x:c r="I5" t="str">
        <x:v>Exact</x:v>
      </x:c>
      <x:c r="J5" t="str">
        <x:v>NONE</x:v>
      </x:c>
      <x:c r="K5" t="str">
        <x:v>REPORTED_DIRECT</x:v>
      </x:c>
      <x:c r="L5" t="str">
        <x:v>USER_REVIEW_REQUIRED</x:v>
      </x:c>
      <x:c r="M5" t="str">
        <x:f>IF(ABS(SUMIFS($H$4:$H$35,$A$4:$A$35,A5,$D$4:$D$35,D5)-1)&lt;0.0001,"PASS","CHECK")</x:f>
        <x:v>PASS</x:v>
      </x:c>
    </x:row>
    <x:row r="6">
      <x:c r="A6" t="str">
        <x:v>FR2024_OXA484_ALL</x:v>
      </x:c>
      <x:c r="B6" t="str">
        <x:v>French OXA-484-producing Enterobacterales, all isolates (2018–2023)</x:v>
      </x:c>
      <x:c r="C6" t="str">
        <x:v>SENSITIVITY_DONOR</x:v>
      </x:c>
      <x:c r="D6" t="str">
        <x:v>NEXT_DILUTION_32</x:v>
      </x:c>
      <x:c r="E6" t="n">
        <x:v>1</x:v>
      </x:c>
      <x:c r="F6" t="n">
        <x:v>15</x:v>
      </x:c>
      <x:c r="G6" t="n">
        <x:v>64</x:v>
      </x:c>
      <x:c r="H6" s="127" t="n">
        <x:f>F6/G6</x:f>
        <x:v>0.234375</x:v>
      </x:c>
      <x:c r="I6" t="str">
        <x:v>Exact</x:v>
      </x:c>
      <x:c r="J6" t="str">
        <x:v>NONE</x:v>
      </x:c>
      <x:c r="K6" t="str">
        <x:v>REPORTED_DIRECT</x:v>
      </x:c>
      <x:c r="L6" t="str">
        <x:v>USER_REVIEW_REQUIRED</x:v>
      </x:c>
      <x:c r="M6" t="str">
        <x:f>IF(ABS(SUMIFS($H$4:$H$35,$A$4:$A$35,A6,$D$4:$D$35,D6)-1)&lt;0.0001,"PASS","CHECK")</x:f>
        <x:v>PASS</x:v>
      </x:c>
    </x:row>
    <x:row r="7">
      <x:c r="A7" t="str">
        <x:v>FR2024_OXA484_ALL</x:v>
      </x:c>
      <x:c r="B7" t="str">
        <x:v>French OXA-484-producing Enterobacterales, all isolates (2018–2023)</x:v>
      </x:c>
      <x:c r="C7" t="str">
        <x:v>SENSITIVITY_DONOR</x:v>
      </x:c>
      <x:c r="D7" t="str">
        <x:v>NEXT_DILUTION_32</x:v>
      </x:c>
      <x:c r="E7" t="n">
        <x:v>2</x:v>
      </x:c>
      <x:c r="F7" t="n">
        <x:v>9</x:v>
      </x:c>
      <x:c r="G7" t="n">
        <x:v>64</x:v>
      </x:c>
      <x:c r="H7" s="127" t="n">
        <x:f>F7/G7</x:f>
        <x:v>0.140625</x:v>
      </x:c>
      <x:c r="I7" t="str">
        <x:v>Exact</x:v>
      </x:c>
      <x:c r="J7" t="str">
        <x:v>NONE</x:v>
      </x:c>
      <x:c r="K7" t="str">
        <x:v>REPORTED_DIRECT</x:v>
      </x:c>
      <x:c r="L7" t="str">
        <x:v>USER_REVIEW_REQUIRED</x:v>
      </x:c>
      <x:c r="M7" t="str">
        <x:f>IF(ABS(SUMIFS($H$4:$H$35,$A$4:$A$35,A7,$D$4:$D$35,D7)-1)&lt;0.0001,"PASS","CHECK")</x:f>
        <x:v>PASS</x:v>
      </x:c>
    </x:row>
    <x:row r="8">
      <x:c r="A8" t="str">
        <x:v>FR2024_OXA484_ALL</x:v>
      </x:c>
      <x:c r="B8" t="str">
        <x:v>French OXA-484-producing Enterobacterales, all isolates (2018–2023)</x:v>
      </x:c>
      <x:c r="C8" t="str">
        <x:v>SENSITIVITY_DONOR</x:v>
      </x:c>
      <x:c r="D8" t="str">
        <x:v>NEXT_DILUTION_32</x:v>
      </x:c>
      <x:c r="E8" t="n">
        <x:v>4</x:v>
      </x:c>
      <x:c r="F8" t="n">
        <x:v>1</x:v>
      </x:c>
      <x:c r="G8" t="n">
        <x:v>64</x:v>
      </x:c>
      <x:c r="H8" s="127" t="n">
        <x:f>F8/G8</x:f>
        <x:v>0.015625</x:v>
      </x:c>
      <x:c r="I8" t="str">
        <x:v>Exact</x:v>
      </x:c>
      <x:c r="J8" t="str">
        <x:v>NONE</x:v>
      </x:c>
      <x:c r="K8" t="str">
        <x:v>REPORTED_DIRECT</x:v>
      </x:c>
      <x:c r="L8" t="str">
        <x:v>USER_REVIEW_REQUIRED</x:v>
      </x:c>
      <x:c r="M8" t="str">
        <x:f>IF(ABS(SUMIFS($H$4:$H$35,$A$4:$A$35,A8,$D$4:$D$35,D8)-1)&lt;0.0001,"PASS","CHECK")</x:f>
        <x:v>PASS</x:v>
      </x:c>
    </x:row>
    <x:row r="9">
      <x:c r="A9" t="str">
        <x:v>FR2024_OXA484_ALL</x:v>
      </x:c>
      <x:c r="B9" t="str">
        <x:v>French OXA-484-producing Enterobacterales, all isolates (2018–2023)</x:v>
      </x:c>
      <x:c r="C9" t="str">
        <x:v>SENSITIVITY_DONOR</x:v>
      </x:c>
      <x:c r="D9" t="str">
        <x:v>NEXT_DILUTION_32</x:v>
      </x:c>
      <x:c r="E9" t="n">
        <x:v>32</x:v>
      </x:c>
      <x:c r="F9" t="n">
        <x:v>4</x:v>
      </x:c>
      <x:c r="G9" t="n">
        <x:v>64</x:v>
      </x:c>
      <x:c r="H9" s="127" t="n">
        <x:f>F9/G9</x:f>
        <x:v>0.0625</x:v>
      </x:c>
      <x:c r="I9" t="str">
        <x:v>&gt;16 assigned to 32 mg/L</x:v>
      </x:c>
      <x:c r="J9" t="str">
        <x:v>CATEGORICAL_HARMONIZATION</x:v>
      </x:c>
      <x:c r="K9" t="str">
        <x:v>REPORTED_DIRECT</x:v>
      </x:c>
      <x:c r="L9" t="str">
        <x:v>USER_REVIEW_REQUIRED</x:v>
      </x:c>
      <x:c r="M9" t="str">
        <x:f>IF(ABS(SUMIFS($H$4:$H$35,$A$4:$A$35,A9,$D$4:$D$35,D9)-1)&lt;0.0001,"PASS","CHECK")</x:f>
        <x:v>PASS</x:v>
      </x:c>
    </x:row>
    <x:row r="10">
      <x:c r="A10" t="str">
        <x:v>FR2024_OXA484_ALL</x:v>
      </x:c>
      <x:c r="B10" t="str">
        <x:v>French OXA-484-producing Enterobacterales, all isolates (2018–2023)</x:v>
      </x:c>
      <x:c r="C10" t="str">
        <x:v>SENSITIVITY_DONOR</x:v>
      </x:c>
      <x:c r="D10" t="str">
        <x:v>UPPER_BOUND_64</x:v>
      </x:c>
      <x:c r="E10" t="n">
        <x:v>0.25</x:v>
      </x:c>
      <x:c r="F10" t="n">
        <x:v>27</x:v>
      </x:c>
      <x:c r="G10" t="n">
        <x:v>64</x:v>
      </x:c>
      <x:c r="H10" s="127" t="n">
        <x:f>F10/G10</x:f>
        <x:v>0.421875</x:v>
      </x:c>
      <x:c r="I10" t="str">
        <x:v>≤0.25 assigned to upper bound 0.25</x:v>
      </x:c>
      <x:c r="J10" t="str">
        <x:v>CATEGORICAL_HARMONIZATION</x:v>
      </x:c>
      <x:c r="K10" t="str">
        <x:v>REPORTED_DIRECT</x:v>
      </x:c>
      <x:c r="L10" t="str">
        <x:v>USER_REVIEW_REQUIRED</x:v>
      </x:c>
      <x:c r="M10" t="str">
        <x:f>IF(ABS(SUMIFS($H$4:$H$35,$A$4:$A$35,A10,$D$4:$D$35,D10)-1)&lt;0.0001,"PASS","CHECK")</x:f>
        <x:v>PASS</x:v>
      </x:c>
    </x:row>
    <x:row r="11">
      <x:c r="A11" t="str">
        <x:v>FR2024_OXA484_ALL</x:v>
      </x:c>
      <x:c r="B11" t="str">
        <x:v>French OXA-484-producing Enterobacterales, all isolates (2018–2023)</x:v>
      </x:c>
      <x:c r="C11" t="str">
        <x:v>SENSITIVITY_DONOR</x:v>
      </x:c>
      <x:c r="D11" t="str">
        <x:v>UPPER_BOUND_64</x:v>
      </x:c>
      <x:c r="E11" t="n">
        <x:v>0.5</x:v>
      </x:c>
      <x:c r="F11" t="n">
        <x:v>8</x:v>
      </x:c>
      <x:c r="G11" t="n">
        <x:v>64</x:v>
      </x:c>
      <x:c r="H11" s="127" t="n">
        <x:f>F11/G11</x:f>
        <x:v>0.125</x:v>
      </x:c>
      <x:c r="I11" t="str">
        <x:v>Exact</x:v>
      </x:c>
      <x:c r="J11" t="str">
        <x:v>NONE</x:v>
      </x:c>
      <x:c r="K11" t="str">
        <x:v>REPORTED_DIRECT</x:v>
      </x:c>
      <x:c r="L11" t="str">
        <x:v>USER_REVIEW_REQUIRED</x:v>
      </x:c>
      <x:c r="M11" t="str">
        <x:f>IF(ABS(SUMIFS($H$4:$H$35,$A$4:$A$35,A11,$D$4:$D$35,D11)-1)&lt;0.0001,"PASS","CHECK")</x:f>
        <x:v>PASS</x:v>
      </x:c>
    </x:row>
    <x:row r="12">
      <x:c r="A12" t="str">
        <x:v>FR2024_OXA484_ALL</x:v>
      </x:c>
      <x:c r="B12" t="str">
        <x:v>French OXA-484-producing Enterobacterales, all isolates (2018–2023)</x:v>
      </x:c>
      <x:c r="C12" t="str">
        <x:v>SENSITIVITY_DONOR</x:v>
      </x:c>
      <x:c r="D12" t="str">
        <x:v>UPPER_BOUND_64</x:v>
      </x:c>
      <x:c r="E12" t="n">
        <x:v>1</x:v>
      </x:c>
      <x:c r="F12" t="n">
        <x:v>15</x:v>
      </x:c>
      <x:c r="G12" t="n">
        <x:v>64</x:v>
      </x:c>
      <x:c r="H12" s="127" t="n">
        <x:f>F12/G12</x:f>
        <x:v>0.234375</x:v>
      </x:c>
      <x:c r="I12" t="str">
        <x:v>Exact</x:v>
      </x:c>
      <x:c r="J12" t="str">
        <x:v>NONE</x:v>
      </x:c>
      <x:c r="K12" t="str">
        <x:v>REPORTED_DIRECT</x:v>
      </x:c>
      <x:c r="L12" t="str">
        <x:v>USER_REVIEW_REQUIRED</x:v>
      </x:c>
      <x:c r="M12" t="str">
        <x:f>IF(ABS(SUMIFS($H$4:$H$35,$A$4:$A$35,A12,$D$4:$D$35,D12)-1)&lt;0.0001,"PASS","CHECK")</x:f>
        <x:v>PASS</x:v>
      </x:c>
    </x:row>
    <x:row r="13">
      <x:c r="A13" t="str">
        <x:v>FR2024_OXA484_ALL</x:v>
      </x:c>
      <x:c r="B13" t="str">
        <x:v>French OXA-484-producing Enterobacterales, all isolates (2018–2023)</x:v>
      </x:c>
      <x:c r="C13" t="str">
        <x:v>SENSITIVITY_DONOR</x:v>
      </x:c>
      <x:c r="D13" t="str">
        <x:v>UPPER_BOUND_64</x:v>
      </x:c>
      <x:c r="E13" t="n">
        <x:v>2</x:v>
      </x:c>
      <x:c r="F13" t="n">
        <x:v>9</x:v>
      </x:c>
      <x:c r="G13" t="n">
        <x:v>64</x:v>
      </x:c>
      <x:c r="H13" s="127" t="n">
        <x:f>F13/G13</x:f>
        <x:v>0.140625</x:v>
      </x:c>
      <x:c r="I13" t="str">
        <x:v>Exact</x:v>
      </x:c>
      <x:c r="J13" t="str">
        <x:v>NONE</x:v>
      </x:c>
      <x:c r="K13" t="str">
        <x:v>REPORTED_DIRECT</x:v>
      </x:c>
      <x:c r="L13" t="str">
        <x:v>USER_REVIEW_REQUIRED</x:v>
      </x:c>
      <x:c r="M13" t="str">
        <x:f>IF(ABS(SUMIFS($H$4:$H$35,$A$4:$A$35,A13,$D$4:$D$35,D13)-1)&lt;0.0001,"PASS","CHECK")</x:f>
        <x:v>PASS</x:v>
      </x:c>
    </x:row>
    <x:row r="14">
      <x:c r="A14" t="str">
        <x:v>FR2024_OXA484_ALL</x:v>
      </x:c>
      <x:c r="B14" t="str">
        <x:v>French OXA-484-producing Enterobacterales, all isolates (2018–2023)</x:v>
      </x:c>
      <x:c r="C14" t="str">
        <x:v>SENSITIVITY_DONOR</x:v>
      </x:c>
      <x:c r="D14" t="str">
        <x:v>UPPER_BOUND_64</x:v>
      </x:c>
      <x:c r="E14" t="n">
        <x:v>4</x:v>
      </x:c>
      <x:c r="F14" t="n">
        <x:v>1</x:v>
      </x:c>
      <x:c r="G14" t="n">
        <x:v>64</x:v>
      </x:c>
      <x:c r="H14" s="127" t="n">
        <x:f>F14/G14</x:f>
        <x:v>0.015625</x:v>
      </x:c>
      <x:c r="I14" t="str">
        <x:v>Exact</x:v>
      </x:c>
      <x:c r="J14" t="str">
        <x:v>NONE</x:v>
      </x:c>
      <x:c r="K14" t="str">
        <x:v>REPORTED_DIRECT</x:v>
      </x:c>
      <x:c r="L14" t="str">
        <x:v>USER_REVIEW_REQUIRED</x:v>
      </x:c>
      <x:c r="M14" t="str">
        <x:f>IF(ABS(SUMIFS($H$4:$H$35,$A$4:$A$35,A14,$D$4:$D$35,D14)-1)&lt;0.0001,"PASS","CHECK")</x:f>
        <x:v>PASS</x:v>
      </x:c>
    </x:row>
    <x:row r="15">
      <x:c r="A15" t="str">
        <x:v>FR2024_OXA484_ALL</x:v>
      </x:c>
      <x:c r="B15" t="str">
        <x:v>French OXA-484-producing Enterobacterales, all isolates (2018–2023)</x:v>
      </x:c>
      <x:c r="C15" t="str">
        <x:v>SENSITIVITY_DONOR</x:v>
      </x:c>
      <x:c r="D15" t="str">
        <x:v>UPPER_BOUND_64</x:v>
      </x:c>
      <x:c r="E15" t="n">
        <x:v>64</x:v>
      </x:c>
      <x:c r="F15" t="n">
        <x:v>4</x:v>
      </x:c>
      <x:c r="G15" t="n">
        <x:v>64</x:v>
      </x:c>
      <x:c r="H15" s="127" t="n">
        <x:f>F15/G15</x:f>
        <x:v>0.0625</x:v>
      </x:c>
      <x:c r="I15" t="str">
        <x:v>&gt;16 assigned to 64 mg/L</x:v>
      </x:c>
      <x:c r="J15" t="str">
        <x:v>CATEGORICAL_HARMONIZATION</x:v>
      </x:c>
      <x:c r="K15" t="str">
        <x:v>REPORTED_DIRECT</x:v>
      </x:c>
      <x:c r="L15" t="str">
        <x:v>USER_REVIEW_REQUIRED</x:v>
      </x:c>
      <x:c r="M15" t="str">
        <x:f>IF(ABS(SUMIFS($H$4:$H$35,$A$4:$A$35,A15,$D$4:$D$35,D15)-1)&lt;0.0001,"PASS","CHECK")</x:f>
        <x:v>PASS</x:v>
      </x:c>
    </x:row>
    <x:row r="16">
      <x:c r="A16" t="str">
        <x:v>FR2024_OXA484_SERINE_ONLY</x:v>
      </x:c>
      <x:c r="B16" t="str">
        <x:v>French OXA-484-producing Enterobacterales without NDM co-production</x:v>
      </x:c>
      <x:c r="C16" t="str">
        <x:v>PREFERRED_FRENCH_SENSITIVITY</x:v>
      </x:c>
      <x:c r="D16" t="str">
        <x:v>NEXT_DILUTION_32</x:v>
      </x:c>
      <x:c r="E16" t="n">
        <x:v>0.25</x:v>
      </x:c>
      <x:c r="F16" t="n">
        <x:v>27</x:v>
      </x:c>
      <x:c r="G16" t="n">
        <x:v>60</x:v>
      </x:c>
      <x:c r="H16" s="127" t="n">
        <x:f>F16/G16</x:f>
        <x:v>0.45</x:v>
      </x:c>
      <x:c r="I16" t="str">
        <x:v>≤0.25 assigned to upper bound 0.25</x:v>
      </x:c>
      <x:c r="J16" t="str">
        <x:v>CATEGORICAL_HARMONIZATION</x:v>
      </x:c>
      <x:c r="K16" t="str">
        <x:v>REPORTED_DIRECT</x:v>
      </x:c>
      <x:c r="L16" t="str">
        <x:v>USER_REVIEW_REQUIRED</x:v>
      </x:c>
      <x:c r="M16" t="str">
        <x:f>IF(ABS(SUMIFS($H$4:$H$35,$A$4:$A$35,A16,$D$4:$D$35,D16)-1)&lt;0.0001,"PASS","CHECK")</x:f>
        <x:v>PASS</x:v>
      </x:c>
    </x:row>
    <x:row r="17">
      <x:c r="A17" t="str">
        <x:v>FR2024_OXA484_SERINE_ONLY</x:v>
      </x:c>
      <x:c r="B17" t="str">
        <x:v>French OXA-484-producing Enterobacterales without NDM co-production</x:v>
      </x:c>
      <x:c r="C17" t="str">
        <x:v>PREFERRED_FRENCH_SENSITIVITY</x:v>
      </x:c>
      <x:c r="D17" t="str">
        <x:v>NEXT_DILUTION_32</x:v>
      </x:c>
      <x:c r="E17" t="n">
        <x:v>0.5</x:v>
      </x:c>
      <x:c r="F17" t="n">
        <x:v>8</x:v>
      </x:c>
      <x:c r="G17" t="n">
        <x:v>60</x:v>
      </x:c>
      <x:c r="H17" s="127" t="n">
        <x:f>F17/G17</x:f>
        <x:v>0.13333333333333333</x:v>
      </x:c>
      <x:c r="I17" t="str">
        <x:v>Exact</x:v>
      </x:c>
      <x:c r="J17" t="str">
        <x:v>NONE</x:v>
      </x:c>
      <x:c r="K17" t="str">
        <x:v>REPORTED_DIRECT</x:v>
      </x:c>
      <x:c r="L17" t="str">
        <x:v>USER_REVIEW_REQUIRED</x:v>
      </x:c>
      <x:c r="M17" t="str">
        <x:f>IF(ABS(SUMIFS($H$4:$H$35,$A$4:$A$35,A17,$D$4:$D$35,D17)-1)&lt;0.0001,"PASS","CHECK")</x:f>
        <x:v>PASS</x:v>
      </x:c>
    </x:row>
    <x:row r="18">
      <x:c r="A18" t="str">
        <x:v>FR2024_OXA484_SERINE_ONLY</x:v>
      </x:c>
      <x:c r="B18" t="str">
        <x:v>French OXA-484-producing Enterobacterales without NDM co-production</x:v>
      </x:c>
      <x:c r="C18" t="str">
        <x:v>PREFERRED_FRENCH_SENSITIVITY</x:v>
      </x:c>
      <x:c r="D18" t="str">
        <x:v>NEXT_DILUTION_32</x:v>
      </x:c>
      <x:c r="E18" t="n">
        <x:v>1</x:v>
      </x:c>
      <x:c r="F18" t="n">
        <x:v>15</x:v>
      </x:c>
      <x:c r="G18" t="n">
        <x:v>60</x:v>
      </x:c>
      <x:c r="H18" s="127" t="n">
        <x:f>F18/G18</x:f>
        <x:v>0.25</x:v>
      </x:c>
      <x:c r="I18" t="str">
        <x:v>Exact</x:v>
      </x:c>
      <x:c r="J18" t="str">
        <x:v>NONE</x:v>
      </x:c>
      <x:c r="K18" t="str">
        <x:v>REPORTED_DIRECT</x:v>
      </x:c>
      <x:c r="L18" t="str">
        <x:v>USER_REVIEW_REQUIRED</x:v>
      </x:c>
      <x:c r="M18" t="str">
        <x:f>IF(ABS(SUMIFS($H$4:$H$35,$A$4:$A$35,A18,$D$4:$D$35,D18)-1)&lt;0.0001,"PASS","CHECK")</x:f>
        <x:v>PASS</x:v>
      </x:c>
    </x:row>
    <x:row r="19">
      <x:c r="A19" t="str">
        <x:v>FR2024_OXA484_SERINE_ONLY</x:v>
      </x:c>
      <x:c r="B19" t="str">
        <x:v>French OXA-484-producing Enterobacterales without NDM co-production</x:v>
      </x:c>
      <x:c r="C19" t="str">
        <x:v>PREFERRED_FRENCH_SENSITIVITY</x:v>
      </x:c>
      <x:c r="D19" t="str">
        <x:v>NEXT_DILUTION_32</x:v>
      </x:c>
      <x:c r="E19" t="n">
        <x:v>2</x:v>
      </x:c>
      <x:c r="F19" t="n">
        <x:v>9</x:v>
      </x:c>
      <x:c r="G19" t="n">
        <x:v>60</x:v>
      </x:c>
      <x:c r="H19" s="127" t="n">
        <x:f>F19/G19</x:f>
        <x:v>0.15</x:v>
      </x:c>
      <x:c r="I19" t="str">
        <x:v>Exact</x:v>
      </x:c>
      <x:c r="J19" t="str">
        <x:v>NONE</x:v>
      </x:c>
      <x:c r="K19" t="str">
        <x:v>REPORTED_DIRECT</x:v>
      </x:c>
      <x:c r="L19" t="str">
        <x:v>USER_REVIEW_REQUIRED</x:v>
      </x:c>
      <x:c r="M19" t="str">
        <x:f>IF(ABS(SUMIFS($H$4:$H$35,$A$4:$A$35,A19,$D$4:$D$35,D19)-1)&lt;0.0001,"PASS","CHECK")</x:f>
        <x:v>PASS</x:v>
      </x:c>
    </x:row>
    <x:row r="20">
      <x:c r="A20" t="str">
        <x:v>FR2024_OXA484_SERINE_ONLY</x:v>
      </x:c>
      <x:c r="B20" t="str">
        <x:v>French OXA-484-producing Enterobacterales without NDM co-production</x:v>
      </x:c>
      <x:c r="C20" t="str">
        <x:v>PREFERRED_FRENCH_SENSITIVITY</x:v>
      </x:c>
      <x:c r="D20" t="str">
        <x:v>NEXT_DILUTION_32</x:v>
      </x:c>
      <x:c r="E20" t="n">
        <x:v>4</x:v>
      </x:c>
      <x:c r="F20" t="n">
        <x:v>1</x:v>
      </x:c>
      <x:c r="G20" t="n">
        <x:v>60</x:v>
      </x:c>
      <x:c r="H20" s="127" t="n">
        <x:f>F20/G20</x:f>
        <x:v>0.016666666666666666</x:v>
      </x:c>
      <x:c r="I20" t="str">
        <x:v>Exact</x:v>
      </x:c>
      <x:c r="J20" t="str">
        <x:v>NONE</x:v>
      </x:c>
      <x:c r="K20" t="str">
        <x:v>REPORTED_DIRECT</x:v>
      </x:c>
      <x:c r="L20" t="str">
        <x:v>USER_REVIEW_REQUIRED</x:v>
      </x:c>
      <x:c r="M20" t="str">
        <x:f>IF(ABS(SUMIFS($H$4:$H$35,$A$4:$A$35,A20,$D$4:$D$35,D20)-1)&lt;0.0001,"PASS","CHECK")</x:f>
        <x:v>PASS</x:v>
      </x:c>
    </x:row>
    <x:row r="21">
      <x:c r="A21" t="str">
        <x:v>FR2024_OXA484_SERINE_ONLY</x:v>
      </x:c>
      <x:c r="B21" t="str">
        <x:v>French OXA-484-producing Enterobacterales without NDM co-production</x:v>
      </x:c>
      <x:c r="C21" t="str">
        <x:v>PREFERRED_FRENCH_SENSITIVITY</x:v>
      </x:c>
      <x:c r="D21" t="str">
        <x:v>UPPER_BOUND_64</x:v>
      </x:c>
      <x:c r="E21" t="n">
        <x:v>0.25</x:v>
      </x:c>
      <x:c r="F21" t="n">
        <x:v>27</x:v>
      </x:c>
      <x:c r="G21" t="n">
        <x:v>60</x:v>
      </x:c>
      <x:c r="H21" s="127" t="n">
        <x:f>F21/G21</x:f>
        <x:v>0.45</x:v>
      </x:c>
      <x:c r="I21" t="str">
        <x:v>≤0.25 assigned to upper bound 0.25</x:v>
      </x:c>
      <x:c r="J21" t="str">
        <x:v>CATEGORICAL_HARMONIZATION</x:v>
      </x:c>
      <x:c r="K21" t="str">
        <x:v>REPORTED_DIRECT</x:v>
      </x:c>
      <x:c r="L21" t="str">
        <x:v>USER_REVIEW_REQUIRED</x:v>
      </x:c>
      <x:c r="M21" t="str">
        <x:f>IF(ABS(SUMIFS($H$4:$H$35,$A$4:$A$35,A21,$D$4:$D$35,D21)-1)&lt;0.0001,"PASS","CHECK")</x:f>
        <x:v>PASS</x:v>
      </x:c>
    </x:row>
    <x:row r="22">
      <x:c r="A22" t="str">
        <x:v>FR2024_OXA484_SERINE_ONLY</x:v>
      </x:c>
      <x:c r="B22" t="str">
        <x:v>French OXA-484-producing Enterobacterales without NDM co-production</x:v>
      </x:c>
      <x:c r="C22" t="str">
        <x:v>PREFERRED_FRENCH_SENSITIVITY</x:v>
      </x:c>
      <x:c r="D22" t="str">
        <x:v>UPPER_BOUND_64</x:v>
      </x:c>
      <x:c r="E22" t="n">
        <x:v>0.5</x:v>
      </x:c>
      <x:c r="F22" t="n">
        <x:v>8</x:v>
      </x:c>
      <x:c r="G22" t="n">
        <x:v>60</x:v>
      </x:c>
      <x:c r="H22" s="127" t="n">
        <x:f>F22/G22</x:f>
        <x:v>0.13333333333333333</x:v>
      </x:c>
      <x:c r="I22" t="str">
        <x:v>Exact</x:v>
      </x:c>
      <x:c r="J22" t="str">
        <x:v>NONE</x:v>
      </x:c>
      <x:c r="K22" t="str">
        <x:v>REPORTED_DIRECT</x:v>
      </x:c>
      <x:c r="L22" t="str">
        <x:v>USER_REVIEW_REQUIRED</x:v>
      </x:c>
      <x:c r="M22" t="str">
        <x:f>IF(ABS(SUMIFS($H$4:$H$35,$A$4:$A$35,A22,$D$4:$D$35,D22)-1)&lt;0.0001,"PASS","CHECK")</x:f>
        <x:v>PASS</x:v>
      </x:c>
    </x:row>
    <x:row r="23">
      <x:c r="A23" t="str">
        <x:v>FR2024_OXA484_SERINE_ONLY</x:v>
      </x:c>
      <x:c r="B23" t="str">
        <x:v>French OXA-484-producing Enterobacterales without NDM co-production</x:v>
      </x:c>
      <x:c r="C23" t="str">
        <x:v>PREFERRED_FRENCH_SENSITIVITY</x:v>
      </x:c>
      <x:c r="D23" t="str">
        <x:v>UPPER_BOUND_64</x:v>
      </x:c>
      <x:c r="E23" t="n">
        <x:v>1</x:v>
      </x:c>
      <x:c r="F23" t="n">
        <x:v>15</x:v>
      </x:c>
      <x:c r="G23" t="n">
        <x:v>60</x:v>
      </x:c>
      <x:c r="H23" s="127" t="n">
        <x:f>F23/G23</x:f>
        <x:v>0.25</x:v>
      </x:c>
      <x:c r="I23" t="str">
        <x:v>Exact</x:v>
      </x:c>
      <x:c r="J23" t="str">
        <x:v>NONE</x:v>
      </x:c>
      <x:c r="K23" t="str">
        <x:v>REPORTED_DIRECT</x:v>
      </x:c>
      <x:c r="L23" t="str">
        <x:v>USER_REVIEW_REQUIRED</x:v>
      </x:c>
      <x:c r="M23" t="str">
        <x:f>IF(ABS(SUMIFS($H$4:$H$35,$A$4:$A$35,A23,$D$4:$D$35,D23)-1)&lt;0.0001,"PASS","CHECK")</x:f>
        <x:v>PASS</x:v>
      </x:c>
    </x:row>
    <x:row r="24">
      <x:c r="A24" t="str">
        <x:v>FR2024_OXA484_SERINE_ONLY</x:v>
      </x:c>
      <x:c r="B24" t="str">
        <x:v>French OXA-484-producing Enterobacterales without NDM co-production</x:v>
      </x:c>
      <x:c r="C24" t="str">
        <x:v>PREFERRED_FRENCH_SENSITIVITY</x:v>
      </x:c>
      <x:c r="D24" t="str">
        <x:v>UPPER_BOUND_64</x:v>
      </x:c>
      <x:c r="E24" t="n">
        <x:v>2</x:v>
      </x:c>
      <x:c r="F24" t="n">
        <x:v>9</x:v>
      </x:c>
      <x:c r="G24" t="n">
        <x:v>60</x:v>
      </x:c>
      <x:c r="H24" s="127" t="n">
        <x:f>F24/G24</x:f>
        <x:v>0.15</x:v>
      </x:c>
      <x:c r="I24" t="str">
        <x:v>Exact</x:v>
      </x:c>
      <x:c r="J24" t="str">
        <x:v>NONE</x:v>
      </x:c>
      <x:c r="K24" t="str">
        <x:v>REPORTED_DIRECT</x:v>
      </x:c>
      <x:c r="L24" t="str">
        <x:v>USER_REVIEW_REQUIRED</x:v>
      </x:c>
      <x:c r="M24" t="str">
        <x:f>IF(ABS(SUMIFS($H$4:$H$35,$A$4:$A$35,A24,$D$4:$D$35,D24)-1)&lt;0.0001,"PASS","CHECK")</x:f>
        <x:v>PASS</x:v>
      </x:c>
    </x:row>
    <x:row r="25">
      <x:c r="A25" t="str">
        <x:v>FR2024_OXA484_SERINE_ONLY</x:v>
      </x:c>
      <x:c r="B25" t="str">
        <x:v>French OXA-484-producing Enterobacterales without NDM co-production</x:v>
      </x:c>
      <x:c r="C25" t="str">
        <x:v>PREFERRED_FRENCH_SENSITIVITY</x:v>
      </x:c>
      <x:c r="D25" t="str">
        <x:v>UPPER_BOUND_64</x:v>
      </x:c>
      <x:c r="E25" t="n">
        <x:v>4</x:v>
      </x:c>
      <x:c r="F25" t="n">
        <x:v>1</x:v>
      </x:c>
      <x:c r="G25" t="n">
        <x:v>60</x:v>
      </x:c>
      <x:c r="H25" s="127" t="n">
        <x:f>F25/G25</x:f>
        <x:v>0.016666666666666666</x:v>
      </x:c>
      <x:c r="I25" t="str">
        <x:v>Exact</x:v>
      </x:c>
      <x:c r="J25" t="str">
        <x:v>NONE</x:v>
      </x:c>
      <x:c r="K25" t="str">
        <x:v>REPORTED_DIRECT</x:v>
      </x:c>
      <x:c r="L25" t="str">
        <x:v>USER_REVIEW_REQUIRED</x:v>
      </x:c>
      <x:c r="M25" t="str">
        <x:f>IF(ABS(SUMIFS($H$4:$H$35,$A$4:$A$35,A25,$D$4:$D$35,D25)-1)&lt;0.0001,"PASS","CHECK")</x:f>
        <x:v>PASS</x:v>
      </x:c>
    </x:row>
    <x:row r="26">
      <x:c r="A26" t="str">
        <x:v>FR2024_OXA484_ONLY</x:v>
      </x:c>
      <x:c r="B26" t="str">
        <x:v>French Enterobacterales producing OXA-484 only</x:v>
      </x:c>
      <x:c r="C26" t="str">
        <x:v>STRICT_VARIANT_SENSITIVITY</x:v>
      </x:c>
      <x:c r="D26" t="str">
        <x:v>NEXT_DILUTION_32</x:v>
      </x:c>
      <x:c r="E26" t="n">
        <x:v>0.25</x:v>
      </x:c>
      <x:c r="F26" t="n">
        <x:v>27</x:v>
      </x:c>
      <x:c r="G26" t="n">
        <x:v>59</x:v>
      </x:c>
      <x:c r="H26" s="127" t="n">
        <x:f>F26/G26</x:f>
        <x:v>0.4576271186440678</x:v>
      </x:c>
      <x:c r="I26" t="str">
        <x:v>≤0.25 assigned to upper bound 0.25</x:v>
      </x:c>
      <x:c r="J26" t="str">
        <x:v>CATEGORICAL_HARMONIZATION</x:v>
      </x:c>
      <x:c r="K26" t="str">
        <x:v>REPORTED_DIRECT</x:v>
      </x:c>
      <x:c r="L26" t="str">
        <x:v>USER_REVIEW_REQUIRED</x:v>
      </x:c>
      <x:c r="M26" t="str">
        <x:f>IF(ABS(SUMIFS($H$4:$H$35,$A$4:$A$35,A26,$D$4:$D$35,D26)-1)&lt;0.0001,"PASS","CHECK")</x:f>
        <x:v>PASS</x:v>
      </x:c>
    </x:row>
    <x:row r="27">
      <x:c r="A27" t="str">
        <x:v>FR2024_OXA484_ONLY</x:v>
      </x:c>
      <x:c r="B27" t="str">
        <x:v>French Enterobacterales producing OXA-484 only</x:v>
      </x:c>
      <x:c r="C27" t="str">
        <x:v>STRICT_VARIANT_SENSITIVITY</x:v>
      </x:c>
      <x:c r="D27" t="str">
        <x:v>NEXT_DILUTION_32</x:v>
      </x:c>
      <x:c r="E27" t="n">
        <x:v>0.5</x:v>
      </x:c>
      <x:c r="F27" t="n">
        <x:v>7</x:v>
      </x:c>
      <x:c r="G27" t="n">
        <x:v>59</x:v>
      </x:c>
      <x:c r="H27" s="127" t="n">
        <x:f>F27/G27</x:f>
        <x:v>0.11864406779661017</x:v>
      </x:c>
      <x:c r="I27" t="str">
        <x:v>Exact</x:v>
      </x:c>
      <x:c r="J27" t="str">
        <x:v>NONE</x:v>
      </x:c>
      <x:c r="K27" t="str">
        <x:v>REPORTED_DIRECT</x:v>
      </x:c>
      <x:c r="L27" t="str">
        <x:v>USER_REVIEW_REQUIRED</x:v>
      </x:c>
      <x:c r="M27" t="str">
        <x:f>IF(ABS(SUMIFS($H$4:$H$35,$A$4:$A$35,A27,$D$4:$D$35,D27)-1)&lt;0.0001,"PASS","CHECK")</x:f>
        <x:v>PASS</x:v>
      </x:c>
    </x:row>
    <x:row r="28">
      <x:c r="A28" t="str">
        <x:v>FR2024_OXA484_ONLY</x:v>
      </x:c>
      <x:c r="B28" t="str">
        <x:v>French Enterobacterales producing OXA-484 only</x:v>
      </x:c>
      <x:c r="C28" t="str">
        <x:v>STRICT_VARIANT_SENSITIVITY</x:v>
      </x:c>
      <x:c r="D28" t="str">
        <x:v>NEXT_DILUTION_32</x:v>
      </x:c>
      <x:c r="E28" t="n">
        <x:v>1</x:v>
      </x:c>
      <x:c r="F28" t="n">
        <x:v>15</x:v>
      </x:c>
      <x:c r="G28" t="n">
        <x:v>59</x:v>
      </x:c>
      <x:c r="H28" s="127" t="n">
        <x:f>F28/G28</x:f>
        <x:v>0.2542372881355932</x:v>
      </x:c>
      <x:c r="I28" t="str">
        <x:v>Exact</x:v>
      </x:c>
      <x:c r="J28" t="str">
        <x:v>NONE</x:v>
      </x:c>
      <x:c r="K28" t="str">
        <x:v>REPORTED_DIRECT</x:v>
      </x:c>
      <x:c r="L28" t="str">
        <x:v>USER_REVIEW_REQUIRED</x:v>
      </x:c>
      <x:c r="M28" t="str">
        <x:f>IF(ABS(SUMIFS($H$4:$H$35,$A$4:$A$35,A28,$D$4:$D$35,D28)-1)&lt;0.0001,"PASS","CHECK")</x:f>
        <x:v>PASS</x:v>
      </x:c>
    </x:row>
    <x:row r="29">
      <x:c r="A29" t="str">
        <x:v>FR2024_OXA484_ONLY</x:v>
      </x:c>
      <x:c r="B29" t="str">
        <x:v>French Enterobacterales producing OXA-484 only</x:v>
      </x:c>
      <x:c r="C29" t="str">
        <x:v>STRICT_VARIANT_SENSITIVITY</x:v>
      </x:c>
      <x:c r="D29" t="str">
        <x:v>NEXT_DILUTION_32</x:v>
      </x:c>
      <x:c r="E29" t="n">
        <x:v>2</x:v>
      </x:c>
      <x:c r="F29" t="n">
        <x:v>9</x:v>
      </x:c>
      <x:c r="G29" t="n">
        <x:v>59</x:v>
      </x:c>
      <x:c r="H29" s="127" t="n">
        <x:f>F29/G29</x:f>
        <x:v>0.15254237288135594</x:v>
      </x:c>
      <x:c r="I29" t="str">
        <x:v>Exact</x:v>
      </x:c>
      <x:c r="J29" t="str">
        <x:v>NONE</x:v>
      </x:c>
      <x:c r="K29" t="str">
        <x:v>REPORTED_DIRECT</x:v>
      </x:c>
      <x:c r="L29" t="str">
        <x:v>USER_REVIEW_REQUIRED</x:v>
      </x:c>
      <x:c r="M29" t="str">
        <x:f>IF(ABS(SUMIFS($H$4:$H$35,$A$4:$A$35,A29,$D$4:$D$35,D29)-1)&lt;0.0001,"PASS","CHECK")</x:f>
        <x:v>PASS</x:v>
      </x:c>
    </x:row>
    <x:row r="30">
      <x:c r="A30" t="str">
        <x:v>FR2024_OXA484_ONLY</x:v>
      </x:c>
      <x:c r="B30" t="str">
        <x:v>French Enterobacterales producing OXA-484 only</x:v>
      </x:c>
      <x:c r="C30" t="str">
        <x:v>STRICT_VARIANT_SENSITIVITY</x:v>
      </x:c>
      <x:c r="D30" t="str">
        <x:v>NEXT_DILUTION_32</x:v>
      </x:c>
      <x:c r="E30" t="n">
        <x:v>4</x:v>
      </x:c>
      <x:c r="F30" t="n">
        <x:v>1</x:v>
      </x:c>
      <x:c r="G30" t="n">
        <x:v>59</x:v>
      </x:c>
      <x:c r="H30" s="127" t="n">
        <x:f>F30/G30</x:f>
        <x:v>0.01694915254237288</x:v>
      </x:c>
      <x:c r="I30" t="str">
        <x:v>Exact</x:v>
      </x:c>
      <x:c r="J30" t="str">
        <x:v>NONE</x:v>
      </x:c>
      <x:c r="K30" t="str">
        <x:v>REPORTED_DIRECT</x:v>
      </x:c>
      <x:c r="L30" t="str">
        <x:v>USER_REVIEW_REQUIRED</x:v>
      </x:c>
      <x:c r="M30" t="str">
        <x:f>IF(ABS(SUMIFS($H$4:$H$35,$A$4:$A$35,A30,$D$4:$D$35,D30)-1)&lt;0.0001,"PASS","CHECK")</x:f>
        <x:v>PASS</x:v>
      </x:c>
    </x:row>
    <x:row r="31">
      <x:c r="A31" t="str">
        <x:v>FR2024_OXA484_ONLY</x:v>
      </x:c>
      <x:c r="B31" t="str">
        <x:v>French Enterobacterales producing OXA-484 only</x:v>
      </x:c>
      <x:c r="C31" t="str">
        <x:v>STRICT_VARIANT_SENSITIVITY</x:v>
      </x:c>
      <x:c r="D31" t="str">
        <x:v>UPPER_BOUND_64</x:v>
      </x:c>
      <x:c r="E31" t="n">
        <x:v>0.25</x:v>
      </x:c>
      <x:c r="F31" t="n">
        <x:v>27</x:v>
      </x:c>
      <x:c r="G31" t="n">
        <x:v>59</x:v>
      </x:c>
      <x:c r="H31" s="127" t="n">
        <x:f>F31/G31</x:f>
        <x:v>0.4576271186440678</x:v>
      </x:c>
      <x:c r="I31" t="str">
        <x:v>≤0.25 assigned to upper bound 0.25</x:v>
      </x:c>
      <x:c r="J31" t="str">
        <x:v>CATEGORICAL_HARMONIZATION</x:v>
      </x:c>
      <x:c r="K31" t="str">
        <x:v>REPORTED_DIRECT</x:v>
      </x:c>
      <x:c r="L31" t="str">
        <x:v>USER_REVIEW_REQUIRED</x:v>
      </x:c>
      <x:c r="M31" t="str">
        <x:f>IF(ABS(SUMIFS($H$4:$H$35,$A$4:$A$35,A31,$D$4:$D$35,D31)-1)&lt;0.0001,"PASS","CHECK")</x:f>
        <x:v>PASS</x:v>
      </x:c>
    </x:row>
    <x:row r="32">
      <x:c r="A32" t="str">
        <x:v>FR2024_OXA484_ONLY</x:v>
      </x:c>
      <x:c r="B32" t="str">
        <x:v>French Enterobacterales producing OXA-484 only</x:v>
      </x:c>
      <x:c r="C32" t="str">
        <x:v>STRICT_VARIANT_SENSITIVITY</x:v>
      </x:c>
      <x:c r="D32" t="str">
        <x:v>UPPER_BOUND_64</x:v>
      </x:c>
      <x:c r="E32" t="n">
        <x:v>0.5</x:v>
      </x:c>
      <x:c r="F32" t="n">
        <x:v>7</x:v>
      </x:c>
      <x:c r="G32" t="n">
        <x:v>59</x:v>
      </x:c>
      <x:c r="H32" s="127" t="n">
        <x:f>F32/G32</x:f>
        <x:v>0.11864406779661017</x:v>
      </x:c>
      <x:c r="I32" t="str">
        <x:v>Exact</x:v>
      </x:c>
      <x:c r="J32" t="str">
        <x:v>NONE</x:v>
      </x:c>
      <x:c r="K32" t="str">
        <x:v>REPORTED_DIRECT</x:v>
      </x:c>
      <x:c r="L32" t="str">
        <x:v>USER_REVIEW_REQUIRED</x:v>
      </x:c>
      <x:c r="M32" t="str">
        <x:f>IF(ABS(SUMIFS($H$4:$H$35,$A$4:$A$35,A32,$D$4:$D$35,D32)-1)&lt;0.0001,"PASS","CHECK")</x:f>
        <x:v>PASS</x:v>
      </x:c>
    </x:row>
    <x:row r="33">
      <x:c r="A33" t="str">
        <x:v>FR2024_OXA484_ONLY</x:v>
      </x:c>
      <x:c r="B33" t="str">
        <x:v>French Enterobacterales producing OXA-484 only</x:v>
      </x:c>
      <x:c r="C33" t="str">
        <x:v>STRICT_VARIANT_SENSITIVITY</x:v>
      </x:c>
      <x:c r="D33" t="str">
        <x:v>UPPER_BOUND_64</x:v>
      </x:c>
      <x:c r="E33" t="n">
        <x:v>1</x:v>
      </x:c>
      <x:c r="F33" t="n">
        <x:v>15</x:v>
      </x:c>
      <x:c r="G33" t="n">
        <x:v>59</x:v>
      </x:c>
      <x:c r="H33" s="127" t="n">
        <x:f>F33/G33</x:f>
        <x:v>0.2542372881355932</x:v>
      </x:c>
      <x:c r="I33" t="str">
        <x:v>Exact</x:v>
      </x:c>
      <x:c r="J33" t="str">
        <x:v>NONE</x:v>
      </x:c>
      <x:c r="K33" t="str">
        <x:v>REPORTED_DIRECT</x:v>
      </x:c>
      <x:c r="L33" t="str">
        <x:v>USER_REVIEW_REQUIRED</x:v>
      </x:c>
      <x:c r="M33" t="str">
        <x:f>IF(ABS(SUMIFS($H$4:$H$35,$A$4:$A$35,A33,$D$4:$D$35,D33)-1)&lt;0.0001,"PASS","CHECK")</x:f>
        <x:v>PASS</x:v>
      </x:c>
    </x:row>
    <x:row r="34">
      <x:c r="A34" t="str">
        <x:v>FR2024_OXA484_ONLY</x:v>
      </x:c>
      <x:c r="B34" t="str">
        <x:v>French Enterobacterales producing OXA-484 only</x:v>
      </x:c>
      <x:c r="C34" t="str">
        <x:v>STRICT_VARIANT_SENSITIVITY</x:v>
      </x:c>
      <x:c r="D34" t="str">
        <x:v>UPPER_BOUND_64</x:v>
      </x:c>
      <x:c r="E34" t="n">
        <x:v>2</x:v>
      </x:c>
      <x:c r="F34" t="n">
        <x:v>9</x:v>
      </x:c>
      <x:c r="G34" t="n">
        <x:v>59</x:v>
      </x:c>
      <x:c r="H34" s="127" t="n">
        <x:f>F34/G34</x:f>
        <x:v>0.15254237288135594</x:v>
      </x:c>
      <x:c r="I34" t="str">
        <x:v>Exact</x:v>
      </x:c>
      <x:c r="J34" t="str">
        <x:v>NONE</x:v>
      </x:c>
      <x:c r="K34" t="str">
        <x:v>REPORTED_DIRECT</x:v>
      </x:c>
      <x:c r="L34" t="str">
        <x:v>USER_REVIEW_REQUIRED</x:v>
      </x:c>
      <x:c r="M34" t="str">
        <x:f>IF(ABS(SUMIFS($H$4:$H$35,$A$4:$A$35,A34,$D$4:$D$35,D34)-1)&lt;0.0001,"PASS","CHECK")</x:f>
        <x:v>PASS</x:v>
      </x:c>
    </x:row>
    <x:row r="35">
      <x:c r="A35" t="str">
        <x:v>FR2024_OXA484_ONLY</x:v>
      </x:c>
      <x:c r="B35" t="str">
        <x:v>French Enterobacterales producing OXA-484 only</x:v>
      </x:c>
      <x:c r="C35" t="str">
        <x:v>STRICT_VARIANT_SENSITIVITY</x:v>
      </x:c>
      <x:c r="D35" t="str">
        <x:v>UPPER_BOUND_64</x:v>
      </x:c>
      <x:c r="E35" t="n">
        <x:v>4</x:v>
      </x:c>
      <x:c r="F35" t="n">
        <x:v>1</x:v>
      </x:c>
      <x:c r="G35" t="n">
        <x:v>59</x:v>
      </x:c>
      <x:c r="H35" s="127" t="n">
        <x:f>F35/G35</x:f>
        <x:v>0.01694915254237288</x:v>
      </x:c>
      <x:c r="I35" t="str">
        <x:v>Exact</x:v>
      </x:c>
      <x:c r="J35" t="str">
        <x:v>NONE</x:v>
      </x:c>
      <x:c r="K35" t="str">
        <x:v>REPORTED_DIRECT</x:v>
      </x:c>
      <x:c r="L35" t="str">
        <x:v>USER_REVIEW_REQUIRED</x:v>
      </x:c>
      <x:c r="M35" t="str">
        <x:f>IF(ABS(SUMIFS($H$4:$H$35,$A$4:$A$35,A35,$D$4:$D$35,D35)-1)&lt;0.0001,"PASS","CHECK")</x:f>
        <x:v>PASS</x:v>
      </x:c>
    </x:row>
  </x:sheetData>
  <x:mergeCells>
    <x:mergeCell ref="A1:M1"/>
  </x:mergeCells>
  <x:pageMargins left="0.7" right="0.7" top="0.75" bottom="0.75" header="0.3" footer="0.3"/>
</x:worksheet>
</file>

<file path=xl/worksheets/sheet27.xml><?xml version="1.0" encoding="utf-8"?>
<x:worksheet xmlns:x="http://schemas.openxmlformats.org/spreadsheetml/2006/main">
  <x:sheetFormatPr defaultRowHeight="15"/>
  <x:cols>
    <x:col min="1" max="1" width="30" hidden="0" customWidth="1"/>
    <x:col min="2" max="2" width="54" hidden="0" customWidth="1"/>
    <x:col min="3" max="3" width="28" hidden="0" customWidth="1"/>
    <x:col min="4" max="4" width="22" hidden="0" customWidth="1"/>
    <x:col min="5" max="5" width="10" hidden="0" customWidth="1"/>
    <x:col min="6" max="6" width="12" hidden="0" customWidth="1"/>
    <x:col min="7" max="7" width="9" hidden="0" customWidth="1"/>
    <x:col min="8" max="8" width="10" hidden="0" customWidth="1"/>
    <x:col min="9" max="9" width="12" hidden="0" customWidth="1"/>
    <x:col min="10" max="10" width="16" hidden="0" customWidth="1"/>
    <x:col min="11" max="11" width="13" hidden="0" customWidth="1"/>
    <x:col min="12" max="12" width="12" hidden="0" customWidth="1"/>
    <x:col min="13" max="13" width="14" hidden="0" customWidth="1"/>
    <x:col min="14" max="14" width="20" hidden="0" customWidth="1"/>
    <x:col min="15" max="15" width="24" hidden="0" customWidth="1"/>
  </x:cols>
  <x:sheetData>
    <x:row r="1">
      <x:c r="A1" s="157" t="str">
        <x:v>French OXA-484 CFR Results</x:v>
      </x:c>
      <x:c r="B1" s="157"/>
      <x:c r="C1" s="157"/>
      <x:c r="D1" s="157"/>
      <x:c r="E1" s="157"/>
      <x:c r="F1" s="157"/>
      <x:c r="G1" s="157"/>
      <x:c r="H1" s="157"/>
      <x:c r="I1" s="157"/>
      <x:c r="J1" s="157"/>
      <x:c r="K1" s="157"/>
      <x:c r="L1" s="157"/>
      <x:c r="M1" s="157"/>
      <x:c r="N1" s="157"/>
      <x:c r="O1" s="157"/>
    </x:row>
    <x:row r="3">
      <x:c r="A3" s="162" t="str">
        <x:v>Distribution ID</x:v>
      </x:c>
      <x:c r="B3" s="162" t="str">
        <x:v>Population</x:v>
      </x:c>
      <x:c r="C3" s="162" t="str">
        <x:v>Role</x:v>
      </x:c>
      <x:c r="D3" s="162" t="str">
        <x:v>Terminal scenario</x:v>
      </x:c>
      <x:c r="E3" s="162" t="str">
        <x:v>Regimen</x:v>
      </x:c>
      <x:c r="F3" s="162" t="str">
        <x:v>EKFC</x:v>
      </x:c>
      <x:c r="G3" s="162" t="str">
        <x:v>Dose g</x:v>
      </x:c>
      <x:c r="H3" s="162" t="str">
        <x:v>Interval h</x:v>
      </x:c>
      <x:c r="I3" s="162" t="str">
        <x:v>CAZ CFR %</x:v>
      </x:c>
      <x:c r="J3" s="162" t="str">
        <x:v>AVI weighted %</x:v>
      </x:c>
      <x:c r="K3" s="162" t="str">
        <x:v>Joint CFR %</x:v>
      </x:c>
      <x:c r="L3" s="162" t="str">
        <x:v>Toxicity %</x:v>
      </x:c>
      <x:c r="M3" s="162" t="str">
        <x:v>Decision</x:v>
      </x:c>
      <x:c r="N3" s="162" t="str">
        <x:v>Origin class</x:v>
      </x:c>
      <x:c r="O3" s="162" t="str">
        <x:v>Review state</x:v>
      </x:c>
    </x:row>
    <x:row r="4">
      <x:c r="A4" t="str">
        <x:v>FR2024_OXA484_ALL</x:v>
      </x:c>
      <x:c r="B4" t="str">
        <x:v>French OXA-484-producing Enterobacterales, all isolates (2018–2023)</x:v>
      </x:c>
      <x:c r="C4" t="str">
        <x:v>SENSITIVITY_DONOR</x:v>
      </x:c>
      <x:c r="D4" t="str">
        <x:v>NEXT_DILUTION_32</x:v>
      </x:c>
      <x:c r="E4" t="str">
        <x:v>R1</x:v>
      </x:c>
      <x:c r="F4" t="str">
        <x:v>0–30</x:v>
      </x:c>
      <x:c r="G4" t="n">
        <x:v>0.625</x:v>
      </x:c>
      <x:c r="H4" t="n">
        <x:v>12</x:v>
      </x:c>
      <x:c r="I4" s="63" t="n">
        <x:v>92.2465625</x:v>
      </x:c>
      <x:c r="J4" s="63" t="n">
        <x:v>74.88</x:v>
      </x:c>
      <x:c r="K4" s="63" t="n">
        <x:v>70.38703124999999</x:v>
      </x:c>
      <x:c r="L4" s="63" t="n">
        <x:v>8.924999999999999</x:v>
      </x:c>
      <x:c r="M4" t="str">
        <x:v>LOW</x:v>
      </x:c>
      <x:c r="N4" t="str">
        <x:v>MODEL_INFERRED</x:v>
      </x:c>
      <x:c r="O4" t="str">
        <x:v>USER_REVIEW_REQUIRED</x:v>
      </x:c>
    </x:row>
    <x:row r="5">
      <x:c r="A5" t="str">
        <x:v>FR2024_OXA484_ALL</x:v>
      </x:c>
      <x:c r="B5" t="str">
        <x:v>French OXA-484-producing Enterobacterales, all isolates (2018–2023)</x:v>
      </x:c>
      <x:c r="C5" t="str">
        <x:v>SENSITIVITY_DONOR</x:v>
      </x:c>
      <x:c r="D5" t="str">
        <x:v>NEXT_DILUTION_32</x:v>
      </x:c>
      <x:c r="E5" t="str">
        <x:v>R2</x:v>
      </x:c>
      <x:c r="F5" t="str">
        <x:v>0–30</x:v>
      </x:c>
      <x:c r="G5" t="n">
        <x:v>0.625</x:v>
      </x:c>
      <x:c r="H5" t="n">
        <x:v>8</x:v>
      </x:c>
      <x:c r="I5" s="63" t="n">
        <x:v>93.73875</x:v>
      </x:c>
      <x:c r="J5" s="63" t="n">
        <x:v>87.38</x:v>
      </x:c>
      <x:c r="K5" s="63" t="n">
        <x:v>82.443671875</x:v>
      </x:c>
      <x:c r="L5" s="63" t="n">
        <x:v>16.009999999999998</x:v>
      </x:c>
      <x:c r="M5" t="str">
        <x:v>ACCEPTABLE</x:v>
      </x:c>
      <x:c r="N5" t="str">
        <x:v>MODEL_INFERRED</x:v>
      </x:c>
      <x:c r="O5" t="str">
        <x:v>USER_REVIEW_REQUIRED</x:v>
      </x:c>
    </x:row>
    <x:row r="6">
      <x:c r="A6" t="str">
        <x:v>FR2024_OXA484_ALL</x:v>
      </x:c>
      <x:c r="B6" t="str">
        <x:v>French OXA-484-producing Enterobacterales, all isolates (2018–2023)</x:v>
      </x:c>
      <x:c r="C6" t="str">
        <x:v>SENSITIVITY_DONOR</x:v>
      </x:c>
      <x:c r="D6" t="str">
        <x:v>NEXT_DILUTION_32</x:v>
      </x:c>
      <x:c r="E6" t="str">
        <x:v>R5</x:v>
      </x:c>
      <x:c r="F6" t="str">
        <x:v>31–60</x:v>
      </x:c>
      <x:c r="G6" t="n">
        <x:v>0.625</x:v>
      </x:c>
      <x:c r="H6" t="n">
        <x:v>8</x:v>
      </x:c>
      <x:c r="I6" s="63" t="n">
        <x:v>89.9503125</x:v>
      </x:c>
      <x:c r="J6" s="63" t="n">
        <x:v>44.965</x:v>
      </x:c>
      <x:c r="K6" s="63" t="n">
        <x:v>42.067734375</x:v>
      </x:c>
      <x:c r="L6" s="63" t="n">
        <x:v>0.245</x:v>
      </x:c>
      <x:c r="M6" t="str">
        <x:v>LOW</x:v>
      </x:c>
      <x:c r="N6" t="str">
        <x:v>MODEL_INFERRED</x:v>
      </x:c>
      <x:c r="O6" t="str">
        <x:v>USER_REVIEW_REQUIRED</x:v>
      </x:c>
    </x:row>
    <x:row r="7">
      <x:c r="A7" t="str">
        <x:v>FR2024_OXA484_ALL</x:v>
      </x:c>
      <x:c r="B7" t="str">
        <x:v>French OXA-484-producing Enterobacterales, all isolates (2018–2023)</x:v>
      </x:c>
      <x:c r="C7" t="str">
        <x:v>SENSITIVITY_DONOR</x:v>
      </x:c>
      <x:c r="D7" t="str">
        <x:v>NEXT_DILUTION_32</x:v>
      </x:c>
      <x:c r="E7" t="str">
        <x:v>R6</x:v>
      </x:c>
      <x:c r="F7" t="str">
        <x:v>31–60</x:v>
      </x:c>
      <x:c r="G7" t="n">
        <x:v>1.25</x:v>
      </x:c>
      <x:c r="H7" t="n">
        <x:v>12</x:v>
      </x:c>
      <x:c r="I7" s="63" t="n">
        <x:v>91.87437499999999</x:v>
      </x:c>
      <x:c r="J7" s="63" t="n">
        <x:v>61.035</x:v>
      </x:c>
      <x:c r="K7" s="63" t="n">
        <x:v>57.158046875</x:v>
      </x:c>
      <x:c r="L7" s="63" t="n">
        <x:v>0.89</x:v>
      </x:c>
      <x:c r="M7" t="str">
        <x:v>LOW</x:v>
      </x:c>
      <x:c r="N7" t="str">
        <x:v>MODEL_INFERRED</x:v>
      </x:c>
      <x:c r="O7" t="str">
        <x:v>USER_REVIEW_REQUIRED</x:v>
      </x:c>
    </x:row>
    <x:row r="8">
      <x:c r="A8" t="str">
        <x:v>FR2024_OXA484_ALL</x:v>
      </x:c>
      <x:c r="B8" t="str">
        <x:v>French OXA-484-producing Enterobacterales, all isolates (2018–2023)</x:v>
      </x:c>
      <x:c r="C8" t="str">
        <x:v>SENSITIVITY_DONOR</x:v>
      </x:c>
      <x:c r="D8" t="str">
        <x:v>NEXT_DILUTION_32</x:v>
      </x:c>
      <x:c r="E8" t="str">
        <x:v>R7</x:v>
      </x:c>
      <x:c r="F8" t="str">
        <x:v>31–60</x:v>
      </x:c>
      <x:c r="G8" t="n">
        <x:v>1.25</x:v>
      </x:c>
      <x:c r="H8" t="n">
        <x:v>8</x:v>
      </x:c>
      <x:c r="I8" s="63" t="n">
        <x:v>93.22953125</x:v>
      </x:c>
      <x:c r="J8" s="63" t="n">
        <x:v>80.435</x:v>
      </x:c>
      <x:c r="K8" s="63" t="n">
        <x:v>75.43125</x:v>
      </x:c>
      <x:c r="L8" s="63" t="n">
        <x:v>3.8350000000000004</x:v>
      </x:c>
      <x:c r="M8" t="str">
        <x:v>LOW</x:v>
      </x:c>
      <x:c r="N8" t="str">
        <x:v>MODEL_INFERRED</x:v>
      </x:c>
      <x:c r="O8" t="str">
        <x:v>USER_REVIEW_REQUIRED</x:v>
      </x:c>
    </x:row>
    <x:row r="9">
      <x:c r="A9" t="str">
        <x:v>FR2024_OXA484_ALL</x:v>
      </x:c>
      <x:c r="B9" t="str">
        <x:v>French OXA-484-producing Enterobacterales, all isolates (2018–2023)</x:v>
      </x:c>
      <x:c r="C9" t="str">
        <x:v>SENSITIVITY_DONOR</x:v>
      </x:c>
      <x:c r="D9" t="str">
        <x:v>NEXT_DILUTION_32</x:v>
      </x:c>
      <x:c r="E9" t="str">
        <x:v>R8</x:v>
      </x:c>
      <x:c r="F9" t="str">
        <x:v>31–60</x:v>
      </x:c>
      <x:c r="G9" t="n">
        <x:v>2.5</x:v>
      </x:c>
      <x:c r="H9" t="n">
        <x:v>12</x:v>
      </x:c>
      <x:c r="I9" s="63" t="n">
        <x:v>93.718359375</x:v>
      </x:c>
      <x:c r="J9" s="63" t="n">
        <x:v>89.45</x:v>
      </x:c>
      <x:c r="K9" s="63" t="n">
        <x:v>84.02421875</x:v>
      </x:c>
      <x:c r="L9" s="63" t="n">
        <x:v>9.335</x:v>
      </x:c>
      <x:c r="M9" t="str">
        <x:v>ACCEPTABLE</x:v>
      </x:c>
      <x:c r="N9" t="str">
        <x:v>MODEL_INFERRED</x:v>
      </x:c>
      <x:c r="O9" t="str">
        <x:v>USER_REVIEW_REQUIRED</x:v>
      </x:c>
    </x:row>
    <x:row r="10">
      <x:c r="A10" t="str">
        <x:v>FR2024_OXA484_ALL</x:v>
      </x:c>
      <x:c r="B10" t="str">
        <x:v>French OXA-484-producing Enterobacterales, all isolates (2018–2023)</x:v>
      </x:c>
      <x:c r="C10" t="str">
        <x:v>SENSITIVITY_DONOR</x:v>
      </x:c>
      <x:c r="D10" t="str">
        <x:v>NEXT_DILUTION_32</x:v>
      </x:c>
      <x:c r="E10" t="str">
        <x:v>R9</x:v>
      </x:c>
      <x:c r="F10" t="str">
        <x:v>61–90</x:v>
      </x:c>
      <x:c r="G10" t="n">
        <x:v>2.5</x:v>
      </x:c>
      <x:c r="H10" t="n">
        <x:v>12</x:v>
      </x:c>
      <x:c r="I10" s="63" t="n">
        <x:v>93.07546874999998</x:v>
      </x:c>
      <x:c r="J10" s="63" t="n">
        <x:v>73.225</x:v>
      </x:c>
      <x:c r="K10" s="63" t="n">
        <x:v>68.6625</x:v>
      </x:c>
      <x:c r="L10" s="63" t="n">
        <x:v>2.98</x:v>
      </x:c>
      <x:c r="M10" t="str">
        <x:v>LOW</x:v>
      </x:c>
      <x:c r="N10" t="str">
        <x:v>MODEL_INFERRED</x:v>
      </x:c>
      <x:c r="O10" t="str">
        <x:v>USER_REVIEW_REQUIRED</x:v>
      </x:c>
    </x:row>
    <x:row r="11">
      <x:c r="A11" t="str">
        <x:v>FR2024_OXA484_ALL</x:v>
      </x:c>
      <x:c r="B11" t="str">
        <x:v>French OXA-484-producing Enterobacterales, all isolates (2018–2023)</x:v>
      </x:c>
      <x:c r="C11" t="str">
        <x:v>SENSITIVITY_DONOR</x:v>
      </x:c>
      <x:c r="D11" t="str">
        <x:v>NEXT_DILUTION_32</x:v>
      </x:c>
      <x:c r="E11" t="str">
        <x:v>R10</x:v>
      </x:c>
      <x:c r="F11" t="str">
        <x:v>61–90</x:v>
      </x:c>
      <x:c r="G11" t="n">
        <x:v>2.5</x:v>
      </x:c>
      <x:c r="H11" t="n">
        <x:v>8</x:v>
      </x:c>
      <x:c r="I11" s="63" t="n">
        <x:v>93.79632812499999</x:v>
      </x:c>
      <x:c r="J11" s="63" t="n">
        <x:v>88.405</x:v>
      </x:c>
      <x:c r="K11" s="63" t="n">
        <x:v>83.087421875</x:v>
      </x:c>
      <x:c r="L11" s="63" t="n">
        <x:v>10.89</x:v>
      </x:c>
      <x:c r="M11" t="str">
        <x:v>ACCEPTABLE</x:v>
      </x:c>
      <x:c r="N11" t="str">
        <x:v>MODEL_INFERRED</x:v>
      </x:c>
      <x:c r="O11" t="str">
        <x:v>USER_REVIEW_REQUIRED</x:v>
      </x:c>
    </x:row>
    <x:row r="12">
      <x:c r="A12" t="str">
        <x:v>FR2024_OXA484_ALL</x:v>
      </x:c>
      <x:c r="B12" t="str">
        <x:v>French OXA-484-producing Enterobacterales, all isolates (2018–2023)</x:v>
      </x:c>
      <x:c r="C12" t="str">
        <x:v>SENSITIVITY_DONOR</x:v>
      </x:c>
      <x:c r="D12" t="str">
        <x:v>NEXT_DILUTION_32</x:v>
      </x:c>
      <x:c r="E12" t="str">
        <x:v>R11</x:v>
      </x:c>
      <x:c r="F12" t="str">
        <x:v>91–120</x:v>
      </x:c>
      <x:c r="G12" t="n">
        <x:v>2.5</x:v>
      </x:c>
      <x:c r="H12" t="n">
        <x:v>8</x:v>
      </x:c>
      <x:c r="I12" s="63" t="n">
        <x:v>93.440703125</x:v>
      </x:c>
      <x:c r="J12" s="63" t="n">
        <x:v>78.18</x:v>
      </x:c>
      <x:c r="K12" s="63" t="n">
        <x:v>73.363125</x:v>
      </x:c>
      <x:c r="L12" s="63" t="n">
        <x:v>5.1499999999999995</x:v>
      </x:c>
      <x:c r="M12" t="str">
        <x:v>LOW</x:v>
      </x:c>
      <x:c r="N12" t="str">
        <x:v>MODEL_INFERRED</x:v>
      </x:c>
      <x:c r="O12" t="str">
        <x:v>USER_REVIEW_REQUIRED</x:v>
      </x:c>
    </x:row>
    <x:row r="13">
      <x:c r="A13" t="str">
        <x:v>FR2024_OXA484_ALL</x:v>
      </x:c>
      <x:c r="B13" t="str">
        <x:v>French OXA-484-producing Enterobacterales, all isolates (2018–2023)</x:v>
      </x:c>
      <x:c r="C13" t="str">
        <x:v>SENSITIVITY_DONOR</x:v>
      </x:c>
      <x:c r="D13" t="str">
        <x:v>NEXT_DILUTION_32</x:v>
      </x:c>
      <x:c r="E13" t="str">
        <x:v>R12</x:v>
      </x:c>
      <x:c r="F13" t="str">
        <x:v>91–120</x:v>
      </x:c>
      <x:c r="G13" t="n">
        <x:v>2.5</x:v>
      </x:c>
      <x:c r="H13" t="n">
        <x:v>6</x:v>
      </x:c>
      <x:c r="I13" s="63" t="n">
        <x:v>93.851484375</x:v>
      </x:c>
      <x:c r="J13" s="63" t="n">
        <x:v>88.46000000000001</x:v>
      </x:c>
      <x:c r="K13" s="63" t="n">
        <x:v>83.16140625</x:v>
      </x:c>
      <x:c r="L13" s="63" t="n">
        <x:v>12.32</x:v>
      </x:c>
      <x:c r="M13" t="str">
        <x:v>ACCEPTABLE</x:v>
      </x:c>
      <x:c r="N13" t="str">
        <x:v>MODEL_INFERRED</x:v>
      </x:c>
      <x:c r="O13" t="str">
        <x:v>USER_REVIEW_REQUIRED</x:v>
      </x:c>
    </x:row>
    <x:row r="14">
      <x:c r="A14" t="str">
        <x:v>FR2024_OXA484_ALL</x:v>
      </x:c>
      <x:c r="B14" t="str">
        <x:v>French OXA-484-producing Enterobacterales, all isolates (2018–2023)</x:v>
      </x:c>
      <x:c r="C14" t="str">
        <x:v>SENSITIVITY_DONOR</x:v>
      </x:c>
      <x:c r="D14" t="str">
        <x:v>NEXT_DILUTION_32</x:v>
      </x:c>
      <x:c r="E14" t="str">
        <x:v>R13</x:v>
      </x:c>
      <x:c r="F14" t="str">
        <x:v>121–150</x:v>
      </x:c>
      <x:c r="G14" t="n">
        <x:v>2.5</x:v>
      </x:c>
      <x:c r="H14" t="n">
        <x:v>6</x:v>
      </x:c>
      <x:c r="I14" s="63" t="n">
        <x:v>93.613125</x:v>
      </x:c>
      <x:c r="J14" s="63" t="n">
        <x:v>81.245</x:v>
      </x:c>
      <x:c r="K14" s="63" t="n">
        <x:v>76.29187500000002</x:v>
      </x:c>
      <x:c r="L14" s="63" t="n">
        <x:v>7.33</x:v>
      </x:c>
      <x:c r="M14" t="str">
        <x:v>LOW</x:v>
      </x:c>
      <x:c r="N14" t="str">
        <x:v>MODEL_INFERRED</x:v>
      </x:c>
      <x:c r="O14" t="str">
        <x:v>USER_REVIEW_REQUIRED</x:v>
      </x:c>
    </x:row>
    <x:row r="15">
      <x:c r="A15" t="str">
        <x:v>FR2024_OXA484_ALL</x:v>
      </x:c>
      <x:c r="B15" t="str">
        <x:v>French OXA-484-producing Enterobacterales, all isolates (2018–2023)</x:v>
      </x:c>
      <x:c r="C15" t="str">
        <x:v>SENSITIVITY_DONOR</x:v>
      </x:c>
      <x:c r="D15" t="str">
        <x:v>UPPER_BOUND_64</x:v>
      </x:c>
      <x:c r="E15" t="str">
        <x:v>R1</x:v>
      </x:c>
      <x:c r="F15" t="str">
        <x:v>0–30</x:v>
      </x:c>
      <x:c r="G15" t="n">
        <x:v>0.625</x:v>
      </x:c>
      <x:c r="H15" t="n">
        <x:v>12</x:v>
      </x:c>
      <x:c r="I15" s="63" t="n">
        <x:v>92.04375</x:v>
      </x:c>
      <x:c r="J15" s="63" t="n">
        <x:v>74.88</x:v>
      </x:c>
      <x:c r="K15" s="63" t="n">
        <x:v>70.18421875</x:v>
      </x:c>
      <x:c r="L15" s="63" t="n">
        <x:v>8.924999999999999</x:v>
      </x:c>
      <x:c r="M15" t="str">
        <x:v>LOW</x:v>
      </x:c>
      <x:c r="N15" t="str">
        <x:v>MODEL_INFERRED</x:v>
      </x:c>
      <x:c r="O15" t="str">
        <x:v>USER_REVIEW_REQUIRED</x:v>
      </x:c>
    </x:row>
    <x:row r="16">
      <x:c r="A16" t="str">
        <x:v>FR2024_OXA484_ALL</x:v>
      </x:c>
      <x:c r="B16" t="str">
        <x:v>French OXA-484-producing Enterobacterales, all isolates (2018–2023)</x:v>
      </x:c>
      <x:c r="C16" t="str">
        <x:v>SENSITIVITY_DONOR</x:v>
      </x:c>
      <x:c r="D16" t="str">
        <x:v>UPPER_BOUND_64</x:v>
      </x:c>
      <x:c r="E16" t="str">
        <x:v>R2</x:v>
      </x:c>
      <x:c r="F16" t="str">
        <x:v>0–30</x:v>
      </x:c>
      <x:c r="G16" t="n">
        <x:v>0.625</x:v>
      </x:c>
      <x:c r="H16" t="n">
        <x:v>8</x:v>
      </x:c>
      <x:c r="I16" s="63" t="n">
        <x:v>93.35374999999999</x:v>
      </x:c>
      <x:c r="J16" s="63" t="n">
        <x:v>87.38</x:v>
      </x:c>
      <x:c r="K16" s="63" t="n">
        <x:v>82.058671875</x:v>
      </x:c>
      <x:c r="L16" s="63" t="n">
        <x:v>16.009999999999998</x:v>
      </x:c>
      <x:c r="M16" t="str">
        <x:v>ACCEPTABLE</x:v>
      </x:c>
      <x:c r="N16" t="str">
        <x:v>MODEL_INFERRED</x:v>
      </x:c>
      <x:c r="O16" t="str">
        <x:v>USER_REVIEW_REQUIRED</x:v>
      </x:c>
    </x:row>
    <x:row r="17">
      <x:c r="A17" t="str">
        <x:v>FR2024_OXA484_ALL</x:v>
      </x:c>
      <x:c r="B17" t="str">
        <x:v>French OXA-484-producing Enterobacterales, all isolates (2018–2023)</x:v>
      </x:c>
      <x:c r="C17" t="str">
        <x:v>SENSITIVITY_DONOR</x:v>
      </x:c>
      <x:c r="D17" t="str">
        <x:v>UPPER_BOUND_64</x:v>
      </x:c>
      <x:c r="E17" t="str">
        <x:v>R5</x:v>
      </x:c>
      <x:c r="F17" t="str">
        <x:v>31–60</x:v>
      </x:c>
      <x:c r="G17" t="n">
        <x:v>0.625</x:v>
      </x:c>
      <x:c r="H17" t="n">
        <x:v>8</x:v>
      </x:c>
      <x:c r="I17" s="63" t="n">
        <x:v>89.9484375</x:v>
      </x:c>
      <x:c r="J17" s="63" t="n">
        <x:v>44.965</x:v>
      </x:c>
      <x:c r="K17" s="63" t="n">
        <x:v>42.065859375</x:v>
      </x:c>
      <x:c r="L17" s="63" t="n">
        <x:v>0.245</x:v>
      </x:c>
      <x:c r="M17" t="str">
        <x:v>LOW</x:v>
      </x:c>
      <x:c r="N17" t="str">
        <x:v>MODEL_INFERRED</x:v>
      </x:c>
      <x:c r="O17" t="str">
        <x:v>USER_REVIEW_REQUIRED</x:v>
      </x:c>
    </x:row>
    <x:row r="18">
      <x:c r="A18" t="str">
        <x:v>FR2024_OXA484_ALL</x:v>
      </x:c>
      <x:c r="B18" t="str">
        <x:v>French OXA-484-producing Enterobacterales, all isolates (2018–2023)</x:v>
      </x:c>
      <x:c r="C18" t="str">
        <x:v>SENSITIVITY_DONOR</x:v>
      </x:c>
      <x:c r="D18" t="str">
        <x:v>UPPER_BOUND_64</x:v>
      </x:c>
      <x:c r="E18" t="str">
        <x:v>R6</x:v>
      </x:c>
      <x:c r="F18" t="str">
        <x:v>31–60</x:v>
      </x:c>
      <x:c r="G18" t="n">
        <x:v>1.25</x:v>
      </x:c>
      <x:c r="H18" t="n">
        <x:v>12</x:v>
      </x:c>
      <x:c r="I18" s="63" t="n">
        <x:v>91.86406249999999</x:v>
      </x:c>
      <x:c r="J18" s="63" t="n">
        <x:v>61.035</x:v>
      </x:c>
      <x:c r="K18" s="63" t="n">
        <x:v>57.147734375</x:v>
      </x:c>
      <x:c r="L18" s="63" t="n">
        <x:v>0.89</x:v>
      </x:c>
      <x:c r="M18" t="str">
        <x:v>LOW</x:v>
      </x:c>
      <x:c r="N18" t="str">
        <x:v>MODEL_INFERRED</x:v>
      </x:c>
      <x:c r="O18" t="str">
        <x:v>USER_REVIEW_REQUIRED</x:v>
      </x:c>
    </x:row>
    <x:row r="19">
      <x:c r="A19" t="str">
        <x:v>FR2024_OXA484_ALL</x:v>
      </x:c>
      <x:c r="B19" t="str">
        <x:v>French OXA-484-producing Enterobacterales, all isolates (2018–2023)</x:v>
      </x:c>
      <x:c r="C19" t="str">
        <x:v>SENSITIVITY_DONOR</x:v>
      </x:c>
      <x:c r="D19" t="str">
        <x:v>UPPER_BOUND_64</x:v>
      </x:c>
      <x:c r="E19" t="str">
        <x:v>R7</x:v>
      </x:c>
      <x:c r="F19" t="str">
        <x:v>31–60</x:v>
      </x:c>
      <x:c r="G19" t="n">
        <x:v>1.25</x:v>
      </x:c>
      <x:c r="H19" t="n">
        <x:v>8</x:v>
      </x:c>
      <x:c r="I19" s="63" t="n">
        <x:v>93.16828124999999</x:v>
      </x:c>
      <x:c r="J19" s="63" t="n">
        <x:v>80.435</x:v>
      </x:c>
      <x:c r="K19" s="63" t="n">
        <x:v>75.37</x:v>
      </x:c>
      <x:c r="L19" s="63" t="n">
        <x:v>3.8350000000000004</x:v>
      </x:c>
      <x:c r="M19" t="str">
        <x:v>LOW</x:v>
      </x:c>
      <x:c r="N19" t="str">
        <x:v>MODEL_INFERRED</x:v>
      </x:c>
      <x:c r="O19" t="str">
        <x:v>USER_REVIEW_REQUIRED</x:v>
      </x:c>
    </x:row>
    <x:row r="20">
      <x:c r="A20" t="str">
        <x:v>FR2024_OXA484_ALL</x:v>
      </x:c>
      <x:c r="B20" t="str">
        <x:v>French OXA-484-producing Enterobacterales, all isolates (2018–2023)</x:v>
      </x:c>
      <x:c r="C20" t="str">
        <x:v>SENSITIVITY_DONOR</x:v>
      </x:c>
      <x:c r="D20" t="str">
        <x:v>UPPER_BOUND_64</x:v>
      </x:c>
      <x:c r="E20" t="str">
        <x:v>R8</x:v>
      </x:c>
      <x:c r="F20" t="str">
        <x:v>31–60</x:v>
      </x:c>
      <x:c r="G20" t="n">
        <x:v>2.5</x:v>
      </x:c>
      <x:c r="H20" t="n">
        <x:v>12</x:v>
      </x:c>
      <x:c r="I20" s="63" t="n">
        <x:v>93.545546875</x:v>
      </x:c>
      <x:c r="J20" s="63" t="n">
        <x:v>89.45</x:v>
      </x:c>
      <x:c r="K20" s="63" t="n">
        <x:v>83.85140625</x:v>
      </x:c>
      <x:c r="L20" s="63" t="n">
        <x:v>9.335</x:v>
      </x:c>
      <x:c r="M20" t="str">
        <x:v>ACCEPTABLE</x:v>
      </x:c>
      <x:c r="N20" t="str">
        <x:v>MODEL_INFERRED</x:v>
      </x:c>
      <x:c r="O20" t="str">
        <x:v>USER_REVIEW_REQUIRED</x:v>
      </x:c>
    </x:row>
    <x:row r="21">
      <x:c r="A21" t="str">
        <x:v>FR2024_OXA484_ALL</x:v>
      </x:c>
      <x:c r="B21" t="str">
        <x:v>French OXA-484-producing Enterobacterales, all isolates (2018–2023)</x:v>
      </x:c>
      <x:c r="C21" t="str">
        <x:v>SENSITIVITY_DONOR</x:v>
      </x:c>
      <x:c r="D21" t="str">
        <x:v>UPPER_BOUND_64</x:v>
      </x:c>
      <x:c r="E21" t="str">
        <x:v>R9</x:v>
      </x:c>
      <x:c r="F21" t="str">
        <x:v>61–90</x:v>
      </x:c>
      <x:c r="G21" t="n">
        <x:v>2.5</x:v>
      </x:c>
      <x:c r="H21" t="n">
        <x:v>12</x:v>
      </x:c>
      <x:c r="I21" s="63" t="n">
        <x:v>93.03921874999999</x:v>
      </x:c>
      <x:c r="J21" s="63" t="n">
        <x:v>73.225</x:v>
      </x:c>
      <x:c r="K21" s="63" t="n">
        <x:v>68.62625</x:v>
      </x:c>
      <x:c r="L21" s="63" t="n">
        <x:v>2.98</x:v>
      </x:c>
      <x:c r="M21" t="str">
        <x:v>LOW</x:v>
      </x:c>
      <x:c r="N21" t="str">
        <x:v>MODEL_INFERRED</x:v>
      </x:c>
      <x:c r="O21" t="str">
        <x:v>USER_REVIEW_REQUIRED</x:v>
      </x:c>
    </x:row>
    <x:row r="22">
      <x:c r="A22" t="str">
        <x:v>FR2024_OXA484_ALL</x:v>
      </x:c>
      <x:c r="B22" t="str">
        <x:v>French OXA-484-producing Enterobacterales, all isolates (2018–2023)</x:v>
      </x:c>
      <x:c r="C22" t="str">
        <x:v>SENSITIVITY_DONOR</x:v>
      </x:c>
      <x:c r="D22" t="str">
        <x:v>UPPER_BOUND_64</x:v>
      </x:c>
      <x:c r="E22" t="str">
        <x:v>R10</x:v>
      </x:c>
      <x:c r="F22" t="str">
        <x:v>61–90</x:v>
      </x:c>
      <x:c r="G22" t="n">
        <x:v>2.5</x:v>
      </x:c>
      <x:c r="H22" t="n">
        <x:v>8</x:v>
      </x:c>
      <x:c r="I22" s="63" t="n">
        <x:v>93.585703125</x:v>
      </x:c>
      <x:c r="J22" s="63" t="n">
        <x:v>88.405</x:v>
      </x:c>
      <x:c r="K22" s="63" t="n">
        <x:v>82.87679687500001</x:v>
      </x:c>
      <x:c r="L22" s="63" t="n">
        <x:v>10.89</x:v>
      </x:c>
      <x:c r="M22" t="str">
        <x:v>ACCEPTABLE</x:v>
      </x:c>
      <x:c r="N22" t="str">
        <x:v>MODEL_INFERRED</x:v>
      </x:c>
      <x:c r="O22" t="str">
        <x:v>USER_REVIEW_REQUIRED</x:v>
      </x:c>
    </x:row>
    <x:row r="23">
      <x:c r="A23" t="str">
        <x:v>FR2024_OXA484_ALL</x:v>
      </x:c>
      <x:c r="B23" t="str">
        <x:v>French OXA-484-producing Enterobacterales, all isolates (2018–2023)</x:v>
      </x:c>
      <x:c r="C23" t="str">
        <x:v>SENSITIVITY_DONOR</x:v>
      </x:c>
      <x:c r="D23" t="str">
        <x:v>UPPER_BOUND_64</x:v>
      </x:c>
      <x:c r="E23" t="str">
        <x:v>R11</x:v>
      </x:c>
      <x:c r="F23" t="str">
        <x:v>91–120</x:v>
      </x:c>
      <x:c r="G23" t="n">
        <x:v>2.5</x:v>
      </x:c>
      <x:c r="H23" t="n">
        <x:v>8</x:v>
      </x:c>
      <x:c r="I23" s="63" t="n">
        <x:v>93.36101562500001</x:v>
      </x:c>
      <x:c r="J23" s="63" t="n">
        <x:v>78.18</x:v>
      </x:c>
      <x:c r="K23" s="63" t="n">
        <x:v>73.2834375</x:v>
      </x:c>
      <x:c r="L23" s="63" t="n">
        <x:v>5.1499999999999995</x:v>
      </x:c>
      <x:c r="M23" t="str">
        <x:v>LOW</x:v>
      </x:c>
      <x:c r="N23" t="str">
        <x:v>MODEL_INFERRED</x:v>
      </x:c>
      <x:c r="O23" t="str">
        <x:v>USER_REVIEW_REQUIRED</x:v>
      </x:c>
    </x:row>
    <x:row r="24">
      <x:c r="A24" t="str">
        <x:v>FR2024_OXA484_ALL</x:v>
      </x:c>
      <x:c r="B24" t="str">
        <x:v>French OXA-484-producing Enterobacterales, all isolates (2018–2023)</x:v>
      </x:c>
      <x:c r="C24" t="str">
        <x:v>SENSITIVITY_DONOR</x:v>
      </x:c>
      <x:c r="D24" t="str">
        <x:v>UPPER_BOUND_64</x:v>
      </x:c>
      <x:c r="E24" t="str">
        <x:v>R12</x:v>
      </x:c>
      <x:c r="F24" t="str">
        <x:v>91–120</x:v>
      </x:c>
      <x:c r="G24" t="n">
        <x:v>2.5</x:v>
      </x:c>
      <x:c r="H24" t="n">
        <x:v>6</x:v>
      </x:c>
      <x:c r="I24" s="63" t="n">
        <x:v>93.627734375</x:v>
      </x:c>
      <x:c r="J24" s="63" t="n">
        <x:v>88.46000000000001</x:v>
      </x:c>
      <x:c r="K24" s="63" t="n">
        <x:v>82.93765625</x:v>
      </x:c>
      <x:c r="L24" s="63" t="n">
        <x:v>12.32</x:v>
      </x:c>
      <x:c r="M24" t="str">
        <x:v>ACCEPTABLE</x:v>
      </x:c>
      <x:c r="N24" t="str">
        <x:v>MODEL_INFERRED</x:v>
      </x:c>
      <x:c r="O24" t="str">
        <x:v>USER_REVIEW_REQUIRED</x:v>
      </x:c>
    </x:row>
    <x:row r="25">
      <x:c r="A25" t="str">
        <x:v>FR2024_OXA484_ALL</x:v>
      </x:c>
      <x:c r="B25" t="str">
        <x:v>French OXA-484-producing Enterobacterales, all isolates (2018–2023)</x:v>
      </x:c>
      <x:c r="C25" t="str">
        <x:v>SENSITIVITY_DONOR</x:v>
      </x:c>
      <x:c r="D25" t="str">
        <x:v>UPPER_BOUND_64</x:v>
      </x:c>
      <x:c r="E25" t="str">
        <x:v>R13</x:v>
      </x:c>
      <x:c r="F25" t="str">
        <x:v>121–150</x:v>
      </x:c>
      <x:c r="G25" t="n">
        <x:v>2.5</x:v>
      </x:c>
      <x:c r="H25" t="n">
        <x:v>6</x:v>
      </x:c>
      <x:c r="I25" s="63" t="n">
        <x:v>93.48531249999999</x:v>
      </x:c>
      <x:c r="J25" s="63" t="n">
        <x:v>81.245</x:v>
      </x:c>
      <x:c r="K25" s="63" t="n">
        <x:v>76.16406250000001</x:v>
      </x:c>
      <x:c r="L25" s="63" t="n">
        <x:v>7.33</x:v>
      </x:c>
      <x:c r="M25" t="str">
        <x:v>LOW</x:v>
      </x:c>
      <x:c r="N25" t="str">
        <x:v>MODEL_INFERRED</x:v>
      </x:c>
      <x:c r="O25" t="str">
        <x:v>USER_REVIEW_REQUIRED</x:v>
      </x:c>
    </x:row>
    <x:row r="26">
      <x:c r="A26" t="str">
        <x:v>FR2024_OXA484_SERINE_ONLY</x:v>
      </x:c>
      <x:c r="B26" t="str">
        <x:v>French OXA-484-producing Enterobacterales without NDM co-production</x:v>
      </x:c>
      <x:c r="C26" t="str">
        <x:v>PREFERRED_FRENCH_SENSITIVITY</x:v>
      </x:c>
      <x:c r="D26" t="str">
        <x:v>NEXT_DILUTION_32</x:v>
      </x:c>
      <x:c r="E26" t="str">
        <x:v>R1</x:v>
      </x:c>
      <x:c r="F26" t="str">
        <x:v>0–30</x:v>
      </x:c>
      <x:c r="G26" t="n">
        <x:v>0.625</x:v>
      </x:c>
      <x:c r="H26" t="n">
        <x:v>12</x:v>
      </x:c>
      <x:c r="I26" s="63" t="n">
        <x:v>98.064</x:v>
      </x:c>
      <x:c r="J26" s="63" t="n">
        <x:v>74.88000000000001</x:v>
      </x:c>
      <x:c r="K26" s="63" t="n">
        <x:v>74.74716666666667</x:v>
      </x:c>
      <x:c r="L26" s="63" t="n">
        <x:v>8.924999999999999</x:v>
      </x:c>
      <x:c r="M26" t="str">
        <x:v>LOW</x:v>
      </x:c>
      <x:c r="N26" t="str">
        <x:v>MODEL_INFERRED</x:v>
      </x:c>
      <x:c r="O26" t="str">
        <x:v>USER_REVIEW_REQUIRED</x:v>
      </x:c>
    </x:row>
    <x:row r="27">
      <x:c r="A27" t="str">
        <x:v>FR2024_OXA484_SERINE_ONLY</x:v>
      </x:c>
      <x:c r="B27" t="str">
        <x:v>French OXA-484-producing Enterobacterales without NDM co-production</x:v>
      </x:c>
      <x:c r="C27" t="str">
        <x:v>PREFERRED_FRENCH_SENSITIVITY</x:v>
      </x:c>
      <x:c r="D27" t="str">
        <x:v>NEXT_DILUTION_32</x:v>
      </x:c>
      <x:c r="E27" t="str">
        <x:v>R2</x:v>
      </x:c>
      <x:c r="F27" t="str">
        <x:v>0–30</x:v>
      </x:c>
      <x:c r="G27" t="n">
        <x:v>0.625</x:v>
      </x:c>
      <x:c r="H27" t="n">
        <x:v>8</x:v>
      </x:c>
      <x:c r="I27" s="63" t="n">
        <x:v>99.35666666666667</x:v>
      </x:c>
      <x:c r="J27" s="63" t="n">
        <x:v>87.38</x:v>
      </x:c>
      <x:c r="K27" s="63" t="n">
        <x:v>87.30858333333333</x:v>
      </x:c>
      <x:c r="L27" s="63" t="n">
        <x:v>16.009999999999998</x:v>
      </x:c>
      <x:c r="M27" t="str">
        <x:v>ACCEPTABLE</x:v>
      </x:c>
      <x:c r="N27" t="str">
        <x:v>MODEL_INFERRED</x:v>
      </x:c>
      <x:c r="O27" t="str">
        <x:v>USER_REVIEW_REQUIRED</x:v>
      </x:c>
    </x:row>
    <x:row r="28">
      <x:c r="A28" t="str">
        <x:v>FR2024_OXA484_SERINE_ONLY</x:v>
      </x:c>
      <x:c r="B28" t="str">
        <x:v>French OXA-484-producing Enterobacterales without NDM co-production</x:v>
      </x:c>
      <x:c r="C28" t="str">
        <x:v>PREFERRED_FRENCH_SENSITIVITY</x:v>
      </x:c>
      <x:c r="D28" t="str">
        <x:v>NEXT_DILUTION_32</x:v>
      </x:c>
      <x:c r="E28" t="str">
        <x:v>R5</x:v>
      </x:c>
      <x:c r="F28" t="str">
        <x:v>31–60</x:v>
      </x:c>
      <x:c r="G28" t="n">
        <x:v>0.625</x:v>
      </x:c>
      <x:c r="H28" t="n">
        <x:v>8</x:v>
      </x:c>
      <x:c r="I28" s="63" t="n">
        <x:v>95.945</x:v>
      </x:c>
      <x:c r="J28" s="63" t="n">
        <x:v>44.964999999999996</x:v>
      </x:c>
      <x:c r="K28" s="63" t="n">
        <x:v>44.87024999999999</x:v>
      </x:c>
      <x:c r="L28" s="63" t="n">
        <x:v>0.245</x:v>
      </x:c>
      <x:c r="M28" t="str">
        <x:v>LOW</x:v>
      </x:c>
      <x:c r="N28" t="str">
        <x:v>MODEL_INFERRED</x:v>
      </x:c>
      <x:c r="O28" t="str">
        <x:v>USER_REVIEW_REQUIRED</x:v>
      </x:c>
    </x:row>
    <x:row r="29">
      <x:c r="A29" t="str">
        <x:v>FR2024_OXA484_SERINE_ONLY</x:v>
      </x:c>
      <x:c r="B29" t="str">
        <x:v>French OXA-484-producing Enterobacterales without NDM co-production</x:v>
      </x:c>
      <x:c r="C29" t="str">
        <x:v>PREFERRED_FRENCH_SENSITIVITY</x:v>
      </x:c>
      <x:c r="D29" t="str">
        <x:v>NEXT_DILUTION_32</x:v>
      </x:c>
      <x:c r="E29" t="str">
        <x:v>R6</x:v>
      </x:c>
      <x:c r="F29" t="str">
        <x:v>31–60</x:v>
      </x:c>
      <x:c r="G29" t="n">
        <x:v>1.25</x:v>
      </x:c>
      <x:c r="H29" t="n">
        <x:v>12</x:v>
      </x:c>
      <x:c r="I29" s="63" t="n">
        <x:v>97.98833333333333</x:v>
      </x:c>
      <x:c r="J29" s="63" t="n">
        <x:v>61.03499999999999</x:v>
      </x:c>
      <x:c r="K29" s="63" t="n">
        <x:v>60.957583333333325</x:v>
      </x:c>
      <x:c r="L29" s="63" t="n">
        <x:v>0.89</x:v>
      </x:c>
      <x:c r="M29" t="str">
        <x:v>LOW</x:v>
      </x:c>
      <x:c r="N29" t="str">
        <x:v>MODEL_INFERRED</x:v>
      </x:c>
      <x:c r="O29" t="str">
        <x:v>USER_REVIEW_REQUIRED</x:v>
      </x:c>
    </x:row>
    <x:row r="30">
      <x:c r="A30" t="str">
        <x:v>FR2024_OXA484_SERINE_ONLY</x:v>
      </x:c>
      <x:c r="B30" t="str">
        <x:v>French OXA-484-producing Enterobacterales without NDM co-production</x:v>
      </x:c>
      <x:c r="C30" t="str">
        <x:v>PREFERRED_FRENCH_SENSITIVITY</x:v>
      </x:c>
      <x:c r="D30" t="str">
        <x:v>NEXT_DILUTION_32</x:v>
      </x:c>
      <x:c r="E30" t="str">
        <x:v>R7</x:v>
      </x:c>
      <x:c r="F30" t="str">
        <x:v>31–60</x:v>
      </x:c>
      <x:c r="G30" t="n">
        <x:v>1.25</x:v>
      </x:c>
      <x:c r="H30" t="n">
        <x:v>8</x:v>
      </x:c>
      <x:c r="I30" s="63" t="n">
        <x:v>99.3775</x:v>
      </x:c>
      <x:c r="J30" s="63" t="n">
        <x:v>80.435</x:v>
      </x:c>
      <x:c r="K30" s="63" t="n">
        <x:v>80.39266666666667</x:v>
      </x:c>
      <x:c r="L30" s="63" t="n">
        <x:v>3.8350000000000004</x:v>
      </x:c>
      <x:c r="M30" t="str">
        <x:v>ACCEPTABLE</x:v>
      </x:c>
      <x:c r="N30" t="str">
        <x:v>MODEL_INFERRED</x:v>
      </x:c>
      <x:c r="O30" t="str">
        <x:v>USER_REVIEW_REQUIRED</x:v>
      </x:c>
    </x:row>
    <x:row r="31">
      <x:c r="A31" t="str">
        <x:v>FR2024_OXA484_SERINE_ONLY</x:v>
      </x:c>
      <x:c r="B31" t="str">
        <x:v>French OXA-484-producing Enterobacterales without NDM co-production</x:v>
      </x:c>
      <x:c r="C31" t="str">
        <x:v>PREFERRED_FRENCH_SENSITIVITY</x:v>
      </x:c>
      <x:c r="D31" t="str">
        <x:v>NEXT_DILUTION_32</x:v>
      </x:c>
      <x:c r="E31" t="str">
        <x:v>R8</x:v>
      </x:c>
      <x:c r="F31" t="str">
        <x:v>31–60</x:v>
      </x:c>
      <x:c r="G31" t="n">
        <x:v>2.5</x:v>
      </x:c>
      <x:c r="H31" t="n">
        <x:v>12</x:v>
      </x:c>
      <x:c r="I31" s="63" t="n">
        <x:v>99.77091666666668</x:v>
      </x:c>
      <x:c r="J31" s="63" t="n">
        <x:v>89.45</x:v>
      </x:c>
      <x:c r="K31" s="63" t="n">
        <x:v>89.43050000000001</x:v>
      </x:c>
      <x:c r="L31" s="63" t="n">
        <x:v>9.335</x:v>
      </x:c>
      <x:c r="M31" t="str">
        <x:v>ACCEPTABLE</x:v>
      </x:c>
      <x:c r="N31" t="str">
        <x:v>MODEL_INFERRED</x:v>
      </x:c>
      <x:c r="O31" t="str">
        <x:v>USER_REVIEW_REQUIRED</x:v>
      </x:c>
    </x:row>
    <x:row r="32">
      <x:c r="A32" t="str">
        <x:v>FR2024_OXA484_SERINE_ONLY</x:v>
      </x:c>
      <x:c r="B32" t="str">
        <x:v>French OXA-484-producing Enterobacterales without NDM co-production</x:v>
      </x:c>
      <x:c r="C32" t="str">
        <x:v>PREFERRED_FRENCH_SENSITIVITY</x:v>
      </x:c>
      <x:c r="D32" t="str">
        <x:v>NEXT_DILUTION_32</x:v>
      </x:c>
      <x:c r="E32" t="str">
        <x:v>R9</x:v>
      </x:c>
      <x:c r="F32" t="str">
        <x:v>61–90</x:v>
      </x:c>
      <x:c r="G32" t="n">
        <x:v>2.5</x:v>
      </x:c>
      <x:c r="H32" t="n">
        <x:v>12</x:v>
      </x:c>
      <x:c r="I32" s="63" t="n">
        <x:v>99.23916666666668</x:v>
      </x:c>
      <x:c r="J32" s="63" t="n">
        <x:v>73.225</x:v>
      </x:c>
      <x:c r="K32" s="63" t="n">
        <x:v>73.19866666666667</x:v>
      </x:c>
      <x:c r="L32" s="63" t="n">
        <x:v>2.98</x:v>
      </x:c>
      <x:c r="M32" t="str">
        <x:v>LOW</x:v>
      </x:c>
      <x:c r="N32" t="str">
        <x:v>MODEL_INFERRED</x:v>
      </x:c>
      <x:c r="O32" t="str">
        <x:v>USER_REVIEW_REQUIRED</x:v>
      </x:c>
    </x:row>
    <x:row r="33">
      <x:c r="A33" t="str">
        <x:v>FR2024_OXA484_SERINE_ONLY</x:v>
      </x:c>
      <x:c r="B33" t="str">
        <x:v>French OXA-484-producing Enterobacterales without NDM co-production</x:v>
      </x:c>
      <x:c r="C33" t="str">
        <x:v>PREFERRED_FRENCH_SENSITIVITY</x:v>
      </x:c>
      <x:c r="D33" t="str">
        <x:v>NEXT_DILUTION_32</x:v>
      </x:c>
      <x:c r="E33" t="str">
        <x:v>R10</x:v>
      </x:c>
      <x:c r="F33" t="str">
        <x:v>61–90</x:v>
      </x:c>
      <x:c r="G33" t="n">
        <x:v>2.5</x:v>
      </x:c>
      <x:c r="H33" t="n">
        <x:v>8</x:v>
      </x:c>
      <x:c r="I33" s="63" t="n">
        <x:v>99.81708333333334</x:v>
      </x:c>
      <x:c r="J33" s="63" t="n">
        <x:v>88.40500000000002</x:v>
      </x:c>
      <x:c r="K33" s="63" t="n">
        <x:v>88.39425000000001</x:v>
      </x:c>
      <x:c r="L33" s="63" t="n">
        <x:v>10.89</x:v>
      </x:c>
      <x:c r="M33" t="str">
        <x:v>ACCEPTABLE</x:v>
      </x:c>
      <x:c r="N33" t="str">
        <x:v>MODEL_INFERRED</x:v>
      </x:c>
      <x:c r="O33" t="str">
        <x:v>USER_REVIEW_REQUIRED</x:v>
      </x:c>
    </x:row>
    <x:row r="34">
      <x:c r="A34" t="str">
        <x:v>FR2024_OXA484_SERINE_ONLY</x:v>
      </x:c>
      <x:c r="B34" t="str">
        <x:v>French OXA-484-producing Enterobacterales without NDM co-production</x:v>
      </x:c>
      <x:c r="C34" t="str">
        <x:v>PREFERRED_FRENCH_SENSITIVITY</x:v>
      </x:c>
      <x:c r="D34" t="str">
        <x:v>NEXT_DILUTION_32</x:v>
      </x:c>
      <x:c r="E34" t="str">
        <x:v>R11</x:v>
      </x:c>
      <x:c r="F34" t="str">
        <x:v>91–120</x:v>
      </x:c>
      <x:c r="G34" t="n">
        <x:v>2.5</x:v>
      </x:c>
      <x:c r="H34" t="n">
        <x:v>8</x:v>
      </x:c>
      <x:c r="I34" s="63" t="n">
        <x:v>99.58408333333333</x:v>
      </x:c>
      <x:c r="J34" s="63" t="n">
        <x:v>78.18</x:v>
      </x:c>
      <x:c r="K34" s="63" t="n">
        <x:v>78.168</x:v>
      </x:c>
      <x:c r="L34" s="63" t="n">
        <x:v>5.1499999999999995</x:v>
      </x:c>
      <x:c r="M34" t="str">
        <x:v>LOW</x:v>
      </x:c>
      <x:c r="N34" t="str">
        <x:v>MODEL_INFERRED</x:v>
      </x:c>
      <x:c r="O34" t="str">
        <x:v>USER_REVIEW_REQUIRED</x:v>
      </x:c>
    </x:row>
    <x:row r="35">
      <x:c r="A35" t="str">
        <x:v>FR2024_OXA484_SERINE_ONLY</x:v>
      </x:c>
      <x:c r="B35" t="str">
        <x:v>French OXA-484-producing Enterobacterales without NDM co-production</x:v>
      </x:c>
      <x:c r="C35" t="str">
        <x:v>PREFERRED_FRENCH_SENSITIVITY</x:v>
      </x:c>
      <x:c r="D35" t="str">
        <x:v>NEXT_DILUTION_32</x:v>
      </x:c>
      <x:c r="E35" t="str">
        <x:v>R12</x:v>
      </x:c>
      <x:c r="F35" t="str">
        <x:v>91–120</x:v>
      </x:c>
      <x:c r="G35" t="n">
        <x:v>2.5</x:v>
      </x:c>
      <x:c r="H35" t="n">
        <x:v>6</x:v>
      </x:c>
      <x:c r="I35" s="63" t="n">
        <x:v>99.85624999999999</x:v>
      </x:c>
      <x:c r="J35" s="63" t="n">
        <x:v>88.46000000000001</x:v>
      </x:c>
      <x:c r="K35" s="63" t="n">
        <x:v>88.4535</x:v>
      </x:c>
      <x:c r="L35" s="63" t="n">
        <x:v>12.32</x:v>
      </x:c>
      <x:c r="M35" t="str">
        <x:v>ACCEPTABLE</x:v>
      </x:c>
      <x:c r="N35" t="str">
        <x:v>MODEL_INFERRED</x:v>
      </x:c>
      <x:c r="O35" t="str">
        <x:v>USER_REVIEW_REQUIRED</x:v>
      </x:c>
    </x:row>
    <x:row r="36">
      <x:c r="A36" t="str">
        <x:v>FR2024_OXA484_SERINE_ONLY</x:v>
      </x:c>
      <x:c r="B36" t="str">
        <x:v>French OXA-484-producing Enterobacterales without NDM co-production</x:v>
      </x:c>
      <x:c r="C36" t="str">
        <x:v>PREFERRED_FRENCH_SENSITIVITY</x:v>
      </x:c>
      <x:c r="D36" t="str">
        <x:v>NEXT_DILUTION_32</x:v>
      </x:c>
      <x:c r="E36" t="str">
        <x:v>R13</x:v>
      </x:c>
      <x:c r="F36" t="str">
        <x:v>121–150</x:v>
      </x:c>
      <x:c r="G36" t="n">
        <x:v>2.5</x:v>
      </x:c>
      <x:c r="H36" t="n">
        <x:v>6</x:v>
      </x:c>
      <x:c r="I36" s="63" t="n">
        <x:v>99.71366666666665</x:v>
      </x:c>
      <x:c r="J36" s="63" t="n">
        <x:v>81.24500000000002</x:v>
      </x:c>
      <x:c r="K36" s="63" t="n">
        <x:v>81.23766666666668</x:v>
      </x:c>
      <x:c r="L36" s="63" t="n">
        <x:v>7.33</x:v>
      </x:c>
      <x:c r="M36" t="str">
        <x:v>ACCEPTABLE</x:v>
      </x:c>
      <x:c r="N36" t="str">
        <x:v>MODEL_INFERRED</x:v>
      </x:c>
      <x:c r="O36" t="str">
        <x:v>USER_REVIEW_REQUIRED</x:v>
      </x:c>
    </x:row>
    <x:row r="37">
      <x:c r="A37" t="str">
        <x:v>FR2024_OXA484_SERINE_ONLY</x:v>
      </x:c>
      <x:c r="B37" t="str">
        <x:v>French OXA-484-producing Enterobacterales without NDM co-production</x:v>
      </x:c>
      <x:c r="C37" t="str">
        <x:v>PREFERRED_FRENCH_SENSITIVITY</x:v>
      </x:c>
      <x:c r="D37" t="str">
        <x:v>UPPER_BOUND_64</x:v>
      </x:c>
      <x:c r="E37" t="str">
        <x:v>R1</x:v>
      </x:c>
      <x:c r="F37" t="str">
        <x:v>0–30</x:v>
      </x:c>
      <x:c r="G37" t="n">
        <x:v>0.625</x:v>
      </x:c>
      <x:c r="H37" t="n">
        <x:v>12</x:v>
      </x:c>
      <x:c r="I37" s="63" t="n">
        <x:v>98.064</x:v>
      </x:c>
      <x:c r="J37" s="63" t="n">
        <x:v>74.88000000000001</x:v>
      </x:c>
      <x:c r="K37" s="63" t="n">
        <x:v>74.74716666666667</x:v>
      </x:c>
      <x:c r="L37" s="63" t="n">
        <x:v>8.924999999999999</x:v>
      </x:c>
      <x:c r="M37" t="str">
        <x:v>LOW</x:v>
      </x:c>
      <x:c r="N37" t="str">
        <x:v>MODEL_INFERRED</x:v>
      </x:c>
      <x:c r="O37" t="str">
        <x:v>USER_REVIEW_REQUIRED</x:v>
      </x:c>
    </x:row>
    <x:row r="38">
      <x:c r="A38" t="str">
        <x:v>FR2024_OXA484_SERINE_ONLY</x:v>
      </x:c>
      <x:c r="B38" t="str">
        <x:v>French OXA-484-producing Enterobacterales without NDM co-production</x:v>
      </x:c>
      <x:c r="C38" t="str">
        <x:v>PREFERRED_FRENCH_SENSITIVITY</x:v>
      </x:c>
      <x:c r="D38" t="str">
        <x:v>UPPER_BOUND_64</x:v>
      </x:c>
      <x:c r="E38" t="str">
        <x:v>R2</x:v>
      </x:c>
      <x:c r="F38" t="str">
        <x:v>0–30</x:v>
      </x:c>
      <x:c r="G38" t="n">
        <x:v>0.625</x:v>
      </x:c>
      <x:c r="H38" t="n">
        <x:v>8</x:v>
      </x:c>
      <x:c r="I38" s="63" t="n">
        <x:v>99.35666666666667</x:v>
      </x:c>
      <x:c r="J38" s="63" t="n">
        <x:v>87.38</x:v>
      </x:c>
      <x:c r="K38" s="63" t="n">
        <x:v>87.30858333333333</x:v>
      </x:c>
      <x:c r="L38" s="63" t="n">
        <x:v>16.009999999999998</x:v>
      </x:c>
      <x:c r="M38" t="str">
        <x:v>ACCEPTABLE</x:v>
      </x:c>
      <x:c r="N38" t="str">
        <x:v>MODEL_INFERRED</x:v>
      </x:c>
      <x:c r="O38" t="str">
        <x:v>USER_REVIEW_REQUIRED</x:v>
      </x:c>
    </x:row>
    <x:row r="39">
      <x:c r="A39" t="str">
        <x:v>FR2024_OXA484_SERINE_ONLY</x:v>
      </x:c>
      <x:c r="B39" t="str">
        <x:v>French OXA-484-producing Enterobacterales without NDM co-production</x:v>
      </x:c>
      <x:c r="C39" t="str">
        <x:v>PREFERRED_FRENCH_SENSITIVITY</x:v>
      </x:c>
      <x:c r="D39" t="str">
        <x:v>UPPER_BOUND_64</x:v>
      </x:c>
      <x:c r="E39" t="str">
        <x:v>R5</x:v>
      </x:c>
      <x:c r="F39" t="str">
        <x:v>31–60</x:v>
      </x:c>
      <x:c r="G39" t="n">
        <x:v>0.625</x:v>
      </x:c>
      <x:c r="H39" t="n">
        <x:v>8</x:v>
      </x:c>
      <x:c r="I39" s="63" t="n">
        <x:v>95.945</x:v>
      </x:c>
      <x:c r="J39" s="63" t="n">
        <x:v>44.964999999999996</x:v>
      </x:c>
      <x:c r="K39" s="63" t="n">
        <x:v>44.87024999999999</x:v>
      </x:c>
      <x:c r="L39" s="63" t="n">
        <x:v>0.245</x:v>
      </x:c>
      <x:c r="M39" t="str">
        <x:v>LOW</x:v>
      </x:c>
      <x:c r="N39" t="str">
        <x:v>MODEL_INFERRED</x:v>
      </x:c>
      <x:c r="O39" t="str">
        <x:v>USER_REVIEW_REQUIRED</x:v>
      </x:c>
    </x:row>
    <x:row r="40">
      <x:c r="A40" t="str">
        <x:v>FR2024_OXA484_SERINE_ONLY</x:v>
      </x:c>
      <x:c r="B40" t="str">
        <x:v>French OXA-484-producing Enterobacterales without NDM co-production</x:v>
      </x:c>
      <x:c r="C40" t="str">
        <x:v>PREFERRED_FRENCH_SENSITIVITY</x:v>
      </x:c>
      <x:c r="D40" t="str">
        <x:v>UPPER_BOUND_64</x:v>
      </x:c>
      <x:c r="E40" t="str">
        <x:v>R6</x:v>
      </x:c>
      <x:c r="F40" t="str">
        <x:v>31–60</x:v>
      </x:c>
      <x:c r="G40" t="n">
        <x:v>1.25</x:v>
      </x:c>
      <x:c r="H40" t="n">
        <x:v>12</x:v>
      </x:c>
      <x:c r="I40" s="63" t="n">
        <x:v>97.98833333333333</x:v>
      </x:c>
      <x:c r="J40" s="63" t="n">
        <x:v>61.03499999999999</x:v>
      </x:c>
      <x:c r="K40" s="63" t="n">
        <x:v>60.957583333333325</x:v>
      </x:c>
      <x:c r="L40" s="63" t="n">
        <x:v>0.89</x:v>
      </x:c>
      <x:c r="M40" t="str">
        <x:v>LOW</x:v>
      </x:c>
      <x:c r="N40" t="str">
        <x:v>MODEL_INFERRED</x:v>
      </x:c>
      <x:c r="O40" t="str">
        <x:v>USER_REVIEW_REQUIRED</x:v>
      </x:c>
    </x:row>
    <x:row r="41">
      <x:c r="A41" t="str">
        <x:v>FR2024_OXA484_SERINE_ONLY</x:v>
      </x:c>
      <x:c r="B41" t="str">
        <x:v>French OXA-484-producing Enterobacterales without NDM co-production</x:v>
      </x:c>
      <x:c r="C41" t="str">
        <x:v>PREFERRED_FRENCH_SENSITIVITY</x:v>
      </x:c>
      <x:c r="D41" t="str">
        <x:v>UPPER_BOUND_64</x:v>
      </x:c>
      <x:c r="E41" t="str">
        <x:v>R7</x:v>
      </x:c>
      <x:c r="F41" t="str">
        <x:v>31–60</x:v>
      </x:c>
      <x:c r="G41" t="n">
        <x:v>1.25</x:v>
      </x:c>
      <x:c r="H41" t="n">
        <x:v>8</x:v>
      </x:c>
      <x:c r="I41" s="63" t="n">
        <x:v>99.3775</x:v>
      </x:c>
      <x:c r="J41" s="63" t="n">
        <x:v>80.435</x:v>
      </x:c>
      <x:c r="K41" s="63" t="n">
        <x:v>80.39266666666667</x:v>
      </x:c>
      <x:c r="L41" s="63" t="n">
        <x:v>3.8350000000000004</x:v>
      </x:c>
      <x:c r="M41" t="str">
        <x:v>ACCEPTABLE</x:v>
      </x:c>
      <x:c r="N41" t="str">
        <x:v>MODEL_INFERRED</x:v>
      </x:c>
      <x:c r="O41" t="str">
        <x:v>USER_REVIEW_REQUIRED</x:v>
      </x:c>
    </x:row>
    <x:row r="42">
      <x:c r="A42" t="str">
        <x:v>FR2024_OXA484_SERINE_ONLY</x:v>
      </x:c>
      <x:c r="B42" t="str">
        <x:v>French OXA-484-producing Enterobacterales without NDM co-production</x:v>
      </x:c>
      <x:c r="C42" t="str">
        <x:v>PREFERRED_FRENCH_SENSITIVITY</x:v>
      </x:c>
      <x:c r="D42" t="str">
        <x:v>UPPER_BOUND_64</x:v>
      </x:c>
      <x:c r="E42" t="str">
        <x:v>R8</x:v>
      </x:c>
      <x:c r="F42" t="str">
        <x:v>31–60</x:v>
      </x:c>
      <x:c r="G42" t="n">
        <x:v>2.5</x:v>
      </x:c>
      <x:c r="H42" t="n">
        <x:v>12</x:v>
      </x:c>
      <x:c r="I42" s="63" t="n">
        <x:v>99.77091666666668</x:v>
      </x:c>
      <x:c r="J42" s="63" t="n">
        <x:v>89.45</x:v>
      </x:c>
      <x:c r="K42" s="63" t="n">
        <x:v>89.43050000000001</x:v>
      </x:c>
      <x:c r="L42" s="63" t="n">
        <x:v>9.335</x:v>
      </x:c>
      <x:c r="M42" t="str">
        <x:v>ACCEPTABLE</x:v>
      </x:c>
      <x:c r="N42" t="str">
        <x:v>MODEL_INFERRED</x:v>
      </x:c>
      <x:c r="O42" t="str">
        <x:v>USER_REVIEW_REQUIRED</x:v>
      </x:c>
    </x:row>
    <x:row r="43">
      <x:c r="A43" t="str">
        <x:v>FR2024_OXA484_SERINE_ONLY</x:v>
      </x:c>
      <x:c r="B43" t="str">
        <x:v>French OXA-484-producing Enterobacterales without NDM co-production</x:v>
      </x:c>
      <x:c r="C43" t="str">
        <x:v>PREFERRED_FRENCH_SENSITIVITY</x:v>
      </x:c>
      <x:c r="D43" t="str">
        <x:v>UPPER_BOUND_64</x:v>
      </x:c>
      <x:c r="E43" t="str">
        <x:v>R9</x:v>
      </x:c>
      <x:c r="F43" t="str">
        <x:v>61–90</x:v>
      </x:c>
      <x:c r="G43" t="n">
        <x:v>2.5</x:v>
      </x:c>
      <x:c r="H43" t="n">
        <x:v>12</x:v>
      </x:c>
      <x:c r="I43" s="63" t="n">
        <x:v>99.23916666666668</x:v>
      </x:c>
      <x:c r="J43" s="63" t="n">
        <x:v>73.225</x:v>
      </x:c>
      <x:c r="K43" s="63" t="n">
        <x:v>73.19866666666667</x:v>
      </x:c>
      <x:c r="L43" s="63" t="n">
        <x:v>2.98</x:v>
      </x:c>
      <x:c r="M43" t="str">
        <x:v>LOW</x:v>
      </x:c>
      <x:c r="N43" t="str">
        <x:v>MODEL_INFERRED</x:v>
      </x:c>
      <x:c r="O43" t="str">
        <x:v>USER_REVIEW_REQUIRED</x:v>
      </x:c>
    </x:row>
    <x:row r="44">
      <x:c r="A44" t="str">
        <x:v>FR2024_OXA484_SERINE_ONLY</x:v>
      </x:c>
      <x:c r="B44" t="str">
        <x:v>French OXA-484-producing Enterobacterales without NDM co-production</x:v>
      </x:c>
      <x:c r="C44" t="str">
        <x:v>PREFERRED_FRENCH_SENSITIVITY</x:v>
      </x:c>
      <x:c r="D44" t="str">
        <x:v>UPPER_BOUND_64</x:v>
      </x:c>
      <x:c r="E44" t="str">
        <x:v>R10</x:v>
      </x:c>
      <x:c r="F44" t="str">
        <x:v>61–90</x:v>
      </x:c>
      <x:c r="G44" t="n">
        <x:v>2.5</x:v>
      </x:c>
      <x:c r="H44" t="n">
        <x:v>8</x:v>
      </x:c>
      <x:c r="I44" s="63" t="n">
        <x:v>99.81708333333334</x:v>
      </x:c>
      <x:c r="J44" s="63" t="n">
        <x:v>88.40500000000002</x:v>
      </x:c>
      <x:c r="K44" s="63" t="n">
        <x:v>88.39425000000001</x:v>
      </x:c>
      <x:c r="L44" s="63" t="n">
        <x:v>10.89</x:v>
      </x:c>
      <x:c r="M44" t="str">
        <x:v>ACCEPTABLE</x:v>
      </x:c>
      <x:c r="N44" t="str">
        <x:v>MODEL_INFERRED</x:v>
      </x:c>
      <x:c r="O44" t="str">
        <x:v>USER_REVIEW_REQUIRED</x:v>
      </x:c>
    </x:row>
    <x:row r="45">
      <x:c r="A45" t="str">
        <x:v>FR2024_OXA484_SERINE_ONLY</x:v>
      </x:c>
      <x:c r="B45" t="str">
        <x:v>French OXA-484-producing Enterobacterales without NDM co-production</x:v>
      </x:c>
      <x:c r="C45" t="str">
        <x:v>PREFERRED_FRENCH_SENSITIVITY</x:v>
      </x:c>
      <x:c r="D45" t="str">
        <x:v>UPPER_BOUND_64</x:v>
      </x:c>
      <x:c r="E45" t="str">
        <x:v>R11</x:v>
      </x:c>
      <x:c r="F45" t="str">
        <x:v>91–120</x:v>
      </x:c>
      <x:c r="G45" t="n">
        <x:v>2.5</x:v>
      </x:c>
      <x:c r="H45" t="n">
        <x:v>8</x:v>
      </x:c>
      <x:c r="I45" s="63" t="n">
        <x:v>99.58408333333333</x:v>
      </x:c>
      <x:c r="J45" s="63" t="n">
        <x:v>78.18</x:v>
      </x:c>
      <x:c r="K45" s="63" t="n">
        <x:v>78.168</x:v>
      </x:c>
      <x:c r="L45" s="63" t="n">
        <x:v>5.1499999999999995</x:v>
      </x:c>
      <x:c r="M45" t="str">
        <x:v>LOW</x:v>
      </x:c>
      <x:c r="N45" t="str">
        <x:v>MODEL_INFERRED</x:v>
      </x:c>
      <x:c r="O45" t="str">
        <x:v>USER_REVIEW_REQUIRED</x:v>
      </x:c>
    </x:row>
    <x:row r="46">
      <x:c r="A46" t="str">
        <x:v>FR2024_OXA484_SERINE_ONLY</x:v>
      </x:c>
      <x:c r="B46" t="str">
        <x:v>French OXA-484-producing Enterobacterales without NDM co-production</x:v>
      </x:c>
      <x:c r="C46" t="str">
        <x:v>PREFERRED_FRENCH_SENSITIVITY</x:v>
      </x:c>
      <x:c r="D46" t="str">
        <x:v>UPPER_BOUND_64</x:v>
      </x:c>
      <x:c r="E46" t="str">
        <x:v>R12</x:v>
      </x:c>
      <x:c r="F46" t="str">
        <x:v>91–120</x:v>
      </x:c>
      <x:c r="G46" t="n">
        <x:v>2.5</x:v>
      </x:c>
      <x:c r="H46" t="n">
        <x:v>6</x:v>
      </x:c>
      <x:c r="I46" s="63" t="n">
        <x:v>99.85624999999999</x:v>
      </x:c>
      <x:c r="J46" s="63" t="n">
        <x:v>88.46000000000001</x:v>
      </x:c>
      <x:c r="K46" s="63" t="n">
        <x:v>88.4535</x:v>
      </x:c>
      <x:c r="L46" s="63" t="n">
        <x:v>12.32</x:v>
      </x:c>
      <x:c r="M46" t="str">
        <x:v>ACCEPTABLE</x:v>
      </x:c>
      <x:c r="N46" t="str">
        <x:v>MODEL_INFERRED</x:v>
      </x:c>
      <x:c r="O46" t="str">
        <x:v>USER_REVIEW_REQUIRED</x:v>
      </x:c>
    </x:row>
    <x:row r="47">
      <x:c r="A47" t="str">
        <x:v>FR2024_OXA484_SERINE_ONLY</x:v>
      </x:c>
      <x:c r="B47" t="str">
        <x:v>French OXA-484-producing Enterobacterales without NDM co-production</x:v>
      </x:c>
      <x:c r="C47" t="str">
        <x:v>PREFERRED_FRENCH_SENSITIVITY</x:v>
      </x:c>
      <x:c r="D47" t="str">
        <x:v>UPPER_BOUND_64</x:v>
      </x:c>
      <x:c r="E47" t="str">
        <x:v>R13</x:v>
      </x:c>
      <x:c r="F47" t="str">
        <x:v>121–150</x:v>
      </x:c>
      <x:c r="G47" t="n">
        <x:v>2.5</x:v>
      </x:c>
      <x:c r="H47" t="n">
        <x:v>6</x:v>
      </x:c>
      <x:c r="I47" s="63" t="n">
        <x:v>99.71366666666665</x:v>
      </x:c>
      <x:c r="J47" s="63" t="n">
        <x:v>81.24500000000002</x:v>
      </x:c>
      <x:c r="K47" s="63" t="n">
        <x:v>81.23766666666668</x:v>
      </x:c>
      <x:c r="L47" s="63" t="n">
        <x:v>7.33</x:v>
      </x:c>
      <x:c r="M47" t="str">
        <x:v>ACCEPTABLE</x:v>
      </x:c>
      <x:c r="N47" t="str">
        <x:v>MODEL_INFERRED</x:v>
      </x:c>
      <x:c r="O47" t="str">
        <x:v>USER_REVIEW_REQUIRED</x:v>
      </x:c>
    </x:row>
    <x:row r="48">
      <x:c r="A48" t="str">
        <x:v>FR2024_OXA484_ONLY</x:v>
      </x:c>
      <x:c r="B48" t="str">
        <x:v>French Enterobacterales producing OXA-484 only</x:v>
      </x:c>
      <x:c r="C48" t="str">
        <x:v>STRICT_VARIANT_SENSITIVITY</x:v>
      </x:c>
      <x:c r="D48" t="str">
        <x:v>NEXT_DILUTION_32</x:v>
      </x:c>
      <x:c r="E48" t="str">
        <x:v>R1</x:v>
      </x:c>
      <x:c r="F48" t="str">
        <x:v>0–30</x:v>
      </x:c>
      <x:c r="G48" t="n">
        <x:v>0.625</x:v>
      </x:c>
      <x:c r="H48" t="n">
        <x:v>12</x:v>
      </x:c>
      <x:c r="I48" s="63" t="n">
        <x:v>98.0322033898305</x:v>
      </x:c>
      <x:c r="J48" s="63" t="n">
        <x:v>74.87999999999998</x:v>
      </x:c>
      <x:c r="K48" s="63" t="n">
        <x:v>74.74491525423728</x:v>
      </x:c>
      <x:c r="L48" s="63" t="n">
        <x:v>8.924999999999999</x:v>
      </x:c>
      <x:c r="M48" t="str">
        <x:v>LOW</x:v>
      </x:c>
      <x:c r="N48" t="str">
        <x:v>MODEL_INFERRED</x:v>
      </x:c>
      <x:c r="O48" t="str">
        <x:v>USER_REVIEW_REQUIRED</x:v>
      </x:c>
    </x:row>
    <x:row r="49">
      <x:c r="A49" t="str">
        <x:v>FR2024_OXA484_ONLY</x:v>
      </x:c>
      <x:c r="B49" t="str">
        <x:v>French Enterobacterales producing OXA-484 only</x:v>
      </x:c>
      <x:c r="C49" t="str">
        <x:v>STRICT_VARIANT_SENSITIVITY</x:v>
      </x:c>
      <x:c r="D49" t="str">
        <x:v>NEXT_DILUTION_32</x:v>
      </x:c>
      <x:c r="E49" t="str">
        <x:v>R2</x:v>
      </x:c>
      <x:c r="F49" t="str">
        <x:v>0–30</x:v>
      </x:c>
      <x:c r="G49" t="n">
        <x:v>0.625</x:v>
      </x:c>
      <x:c r="H49" t="n">
        <x:v>8</x:v>
      </x:c>
      <x:c r="I49" s="63" t="n">
        <x:v>99.34576271186441</x:v>
      </x:c>
      <x:c r="J49" s="63" t="n">
        <x:v>87.38</x:v>
      </x:c>
      <x:c r="K49" s="63" t="n">
        <x:v>87.30737288135592</x:v>
      </x:c>
      <x:c r="L49" s="63" t="n">
        <x:v>16.009999999999998</x:v>
      </x:c>
      <x:c r="M49" t="str">
        <x:v>ACCEPTABLE</x:v>
      </x:c>
      <x:c r="N49" t="str">
        <x:v>MODEL_INFERRED</x:v>
      </x:c>
      <x:c r="O49" t="str">
        <x:v>USER_REVIEW_REQUIRED</x:v>
      </x:c>
    </x:row>
    <x:row r="50">
      <x:c r="A50" t="str">
        <x:v>FR2024_OXA484_ONLY</x:v>
      </x:c>
      <x:c r="B50" t="str">
        <x:v>French Enterobacterales producing OXA-484 only</x:v>
      </x:c>
      <x:c r="C50" t="str">
        <x:v>STRICT_VARIANT_SENSITIVITY</x:v>
      </x:c>
      <x:c r="D50" t="str">
        <x:v>NEXT_DILUTION_32</x:v>
      </x:c>
      <x:c r="E50" t="str">
        <x:v>R5</x:v>
      </x:c>
      <x:c r="F50" t="str">
        <x:v>31–60</x:v>
      </x:c>
      <x:c r="G50" t="n">
        <x:v>0.625</x:v>
      </x:c>
      <x:c r="H50" t="n">
        <x:v>8</x:v>
      </x:c>
      <x:c r="I50" s="63" t="n">
        <x:v>95.87737288135594</x:v>
      </x:c>
      <x:c r="J50" s="63" t="n">
        <x:v>44.964999999999996</x:v>
      </x:c>
      <x:c r="K50" s="63" t="n">
        <x:v>44.86864406779661</x:v>
      </x:c>
      <x:c r="L50" s="63" t="n">
        <x:v>0.245</x:v>
      </x:c>
      <x:c r="M50" t="str">
        <x:v>LOW</x:v>
      </x:c>
      <x:c r="N50" t="str">
        <x:v>MODEL_INFERRED</x:v>
      </x:c>
      <x:c r="O50" t="str">
        <x:v>USER_REVIEW_REQUIRED</x:v>
      </x:c>
    </x:row>
    <x:row r="51">
      <x:c r="A51" t="str">
        <x:v>FR2024_OXA484_ONLY</x:v>
      </x:c>
      <x:c r="B51" t="str">
        <x:v>French Enterobacterales producing OXA-484 only</x:v>
      </x:c>
      <x:c r="C51" t="str">
        <x:v>STRICT_VARIANT_SENSITIVITY</x:v>
      </x:c>
      <x:c r="D51" t="str">
        <x:v>NEXT_DILUTION_32</x:v>
      </x:c>
      <x:c r="E51" t="str">
        <x:v>R6</x:v>
      </x:c>
      <x:c r="F51" t="str">
        <x:v>31–60</x:v>
      </x:c>
      <x:c r="G51" t="n">
        <x:v>1.25</x:v>
      </x:c>
      <x:c r="H51" t="n">
        <x:v>12</x:v>
      </x:c>
      <x:c r="I51" s="63" t="n">
        <x:v>97.95432203389831</x:v>
      </x:c>
      <x:c r="J51" s="63" t="n">
        <x:v>61.035000000000004</x:v>
      </x:c>
      <x:c r="K51" s="63" t="n">
        <x:v>60.95627118644068</x:v>
      </x:c>
      <x:c r="L51" s="63" t="n">
        <x:v>0.89</x:v>
      </x:c>
      <x:c r="M51" t="str">
        <x:v>LOW</x:v>
      </x:c>
      <x:c r="N51" t="str">
        <x:v>MODEL_INFERRED</x:v>
      </x:c>
      <x:c r="O51" t="str">
        <x:v>USER_REVIEW_REQUIRED</x:v>
      </x:c>
    </x:row>
    <x:row r="52">
      <x:c r="A52" t="str">
        <x:v>FR2024_OXA484_ONLY</x:v>
      </x:c>
      <x:c r="B52" t="str">
        <x:v>French Enterobacterales producing OXA-484 only</x:v>
      </x:c>
      <x:c r="C52" t="str">
        <x:v>STRICT_VARIANT_SENSITIVITY</x:v>
      </x:c>
      <x:c r="D52" t="str">
        <x:v>NEXT_DILUTION_32</x:v>
      </x:c>
      <x:c r="E52" t="str">
        <x:v>R7</x:v>
      </x:c>
      <x:c r="F52" t="str">
        <x:v>31–60</x:v>
      </x:c>
      <x:c r="G52" t="n">
        <x:v>1.25</x:v>
      </x:c>
      <x:c r="H52" t="n">
        <x:v>8</x:v>
      </x:c>
      <x:c r="I52" s="63" t="n">
        <x:v>99.36694915254238</x:v>
      </x:c>
      <x:c r="J52" s="63" t="n">
        <x:v>80.435</x:v>
      </x:c>
      <x:c r="K52" s="63" t="n">
        <x:v>80.39194915254238</x:v>
      </x:c>
      <x:c r="L52" s="63" t="n">
        <x:v>3.8350000000000004</x:v>
      </x:c>
      <x:c r="M52" t="str">
        <x:v>ACCEPTABLE</x:v>
      </x:c>
      <x:c r="N52" t="str">
        <x:v>MODEL_INFERRED</x:v>
      </x:c>
      <x:c r="O52" t="str">
        <x:v>USER_REVIEW_REQUIRED</x:v>
      </x:c>
    </x:row>
    <x:row r="53">
      <x:c r="A53" t="str">
        <x:v>FR2024_OXA484_ONLY</x:v>
      </x:c>
      <x:c r="B53" t="str">
        <x:v>French Enterobacterales producing OXA-484 only</x:v>
      </x:c>
      <x:c r="C53" t="str">
        <x:v>STRICT_VARIANT_SENSITIVITY</x:v>
      </x:c>
      <x:c r="D53" t="str">
        <x:v>NEXT_DILUTION_32</x:v>
      </x:c>
      <x:c r="E53" t="str">
        <x:v>R8</x:v>
      </x:c>
      <x:c r="F53" t="str">
        <x:v>31–60</x:v>
      </x:c>
      <x:c r="G53" t="n">
        <x:v>2.5</x:v>
      </x:c>
      <x:c r="H53" t="n">
        <x:v>12</x:v>
      </x:c>
      <x:c r="I53" s="63" t="n">
        <x:v>99.76703389830509</x:v>
      </x:c>
      <x:c r="J53" s="63" t="n">
        <x:v>89.45</x:v>
      </x:c>
      <x:c r="K53" s="63" t="n">
        <x:v>89.43016949152543</x:v>
      </x:c>
      <x:c r="L53" s="63" t="n">
        <x:v>9.335</x:v>
      </x:c>
      <x:c r="M53" t="str">
        <x:v>ACCEPTABLE</x:v>
      </x:c>
      <x:c r="N53" t="str">
        <x:v>MODEL_INFERRED</x:v>
      </x:c>
      <x:c r="O53" t="str">
        <x:v>USER_REVIEW_REQUIRED</x:v>
      </x:c>
    </x:row>
    <x:row r="54">
      <x:c r="A54" t="str">
        <x:v>FR2024_OXA484_ONLY</x:v>
      </x:c>
      <x:c r="B54" t="str">
        <x:v>French Enterobacterales producing OXA-484 only</x:v>
      </x:c>
      <x:c r="C54" t="str">
        <x:v>STRICT_VARIANT_SENSITIVITY</x:v>
      </x:c>
      <x:c r="D54" t="str">
        <x:v>NEXT_DILUTION_32</x:v>
      </x:c>
      <x:c r="E54" t="str">
        <x:v>R9</x:v>
      </x:c>
      <x:c r="F54" t="str">
        <x:v>61–90</x:v>
      </x:c>
      <x:c r="G54" t="n">
        <x:v>2.5</x:v>
      </x:c>
      <x:c r="H54" t="n">
        <x:v>12</x:v>
      </x:c>
      <x:c r="I54" s="63" t="n">
        <x:v>99.22635593220339</x:v>
      </x:c>
      <x:c r="J54" s="63" t="n">
        <x:v>73.225</x:v>
      </x:c>
      <x:c r="K54" s="63" t="n">
        <x:v>73.19822033898303</x:v>
      </x:c>
      <x:c r="L54" s="63" t="n">
        <x:v>2.98</x:v>
      </x:c>
      <x:c r="M54" t="str">
        <x:v>LOW</x:v>
      </x:c>
      <x:c r="N54" t="str">
        <x:v>MODEL_INFERRED</x:v>
      </x:c>
      <x:c r="O54" t="str">
        <x:v>USER_REVIEW_REQUIRED</x:v>
      </x:c>
    </x:row>
    <x:row r="55">
      <x:c r="A55" t="str">
        <x:v>FR2024_OXA484_ONLY</x:v>
      </x:c>
      <x:c r="B55" t="str">
        <x:v>French Enterobacterales producing OXA-484 only</x:v>
      </x:c>
      <x:c r="C55" t="str">
        <x:v>STRICT_VARIANT_SENSITIVITY</x:v>
      </x:c>
      <x:c r="D55" t="str">
        <x:v>NEXT_DILUTION_32</x:v>
      </x:c>
      <x:c r="E55" t="str">
        <x:v>R10</x:v>
      </x:c>
      <x:c r="F55" t="str">
        <x:v>61–90</x:v>
      </x:c>
      <x:c r="G55" t="n">
        <x:v>2.5</x:v>
      </x:c>
      <x:c r="H55" t="n">
        <x:v>8</x:v>
      </x:c>
      <x:c r="I55" s="63" t="n">
        <x:v>99.81398305084747</x:v>
      </x:c>
      <x:c r="J55" s="63" t="n">
        <x:v>88.405</x:v>
      </x:c>
      <x:c r="K55" s="63" t="n">
        <x:v>88.39406779661017</x:v>
      </x:c>
      <x:c r="L55" s="63" t="n">
        <x:v>10.89</x:v>
      </x:c>
      <x:c r="M55" t="str">
        <x:v>ACCEPTABLE</x:v>
      </x:c>
      <x:c r="N55" t="str">
        <x:v>MODEL_INFERRED</x:v>
      </x:c>
      <x:c r="O55" t="str">
        <x:v>USER_REVIEW_REQUIRED</x:v>
      </x:c>
    </x:row>
    <x:row r="56">
      <x:c r="A56" t="str">
        <x:v>FR2024_OXA484_ONLY</x:v>
      </x:c>
      <x:c r="B56" t="str">
        <x:v>French Enterobacterales producing OXA-484 only</x:v>
      </x:c>
      <x:c r="C56" t="str">
        <x:v>STRICT_VARIANT_SENSITIVITY</x:v>
      </x:c>
      <x:c r="D56" t="str">
        <x:v>NEXT_DILUTION_32</x:v>
      </x:c>
      <x:c r="E56" t="str">
        <x:v>R11</x:v>
      </x:c>
      <x:c r="F56" t="str">
        <x:v>91–120</x:v>
      </x:c>
      <x:c r="G56" t="n">
        <x:v>2.5</x:v>
      </x:c>
      <x:c r="H56" t="n">
        <x:v>8</x:v>
      </x:c>
      <x:c r="I56" s="63" t="n">
        <x:v>99.57711864406781</x:v>
      </x:c>
      <x:c r="J56" s="63" t="n">
        <x:v>78.18</x:v>
      </x:c>
      <x:c r="K56" s="63" t="n">
        <x:v>78.1677966101695</x:v>
      </x:c>
      <x:c r="L56" s="63" t="n">
        <x:v>5.1499999999999995</x:v>
      </x:c>
      <x:c r="M56" t="str">
        <x:v>LOW</x:v>
      </x:c>
      <x:c r="N56" t="str">
        <x:v>MODEL_INFERRED</x:v>
      </x:c>
      <x:c r="O56" t="str">
        <x:v>USER_REVIEW_REQUIRED</x:v>
      </x:c>
    </x:row>
    <x:row r="57">
      <x:c r="A57" t="str">
        <x:v>FR2024_OXA484_ONLY</x:v>
      </x:c>
      <x:c r="B57" t="str">
        <x:v>French Enterobacterales producing OXA-484 only</x:v>
      </x:c>
      <x:c r="C57" t="str">
        <x:v>STRICT_VARIANT_SENSITIVITY</x:v>
      </x:c>
      <x:c r="D57" t="str">
        <x:v>NEXT_DILUTION_32</x:v>
      </x:c>
      <x:c r="E57" t="str">
        <x:v>R12</x:v>
      </x:c>
      <x:c r="F57" t="str">
        <x:v>91–120</x:v>
      </x:c>
      <x:c r="G57" t="n">
        <x:v>2.5</x:v>
      </x:c>
      <x:c r="H57" t="n">
        <x:v>6</x:v>
      </x:c>
      <x:c r="I57" s="63" t="n">
        <x:v>99.85381355932203</x:v>
      </x:c>
      <x:c r="J57" s="63" t="n">
        <x:v>88.46</x:v>
      </x:c>
      <x:c r="K57" s="63" t="n">
        <x:v>88.45338983050847</x:v>
      </x:c>
      <x:c r="L57" s="63" t="n">
        <x:v>12.32</x:v>
      </x:c>
      <x:c r="M57" t="str">
        <x:v>ACCEPTABLE</x:v>
      </x:c>
      <x:c r="N57" t="str">
        <x:v>MODEL_INFERRED</x:v>
      </x:c>
      <x:c r="O57" t="str">
        <x:v>USER_REVIEW_REQUIRED</x:v>
      </x:c>
    </x:row>
    <x:row r="58">
      <x:c r="A58" t="str">
        <x:v>FR2024_OXA484_ONLY</x:v>
      </x:c>
      <x:c r="B58" t="str">
        <x:v>French Enterobacterales producing OXA-484 only</x:v>
      </x:c>
      <x:c r="C58" t="str">
        <x:v>STRICT_VARIANT_SENSITIVITY</x:v>
      </x:c>
      <x:c r="D58" t="str">
        <x:v>NEXT_DILUTION_32</x:v>
      </x:c>
      <x:c r="E58" t="str">
        <x:v>R13</x:v>
      </x:c>
      <x:c r="F58" t="str">
        <x:v>121–150</x:v>
      </x:c>
      <x:c r="G58" t="n">
        <x:v>2.5</x:v>
      </x:c>
      <x:c r="H58" t="n">
        <x:v>6</x:v>
      </x:c>
      <x:c r="I58" s="63" t="n">
        <x:v>99.70881355932204</x:v>
      </x:c>
      <x:c r="J58" s="63" t="n">
        <x:v>81.24500000000002</x:v>
      </x:c>
      <x:c r="K58" s="63" t="n">
        <x:v>81.23754237288138</x:v>
      </x:c>
      <x:c r="L58" s="63" t="n">
        <x:v>7.33</x:v>
      </x:c>
      <x:c r="M58" t="str">
        <x:v>ACCEPTABLE</x:v>
      </x:c>
      <x:c r="N58" t="str">
        <x:v>MODEL_INFERRED</x:v>
      </x:c>
      <x:c r="O58" t="str">
        <x:v>USER_REVIEW_REQUIRED</x:v>
      </x:c>
    </x:row>
    <x:row r="59">
      <x:c r="A59" t="str">
        <x:v>FR2024_OXA484_ONLY</x:v>
      </x:c>
      <x:c r="B59" t="str">
        <x:v>French Enterobacterales producing OXA-484 only</x:v>
      </x:c>
      <x:c r="C59" t="str">
        <x:v>STRICT_VARIANT_SENSITIVITY</x:v>
      </x:c>
      <x:c r="D59" t="str">
        <x:v>UPPER_BOUND_64</x:v>
      </x:c>
      <x:c r="E59" t="str">
        <x:v>R1</x:v>
      </x:c>
      <x:c r="F59" t="str">
        <x:v>0–30</x:v>
      </x:c>
      <x:c r="G59" t="n">
        <x:v>0.625</x:v>
      </x:c>
      <x:c r="H59" t="n">
        <x:v>12</x:v>
      </x:c>
      <x:c r="I59" s="63" t="n">
        <x:v>98.0322033898305</x:v>
      </x:c>
      <x:c r="J59" s="63" t="n">
        <x:v>74.87999999999998</x:v>
      </x:c>
      <x:c r="K59" s="63" t="n">
        <x:v>74.74491525423728</x:v>
      </x:c>
      <x:c r="L59" s="63" t="n">
        <x:v>8.924999999999999</x:v>
      </x:c>
      <x:c r="M59" t="str">
        <x:v>LOW</x:v>
      </x:c>
      <x:c r="N59" t="str">
        <x:v>MODEL_INFERRED</x:v>
      </x:c>
      <x:c r="O59" t="str">
        <x:v>USER_REVIEW_REQUIRED</x:v>
      </x:c>
    </x:row>
    <x:row r="60">
      <x:c r="A60" t="str">
        <x:v>FR2024_OXA484_ONLY</x:v>
      </x:c>
      <x:c r="B60" t="str">
        <x:v>French Enterobacterales producing OXA-484 only</x:v>
      </x:c>
      <x:c r="C60" t="str">
        <x:v>STRICT_VARIANT_SENSITIVITY</x:v>
      </x:c>
      <x:c r="D60" t="str">
        <x:v>UPPER_BOUND_64</x:v>
      </x:c>
      <x:c r="E60" t="str">
        <x:v>R2</x:v>
      </x:c>
      <x:c r="F60" t="str">
        <x:v>0–30</x:v>
      </x:c>
      <x:c r="G60" t="n">
        <x:v>0.625</x:v>
      </x:c>
      <x:c r="H60" t="n">
        <x:v>8</x:v>
      </x:c>
      <x:c r="I60" s="63" t="n">
        <x:v>99.34576271186441</x:v>
      </x:c>
      <x:c r="J60" s="63" t="n">
        <x:v>87.38</x:v>
      </x:c>
      <x:c r="K60" s="63" t="n">
        <x:v>87.30737288135592</x:v>
      </x:c>
      <x:c r="L60" s="63" t="n">
        <x:v>16.009999999999998</x:v>
      </x:c>
      <x:c r="M60" t="str">
        <x:v>ACCEPTABLE</x:v>
      </x:c>
      <x:c r="N60" t="str">
        <x:v>MODEL_INFERRED</x:v>
      </x:c>
      <x:c r="O60" t="str">
        <x:v>USER_REVIEW_REQUIRED</x:v>
      </x:c>
    </x:row>
    <x:row r="61">
      <x:c r="A61" t="str">
        <x:v>FR2024_OXA484_ONLY</x:v>
      </x:c>
      <x:c r="B61" t="str">
        <x:v>French Enterobacterales producing OXA-484 only</x:v>
      </x:c>
      <x:c r="C61" t="str">
        <x:v>STRICT_VARIANT_SENSITIVITY</x:v>
      </x:c>
      <x:c r="D61" t="str">
        <x:v>UPPER_BOUND_64</x:v>
      </x:c>
      <x:c r="E61" t="str">
        <x:v>R5</x:v>
      </x:c>
      <x:c r="F61" t="str">
        <x:v>31–60</x:v>
      </x:c>
      <x:c r="G61" t="n">
        <x:v>0.625</x:v>
      </x:c>
      <x:c r="H61" t="n">
        <x:v>8</x:v>
      </x:c>
      <x:c r="I61" s="63" t="n">
        <x:v>95.87737288135594</x:v>
      </x:c>
      <x:c r="J61" s="63" t="n">
        <x:v>44.964999999999996</x:v>
      </x:c>
      <x:c r="K61" s="63" t="n">
        <x:v>44.86864406779661</x:v>
      </x:c>
      <x:c r="L61" s="63" t="n">
        <x:v>0.245</x:v>
      </x:c>
      <x:c r="M61" t="str">
        <x:v>LOW</x:v>
      </x:c>
      <x:c r="N61" t="str">
        <x:v>MODEL_INFERRED</x:v>
      </x:c>
      <x:c r="O61" t="str">
        <x:v>USER_REVIEW_REQUIRED</x:v>
      </x:c>
    </x:row>
    <x:row r="62">
      <x:c r="A62" t="str">
        <x:v>FR2024_OXA484_ONLY</x:v>
      </x:c>
      <x:c r="B62" t="str">
        <x:v>French Enterobacterales producing OXA-484 only</x:v>
      </x:c>
      <x:c r="C62" t="str">
        <x:v>STRICT_VARIANT_SENSITIVITY</x:v>
      </x:c>
      <x:c r="D62" t="str">
        <x:v>UPPER_BOUND_64</x:v>
      </x:c>
      <x:c r="E62" t="str">
        <x:v>R6</x:v>
      </x:c>
      <x:c r="F62" t="str">
        <x:v>31–60</x:v>
      </x:c>
      <x:c r="G62" t="n">
        <x:v>1.25</x:v>
      </x:c>
      <x:c r="H62" t="n">
        <x:v>12</x:v>
      </x:c>
      <x:c r="I62" s="63" t="n">
        <x:v>97.95432203389831</x:v>
      </x:c>
      <x:c r="J62" s="63" t="n">
        <x:v>61.035000000000004</x:v>
      </x:c>
      <x:c r="K62" s="63" t="n">
        <x:v>60.95627118644068</x:v>
      </x:c>
      <x:c r="L62" s="63" t="n">
        <x:v>0.89</x:v>
      </x:c>
      <x:c r="M62" t="str">
        <x:v>LOW</x:v>
      </x:c>
      <x:c r="N62" t="str">
        <x:v>MODEL_INFERRED</x:v>
      </x:c>
      <x:c r="O62" t="str">
        <x:v>USER_REVIEW_REQUIRED</x:v>
      </x:c>
    </x:row>
    <x:row r="63">
      <x:c r="A63" t="str">
        <x:v>FR2024_OXA484_ONLY</x:v>
      </x:c>
      <x:c r="B63" t="str">
        <x:v>French Enterobacterales producing OXA-484 only</x:v>
      </x:c>
      <x:c r="C63" t="str">
        <x:v>STRICT_VARIANT_SENSITIVITY</x:v>
      </x:c>
      <x:c r="D63" t="str">
        <x:v>UPPER_BOUND_64</x:v>
      </x:c>
      <x:c r="E63" t="str">
        <x:v>R7</x:v>
      </x:c>
      <x:c r="F63" t="str">
        <x:v>31–60</x:v>
      </x:c>
      <x:c r="G63" t="n">
        <x:v>1.25</x:v>
      </x:c>
      <x:c r="H63" t="n">
        <x:v>8</x:v>
      </x:c>
      <x:c r="I63" s="63" t="n">
        <x:v>99.36694915254238</x:v>
      </x:c>
      <x:c r="J63" s="63" t="n">
        <x:v>80.435</x:v>
      </x:c>
      <x:c r="K63" s="63" t="n">
        <x:v>80.39194915254238</x:v>
      </x:c>
      <x:c r="L63" s="63" t="n">
        <x:v>3.8350000000000004</x:v>
      </x:c>
      <x:c r="M63" t="str">
        <x:v>ACCEPTABLE</x:v>
      </x:c>
      <x:c r="N63" t="str">
        <x:v>MODEL_INFERRED</x:v>
      </x:c>
      <x:c r="O63" t="str">
        <x:v>USER_REVIEW_REQUIRED</x:v>
      </x:c>
    </x:row>
    <x:row r="64">
      <x:c r="A64" t="str">
        <x:v>FR2024_OXA484_ONLY</x:v>
      </x:c>
      <x:c r="B64" t="str">
        <x:v>French Enterobacterales producing OXA-484 only</x:v>
      </x:c>
      <x:c r="C64" t="str">
        <x:v>STRICT_VARIANT_SENSITIVITY</x:v>
      </x:c>
      <x:c r="D64" t="str">
        <x:v>UPPER_BOUND_64</x:v>
      </x:c>
      <x:c r="E64" t="str">
        <x:v>R8</x:v>
      </x:c>
      <x:c r="F64" t="str">
        <x:v>31–60</x:v>
      </x:c>
      <x:c r="G64" t="n">
        <x:v>2.5</x:v>
      </x:c>
      <x:c r="H64" t="n">
        <x:v>12</x:v>
      </x:c>
      <x:c r="I64" s="63" t="n">
        <x:v>99.76703389830509</x:v>
      </x:c>
      <x:c r="J64" s="63" t="n">
        <x:v>89.45</x:v>
      </x:c>
      <x:c r="K64" s="63" t="n">
        <x:v>89.43016949152543</x:v>
      </x:c>
      <x:c r="L64" s="63" t="n">
        <x:v>9.335</x:v>
      </x:c>
      <x:c r="M64" t="str">
        <x:v>ACCEPTABLE</x:v>
      </x:c>
      <x:c r="N64" t="str">
        <x:v>MODEL_INFERRED</x:v>
      </x:c>
      <x:c r="O64" t="str">
        <x:v>USER_REVIEW_REQUIRED</x:v>
      </x:c>
    </x:row>
    <x:row r="65">
      <x:c r="A65" t="str">
        <x:v>FR2024_OXA484_ONLY</x:v>
      </x:c>
      <x:c r="B65" t="str">
        <x:v>French Enterobacterales producing OXA-484 only</x:v>
      </x:c>
      <x:c r="C65" t="str">
        <x:v>STRICT_VARIANT_SENSITIVITY</x:v>
      </x:c>
      <x:c r="D65" t="str">
        <x:v>UPPER_BOUND_64</x:v>
      </x:c>
      <x:c r="E65" t="str">
        <x:v>R9</x:v>
      </x:c>
      <x:c r="F65" t="str">
        <x:v>61–90</x:v>
      </x:c>
      <x:c r="G65" t="n">
        <x:v>2.5</x:v>
      </x:c>
      <x:c r="H65" t="n">
        <x:v>12</x:v>
      </x:c>
      <x:c r="I65" s="63" t="n">
        <x:v>99.22635593220339</x:v>
      </x:c>
      <x:c r="J65" s="63" t="n">
        <x:v>73.225</x:v>
      </x:c>
      <x:c r="K65" s="63" t="n">
        <x:v>73.19822033898303</x:v>
      </x:c>
      <x:c r="L65" s="63" t="n">
        <x:v>2.98</x:v>
      </x:c>
      <x:c r="M65" t="str">
        <x:v>LOW</x:v>
      </x:c>
      <x:c r="N65" t="str">
        <x:v>MODEL_INFERRED</x:v>
      </x:c>
      <x:c r="O65" t="str">
        <x:v>USER_REVIEW_REQUIRED</x:v>
      </x:c>
    </x:row>
    <x:row r="66">
      <x:c r="A66" t="str">
        <x:v>FR2024_OXA484_ONLY</x:v>
      </x:c>
      <x:c r="B66" t="str">
        <x:v>French Enterobacterales producing OXA-484 only</x:v>
      </x:c>
      <x:c r="C66" t="str">
        <x:v>STRICT_VARIANT_SENSITIVITY</x:v>
      </x:c>
      <x:c r="D66" t="str">
        <x:v>UPPER_BOUND_64</x:v>
      </x:c>
      <x:c r="E66" t="str">
        <x:v>R10</x:v>
      </x:c>
      <x:c r="F66" t="str">
        <x:v>61–90</x:v>
      </x:c>
      <x:c r="G66" t="n">
        <x:v>2.5</x:v>
      </x:c>
      <x:c r="H66" t="n">
        <x:v>8</x:v>
      </x:c>
      <x:c r="I66" s="63" t="n">
        <x:v>99.81398305084747</x:v>
      </x:c>
      <x:c r="J66" s="63" t="n">
        <x:v>88.405</x:v>
      </x:c>
      <x:c r="K66" s="63" t="n">
        <x:v>88.39406779661017</x:v>
      </x:c>
      <x:c r="L66" s="63" t="n">
        <x:v>10.89</x:v>
      </x:c>
      <x:c r="M66" t="str">
        <x:v>ACCEPTABLE</x:v>
      </x:c>
      <x:c r="N66" t="str">
        <x:v>MODEL_INFERRED</x:v>
      </x:c>
      <x:c r="O66" t="str">
        <x:v>USER_REVIEW_REQUIRED</x:v>
      </x:c>
    </x:row>
    <x:row r="67">
      <x:c r="A67" t="str">
        <x:v>FR2024_OXA484_ONLY</x:v>
      </x:c>
      <x:c r="B67" t="str">
        <x:v>French Enterobacterales producing OXA-484 only</x:v>
      </x:c>
      <x:c r="C67" t="str">
        <x:v>STRICT_VARIANT_SENSITIVITY</x:v>
      </x:c>
      <x:c r="D67" t="str">
        <x:v>UPPER_BOUND_64</x:v>
      </x:c>
      <x:c r="E67" t="str">
        <x:v>R11</x:v>
      </x:c>
      <x:c r="F67" t="str">
        <x:v>91–120</x:v>
      </x:c>
      <x:c r="G67" t="n">
        <x:v>2.5</x:v>
      </x:c>
      <x:c r="H67" t="n">
        <x:v>8</x:v>
      </x:c>
      <x:c r="I67" s="63" t="n">
        <x:v>99.57711864406781</x:v>
      </x:c>
      <x:c r="J67" s="63" t="n">
        <x:v>78.18</x:v>
      </x:c>
      <x:c r="K67" s="63" t="n">
        <x:v>78.1677966101695</x:v>
      </x:c>
      <x:c r="L67" s="63" t="n">
        <x:v>5.1499999999999995</x:v>
      </x:c>
      <x:c r="M67" t="str">
        <x:v>LOW</x:v>
      </x:c>
      <x:c r="N67" t="str">
        <x:v>MODEL_INFERRED</x:v>
      </x:c>
      <x:c r="O67" t="str">
        <x:v>USER_REVIEW_REQUIRED</x:v>
      </x:c>
    </x:row>
    <x:row r="68">
      <x:c r="A68" t="str">
        <x:v>FR2024_OXA484_ONLY</x:v>
      </x:c>
      <x:c r="B68" t="str">
        <x:v>French Enterobacterales producing OXA-484 only</x:v>
      </x:c>
      <x:c r="C68" t="str">
        <x:v>STRICT_VARIANT_SENSITIVITY</x:v>
      </x:c>
      <x:c r="D68" t="str">
        <x:v>UPPER_BOUND_64</x:v>
      </x:c>
      <x:c r="E68" t="str">
        <x:v>R12</x:v>
      </x:c>
      <x:c r="F68" t="str">
        <x:v>91–120</x:v>
      </x:c>
      <x:c r="G68" t="n">
        <x:v>2.5</x:v>
      </x:c>
      <x:c r="H68" t="n">
        <x:v>6</x:v>
      </x:c>
      <x:c r="I68" s="63" t="n">
        <x:v>99.85381355932203</x:v>
      </x:c>
      <x:c r="J68" s="63" t="n">
        <x:v>88.46</x:v>
      </x:c>
      <x:c r="K68" s="63" t="n">
        <x:v>88.45338983050847</x:v>
      </x:c>
      <x:c r="L68" s="63" t="n">
        <x:v>12.32</x:v>
      </x:c>
      <x:c r="M68" t="str">
        <x:v>ACCEPTABLE</x:v>
      </x:c>
      <x:c r="N68" t="str">
        <x:v>MODEL_INFERRED</x:v>
      </x:c>
      <x:c r="O68" t="str">
        <x:v>USER_REVIEW_REQUIRED</x:v>
      </x:c>
    </x:row>
    <x:row r="69">
      <x:c r="A69" t="str">
        <x:v>FR2024_OXA484_ONLY</x:v>
      </x:c>
      <x:c r="B69" t="str">
        <x:v>French Enterobacterales producing OXA-484 only</x:v>
      </x:c>
      <x:c r="C69" t="str">
        <x:v>STRICT_VARIANT_SENSITIVITY</x:v>
      </x:c>
      <x:c r="D69" t="str">
        <x:v>UPPER_BOUND_64</x:v>
      </x:c>
      <x:c r="E69" t="str">
        <x:v>R13</x:v>
      </x:c>
      <x:c r="F69" t="str">
        <x:v>121–150</x:v>
      </x:c>
      <x:c r="G69" t="n">
        <x:v>2.5</x:v>
      </x:c>
      <x:c r="H69" t="n">
        <x:v>6</x:v>
      </x:c>
      <x:c r="I69" s="63" t="n">
        <x:v>99.70881355932204</x:v>
      </x:c>
      <x:c r="J69" s="63" t="n">
        <x:v>81.24500000000002</x:v>
      </x:c>
      <x:c r="K69" s="63" t="n">
        <x:v>81.23754237288138</x:v>
      </x:c>
      <x:c r="L69" s="63" t="n">
        <x:v>7.33</x:v>
      </x:c>
      <x:c r="M69" t="str">
        <x:v>ACCEPTABLE</x:v>
      </x:c>
      <x:c r="N69" t="str">
        <x:v>MODEL_INFERRED</x:v>
      </x:c>
      <x:c r="O69" t="str">
        <x:v>USER_REVIEW_REQUIRED</x:v>
      </x:c>
    </x:row>
  </x:sheetData>
  <x:mergeCells>
    <x:mergeCell ref="A1:O1"/>
  </x:mergeCells>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12" hidden="0" customWidth="1"/>
    <x:col min="3" max="3" width="20" hidden="0" customWidth="1"/>
    <x:col min="4" max="4" width="20" hidden="0" customWidth="1"/>
    <x:col min="5" max="5" width="18" hidden="0" customWidth="1"/>
    <x:col min="6" max="6" width="14" hidden="0" customWidth="1"/>
    <x:col min="7" max="7" width="14" hidden="0" customWidth="1"/>
    <x:col min="8" max="8" width="14" hidden="0" customWidth="1"/>
    <x:col min="9" max="9" width="12" hidden="0" customWidth="1"/>
    <x:col min="10" max="10" width="36" hidden="0" customWidth="1"/>
  </x:cols>
  <x:sheetData>
    <x:row r="1">
      <x:c r="A1" s="157" t="str">
        <x:v>Preferred French OXA-484 Serine-Only Scenario: Terminal-Bin Sensitivity</x:v>
      </x:c>
      <x:c r="B1" s="157"/>
      <x:c r="C1" s="157"/>
      <x:c r="D1" s="157"/>
      <x:c r="E1" s="157"/>
      <x:c r="F1" s="157"/>
      <x:c r="G1" s="157"/>
      <x:c r="H1" s="157"/>
      <x:c r="I1" s="157"/>
      <x:c r="J1" s="157"/>
    </x:row>
    <x:row r="3">
      <x:c r="A3" s="162" t="str">
        <x:v>Regimen</x:v>
      </x:c>
      <x:c r="B3" s="162" t="str">
        <x:v>EKFC</x:v>
      </x:c>
      <x:c r="C3" s="162" t="str">
        <x:v>Joint CFR at &gt;16→32</x:v>
      </x:c>
      <x:c r="D3" s="162" t="str">
        <x:v>Joint CFR at &gt;16→64</x:v>
      </x:c>
      <x:c r="E3" s="162" t="str">
        <x:v>Absolute difference</x:v>
      </x:c>
      <x:c r="F3" s="162" t="str">
        <x:v>CAZ CFR 32</x:v>
      </x:c>
      <x:c r="G3" s="162" t="str">
        <x:v>CAZ CFR 64</x:v>
      </x:c>
      <x:c r="H3" s="162" t="str">
        <x:v>AVI weighted</x:v>
      </x:c>
      <x:c r="I3" s="162" t="str">
        <x:v>Toxicity</x:v>
      </x:c>
      <x:c r="J3" s="162" t="str">
        <x:v>Interpretation</x:v>
      </x:c>
    </x:row>
    <x:row r="4">
      <x:c r="A4" t="str">
        <x:v>R1</x:v>
      </x:c>
      <x:c r="B4" t="str">
        <x:v>0–30</x:v>
      </x:c>
      <x:c r="C4" s="63" t="n">
        <x:v>74.74716666666667</x:v>
      </x:c>
      <x:c r="D4" s="63" t="n">
        <x:v>74.74716666666667</x:v>
      </x:c>
      <x:c r="E4" s="63" t="n">
        <x:v>0</x:v>
      </x:c>
      <x:c r="F4" s="63" t="n">
        <x:v>98.064</x:v>
      </x:c>
      <x:c r="G4" s="63" t="n">
        <x:v>98.064</x:v>
      </x:c>
      <x:c r="H4" s="63" t="n">
        <x:v>74.88000000000001</x:v>
      </x:c>
      <x:c r="I4" s="63" t="n">
        <x:v>8.924999999999999</x:v>
      </x:c>
      <x:c r="J4" t="str">
        <x:v>No terminal-bin effect</x:v>
      </x:c>
    </x:row>
    <x:row r="5">
      <x:c r="A5" t="str">
        <x:v>R2</x:v>
      </x:c>
      <x:c r="B5" t="str">
        <x:v>0–30</x:v>
      </x:c>
      <x:c r="C5" s="63" t="n">
        <x:v>87.30858333333333</x:v>
      </x:c>
      <x:c r="D5" s="63" t="n">
        <x:v>87.30858333333333</x:v>
      </x:c>
      <x:c r="E5" s="63" t="n">
        <x:v>0</x:v>
      </x:c>
      <x:c r="F5" s="63" t="n">
        <x:v>99.35666666666667</x:v>
      </x:c>
      <x:c r="G5" s="63" t="n">
        <x:v>99.35666666666667</x:v>
      </x:c>
      <x:c r="H5" s="63" t="n">
        <x:v>87.38</x:v>
      </x:c>
      <x:c r="I5" s="63" t="n">
        <x:v>16.009999999999998</x:v>
      </x:c>
      <x:c r="J5" t="str">
        <x:v>No terminal-bin effect</x:v>
      </x:c>
    </x:row>
    <x:row r="6">
      <x:c r="A6" t="str">
        <x:v>R5</x:v>
      </x:c>
      <x:c r="B6" t="str">
        <x:v>31–60</x:v>
      </x:c>
      <x:c r="C6" s="63" t="n">
        <x:v>44.87024999999999</x:v>
      </x:c>
      <x:c r="D6" s="63" t="n">
        <x:v>44.87024999999999</x:v>
      </x:c>
      <x:c r="E6" s="63" t="n">
        <x:v>0</x:v>
      </x:c>
      <x:c r="F6" s="63" t="n">
        <x:v>95.945</x:v>
      </x:c>
      <x:c r="G6" s="63" t="n">
        <x:v>95.945</x:v>
      </x:c>
      <x:c r="H6" s="63" t="n">
        <x:v>44.964999999999996</x:v>
      </x:c>
      <x:c r="I6" s="63" t="n">
        <x:v>0.245</x:v>
      </x:c>
      <x:c r="J6" t="str">
        <x:v>No terminal-bin effect</x:v>
      </x:c>
    </x:row>
    <x:row r="7">
      <x:c r="A7" t="str">
        <x:v>R6</x:v>
      </x:c>
      <x:c r="B7" t="str">
        <x:v>31–60</x:v>
      </x:c>
      <x:c r="C7" s="63" t="n">
        <x:v>60.957583333333325</x:v>
      </x:c>
      <x:c r="D7" s="63" t="n">
        <x:v>60.957583333333325</x:v>
      </x:c>
      <x:c r="E7" s="63" t="n">
        <x:v>0</x:v>
      </x:c>
      <x:c r="F7" s="63" t="n">
        <x:v>97.98833333333333</x:v>
      </x:c>
      <x:c r="G7" s="63" t="n">
        <x:v>97.98833333333333</x:v>
      </x:c>
      <x:c r="H7" s="63" t="n">
        <x:v>61.03499999999999</x:v>
      </x:c>
      <x:c r="I7" s="63" t="n">
        <x:v>0.89</x:v>
      </x:c>
      <x:c r="J7" t="str">
        <x:v>No terminal-bin effect</x:v>
      </x:c>
    </x:row>
    <x:row r="8">
      <x:c r="A8" t="str">
        <x:v>R7</x:v>
      </x:c>
      <x:c r="B8" t="str">
        <x:v>31–60</x:v>
      </x:c>
      <x:c r="C8" s="63" t="n">
        <x:v>80.39266666666667</x:v>
      </x:c>
      <x:c r="D8" s="63" t="n">
        <x:v>80.39266666666667</x:v>
      </x:c>
      <x:c r="E8" s="63" t="n">
        <x:v>0</x:v>
      </x:c>
      <x:c r="F8" s="63" t="n">
        <x:v>99.3775</x:v>
      </x:c>
      <x:c r="G8" s="63" t="n">
        <x:v>99.3775</x:v>
      </x:c>
      <x:c r="H8" s="63" t="n">
        <x:v>80.435</x:v>
      </x:c>
      <x:c r="I8" s="63" t="n">
        <x:v>3.8350000000000004</x:v>
      </x:c>
      <x:c r="J8" t="str">
        <x:v>No terminal-bin effect</x:v>
      </x:c>
    </x:row>
    <x:row r="9">
      <x:c r="A9" t="str">
        <x:v>R8</x:v>
      </x:c>
      <x:c r="B9" t="str">
        <x:v>31–60</x:v>
      </x:c>
      <x:c r="C9" s="63" t="n">
        <x:v>89.43050000000001</x:v>
      </x:c>
      <x:c r="D9" s="63" t="n">
        <x:v>89.43050000000001</x:v>
      </x:c>
      <x:c r="E9" s="63" t="n">
        <x:v>0</x:v>
      </x:c>
      <x:c r="F9" s="63" t="n">
        <x:v>99.77091666666668</x:v>
      </x:c>
      <x:c r="G9" s="63" t="n">
        <x:v>99.77091666666668</x:v>
      </x:c>
      <x:c r="H9" s="63" t="n">
        <x:v>89.45</x:v>
      </x:c>
      <x:c r="I9" s="63" t="n">
        <x:v>9.335</x:v>
      </x:c>
      <x:c r="J9" t="str">
        <x:v>No terminal-bin effect</x:v>
      </x:c>
    </x:row>
    <x:row r="10">
      <x:c r="A10" t="str">
        <x:v>R9</x:v>
      </x:c>
      <x:c r="B10" t="str">
        <x:v>61–90</x:v>
      </x:c>
      <x:c r="C10" s="63" t="n">
        <x:v>73.19866666666667</x:v>
      </x:c>
      <x:c r="D10" s="63" t="n">
        <x:v>73.19866666666667</x:v>
      </x:c>
      <x:c r="E10" s="63" t="n">
        <x:v>0</x:v>
      </x:c>
      <x:c r="F10" s="63" t="n">
        <x:v>99.23916666666668</x:v>
      </x:c>
      <x:c r="G10" s="63" t="n">
        <x:v>99.23916666666668</x:v>
      </x:c>
      <x:c r="H10" s="63" t="n">
        <x:v>73.225</x:v>
      </x:c>
      <x:c r="I10" s="63" t="n">
        <x:v>2.98</x:v>
      </x:c>
      <x:c r="J10" t="str">
        <x:v>No terminal-bin effect</x:v>
      </x:c>
    </x:row>
    <x:row r="11">
      <x:c r="A11" t="str">
        <x:v>R10</x:v>
      </x:c>
      <x:c r="B11" t="str">
        <x:v>61–90</x:v>
      </x:c>
      <x:c r="C11" s="63" t="n">
        <x:v>88.39425000000001</x:v>
      </x:c>
      <x:c r="D11" s="63" t="n">
        <x:v>88.39425000000001</x:v>
      </x:c>
      <x:c r="E11" s="63" t="n">
        <x:v>0</x:v>
      </x:c>
      <x:c r="F11" s="63" t="n">
        <x:v>99.81708333333334</x:v>
      </x:c>
      <x:c r="G11" s="63" t="n">
        <x:v>99.81708333333334</x:v>
      </x:c>
      <x:c r="H11" s="63" t="n">
        <x:v>88.40500000000002</x:v>
      </x:c>
      <x:c r="I11" s="63" t="n">
        <x:v>10.89</x:v>
      </x:c>
      <x:c r="J11" t="str">
        <x:v>No terminal-bin effect</x:v>
      </x:c>
    </x:row>
    <x:row r="12">
      <x:c r="A12" t="str">
        <x:v>R11</x:v>
      </x:c>
      <x:c r="B12" t="str">
        <x:v>91–120</x:v>
      </x:c>
      <x:c r="C12" s="63" t="n">
        <x:v>78.168</x:v>
      </x:c>
      <x:c r="D12" s="63" t="n">
        <x:v>78.168</x:v>
      </x:c>
      <x:c r="E12" s="63" t="n">
        <x:v>0</x:v>
      </x:c>
      <x:c r="F12" s="63" t="n">
        <x:v>99.58408333333333</x:v>
      </x:c>
      <x:c r="G12" s="63" t="n">
        <x:v>99.58408333333333</x:v>
      </x:c>
      <x:c r="H12" s="63" t="n">
        <x:v>78.18</x:v>
      </x:c>
      <x:c r="I12" s="63" t="n">
        <x:v>5.1499999999999995</x:v>
      </x:c>
      <x:c r="J12" t="str">
        <x:v>No terminal-bin effect</x:v>
      </x:c>
    </x:row>
    <x:row r="13">
      <x:c r="A13" t="str">
        <x:v>R12</x:v>
      </x:c>
      <x:c r="B13" t="str">
        <x:v>91–120</x:v>
      </x:c>
      <x:c r="C13" s="63" t="n">
        <x:v>88.4535</x:v>
      </x:c>
      <x:c r="D13" s="63" t="n">
        <x:v>88.4535</x:v>
      </x:c>
      <x:c r="E13" s="63" t="n">
        <x:v>0</x:v>
      </x:c>
      <x:c r="F13" s="63" t="n">
        <x:v>99.85624999999999</x:v>
      </x:c>
      <x:c r="G13" s="63" t="n">
        <x:v>99.85624999999999</x:v>
      </x:c>
      <x:c r="H13" s="63" t="n">
        <x:v>88.46000000000001</x:v>
      </x:c>
      <x:c r="I13" s="63" t="n">
        <x:v>12.32</x:v>
      </x:c>
      <x:c r="J13" t="str">
        <x:v>No terminal-bin effect</x:v>
      </x:c>
    </x:row>
    <x:row r="14">
      <x:c r="A14" t="str">
        <x:v>R13</x:v>
      </x:c>
      <x:c r="B14" t="str">
        <x:v>121–150</x:v>
      </x:c>
      <x:c r="C14" s="63" t="n">
        <x:v>81.23766666666668</x:v>
      </x:c>
      <x:c r="D14" s="63" t="n">
        <x:v>81.23766666666668</x:v>
      </x:c>
      <x:c r="E14" s="63" t="n">
        <x:v>0</x:v>
      </x:c>
      <x:c r="F14" s="63" t="n">
        <x:v>99.71366666666665</x:v>
      </x:c>
      <x:c r="G14" s="63" t="n">
        <x:v>99.71366666666665</x:v>
      </x:c>
      <x:c r="H14" s="63" t="n">
        <x:v>81.24500000000002</x:v>
      </x:c>
      <x:c r="I14" s="63" t="n">
        <x:v>7.33</x:v>
      </x:c>
      <x:c r="J14" t="str">
        <x:v>No terminal-bin effect</x:v>
      </x:c>
    </x:row>
  </x:sheetData>
  <x:mergeCells>
    <x:mergeCell ref="A1:J1"/>
  </x:mergeCells>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42" hidden="0" customWidth="1"/>
    <x:col min="3" max="3" width="25" hidden="0" customWidth="1"/>
    <x:col min="4" max="4" width="20" hidden="0" customWidth="1"/>
    <x:col min="5" max="5" width="12" hidden="0" customWidth="1"/>
    <x:col min="6" max="6" width="12" hidden="0" customWidth="1"/>
    <x:col min="7" max="7" width="30" hidden="0" customWidth="1"/>
    <x:col min="8" max="8" width="20" hidden="0" customWidth="1"/>
    <x:col min="9" max="9" width="24" hidden="0" customWidth="1"/>
    <x:col min="10" max="10" width="24" hidden="0" customWidth="1"/>
  </x:cols>
  <x:sheetData>
    <x:row r="1">
      <x:c r="A1" s="173" t="str">
        <x:v>Global One-at-a-Time Sensitivity Design</x:v>
      </x:c>
      <x:c r="B1" s="173"/>
      <x:c r="C1" s="173"/>
      <x:c r="D1" s="173"/>
      <x:c r="E1" s="173"/>
      <x:c r="F1" s="173"/>
      <x:c r="G1" s="173"/>
      <x:c r="H1" s="173"/>
      <x:c r="I1" s="173"/>
      <x:c r="J1" s="173"/>
    </x:row>
    <x:row r="3">
      <x:c r="A3" s="178" t="str">
        <x:v>Scenario ID</x:v>
      </x:c>
      <x:c r="B3" s="178" t="str">
        <x:v>Description</x:v>
      </x:c>
      <x:c r="C3" s="178" t="str">
        <x:v>Changed parameter</x:v>
      </x:c>
      <x:c r="D3" s="178" t="str">
        <x:v>Value</x:v>
      </x:c>
      <x:c r="E3" s="178" t="str">
        <x:v>N total</x:v>
      </x:c>
      <x:c r="F3" s="178" t="str">
        <x:v>Seed</x:v>
      </x:c>
      <x:c r="G3" s="178" t="str">
        <x:v>Method</x:v>
      </x:c>
      <x:c r="H3" s="178" t="str">
        <x:v>Origin class</x:v>
      </x:c>
      <x:c r="I3" s="178" t="str">
        <x:v>Transformation</x:v>
      </x:c>
      <x:c r="J3" s="178" t="str">
        <x:v>Review state</x:v>
      </x:c>
    </x:row>
    <x:row r="4">
      <x:c r="A4" s="45" t="str">
        <x:v>BASE</x:v>
      </x:c>
      <x:c r="B4" s="45" t="str">
        <x:v>Baseline validated pilot</x:v>
      </x:c>
      <x:c r="C4" s="45" t="str">
        <x:v>None</x:v>
      </x:c>
      <x:c r="D4" s="45" t="str">
        <x:v>Baseline</x:v>
      </x:c>
      <x:c r="E4" s="45" t="n">
        <x:v>100000</x:v>
      </x:c>
      <x:c r="F4" s="45" t="n">
        <x:v>20260707</x:v>
      </x:c>
      <x:c r="G4" s="45" t="str">
        <x:v>Paired OAT; shared random numbers</x:v>
      </x:c>
      <x:c r="H4" s="45" t="str">
        <x:v>USER_INPUT</x:v>
      </x:c>
      <x:c r="I4" s="45" t="str">
        <x:v>NONE</x:v>
      </x:c>
      <x:c r="J4" s="45" t="str">
        <x:v>SYSTEM_NORMALIZED</x:v>
      </x:c>
    </x:row>
    <x:row r="5">
      <x:c r="A5" s="45" t="str">
        <x:v>CAZ_CL_LOW</x:v>
      </x:c>
      <x:c r="B5" s="45" t="str">
        <x:v>CAZ typical clearance −20%</x:v>
      </x:c>
      <x:c r="C5" s="45" t="str">
        <x:v>cl_caz</x:v>
      </x:c>
      <x:c r="D5" s="45" t="str">
        <x:v>4.0</x:v>
      </x:c>
      <x:c r="E5" s="45" t="n">
        <x:v>100000</x:v>
      </x:c>
      <x:c r="F5" s="45" t="n">
        <x:v>20260707</x:v>
      </x:c>
      <x:c r="G5" s="45" t="str">
        <x:v>Paired OAT; shared random numbers</x:v>
      </x:c>
      <x:c r="H5" s="45" t="str">
        <x:v>MODEL_INFERRED</x:v>
      </x:c>
      <x:c r="I5" s="45" t="str">
        <x:v>SCENARIO_GENERATION</x:v>
      </x:c>
      <x:c r="J5" s="45" t="str">
        <x:v>USER_REVIEW_REQUIRED</x:v>
      </x:c>
    </x:row>
    <x:row r="6">
      <x:c r="A6" s="45" t="str">
        <x:v>CAZ_CL_HIGH</x:v>
      </x:c>
      <x:c r="B6" s="45" t="str">
        <x:v>CAZ typical clearance +20%</x:v>
      </x:c>
      <x:c r="C6" s="45" t="str">
        <x:v>cl_caz</x:v>
      </x:c>
      <x:c r="D6" s="45" t="str">
        <x:v>6.0</x:v>
      </x:c>
      <x:c r="E6" s="45" t="n">
        <x:v>100000</x:v>
      </x:c>
      <x:c r="F6" s="45" t="n">
        <x:v>20260707</x:v>
      </x:c>
      <x:c r="G6" s="45" t="str">
        <x:v>Paired OAT; shared random numbers</x:v>
      </x:c>
      <x:c r="H6" s="45" t="str">
        <x:v>MODEL_INFERRED</x:v>
      </x:c>
      <x:c r="I6" s="45" t="str">
        <x:v>SCENARIO_GENERATION</x:v>
      </x:c>
      <x:c r="J6" s="45" t="str">
        <x:v>USER_REVIEW_REQUIRED</x:v>
      </x:c>
    </x:row>
    <x:row r="7">
      <x:c r="A7" s="45" t="str">
        <x:v>AVI_CL_LOW</x:v>
      </x:c>
      <x:c r="B7" s="45" t="str">
        <x:v>AVI typical clearance −20%</x:v>
      </x:c>
      <x:c r="C7" s="45" t="str">
        <x:v>cl_avi</x:v>
      </x:c>
      <x:c r="D7" s="45" t="str">
        <x:v>4.72</x:v>
      </x:c>
      <x:c r="E7" s="45" t="n">
        <x:v>100000</x:v>
      </x:c>
      <x:c r="F7" s="45" t="n">
        <x:v>20260707</x:v>
      </x:c>
      <x:c r="G7" s="45" t="str">
        <x:v>Paired OAT; shared random numbers</x:v>
      </x:c>
      <x:c r="H7" s="45" t="str">
        <x:v>MODEL_INFERRED</x:v>
      </x:c>
      <x:c r="I7" s="45" t="str">
        <x:v>SCENARIO_GENERATION</x:v>
      </x:c>
      <x:c r="J7" s="45" t="str">
        <x:v>USER_REVIEW_REQUIRED</x:v>
      </x:c>
    </x:row>
    <x:row r="8">
      <x:c r="A8" s="45" t="str">
        <x:v>AVI_CL_HIGH</x:v>
      </x:c>
      <x:c r="B8" s="45" t="str">
        <x:v>AVI typical clearance +20%</x:v>
      </x:c>
      <x:c r="C8" s="45" t="str">
        <x:v>cl_avi</x:v>
      </x:c>
      <x:c r="D8" s="45" t="str">
        <x:v>7.08</x:v>
      </x:c>
      <x:c r="E8" s="45" t="n">
        <x:v>100000</x:v>
      </x:c>
      <x:c r="F8" s="45" t="n">
        <x:v>20260707</x:v>
      </x:c>
      <x:c r="G8" s="45" t="str">
        <x:v>Paired OAT; shared random numbers</x:v>
      </x:c>
      <x:c r="H8" s="45" t="str">
        <x:v>MODEL_INFERRED</x:v>
      </x:c>
      <x:c r="I8" s="45" t="str">
        <x:v>SCENARIO_GENERATION</x:v>
      </x:c>
      <x:c r="J8" s="45" t="str">
        <x:v>USER_REVIEW_REQUIRED</x:v>
      </x:c>
    </x:row>
    <x:row r="9">
      <x:c r="A9" s="45" t="str">
        <x:v>IIV_LOW</x:v>
      </x:c>
      <x:c r="B9" s="45" t="str">
        <x:v>Both IIV SDs −20%</x:v>
      </x:c>
      <x:c r="C9" s="45" t="str">
        <x:v>omega_caz, omega_avi</x:v>
      </x:c>
      <x:c r="D9" s="45" t="str">
        <x:v>0.496, 0.544</x:v>
      </x:c>
      <x:c r="E9" s="45" t="n">
        <x:v>100000</x:v>
      </x:c>
      <x:c r="F9" s="45" t="n">
        <x:v>20260707</x:v>
      </x:c>
      <x:c r="G9" s="45" t="str">
        <x:v>Paired OAT; shared random numbers</x:v>
      </x:c>
      <x:c r="H9" s="45" t="str">
        <x:v>MODEL_INFERRED</x:v>
      </x:c>
      <x:c r="I9" s="45" t="str">
        <x:v>SCENARIO_GENERATION</x:v>
      </x:c>
      <x:c r="J9" s="45" t="str">
        <x:v>USER_REVIEW_REQUIRED</x:v>
      </x:c>
    </x:row>
    <x:row r="10">
      <x:c r="A10" s="45" t="str">
        <x:v>IIV_HIGH</x:v>
      </x:c>
      <x:c r="B10" s="45" t="str">
        <x:v>Both IIV SDs +20%</x:v>
      </x:c>
      <x:c r="C10" s="45" t="str">
        <x:v>omega_caz, omega_avi</x:v>
      </x:c>
      <x:c r="D10" s="45" t="str">
        <x:v>0.744, 0.816</x:v>
      </x:c>
      <x:c r="E10" s="45" t="n">
        <x:v>100000</x:v>
      </x:c>
      <x:c r="F10" s="45" t="n">
        <x:v>20260707</x:v>
      </x:c>
      <x:c r="G10" s="45" t="str">
        <x:v>Paired OAT; shared random numbers</x:v>
      </x:c>
      <x:c r="H10" s="45" t="str">
        <x:v>MODEL_INFERRED</x:v>
      </x:c>
      <x:c r="I10" s="45" t="str">
        <x:v>SCENARIO_GENERATION</x:v>
      </x:c>
      <x:c r="J10" s="45" t="str">
        <x:v>USER_REVIEW_REQUIRED</x:v>
      </x:c>
    </x:row>
    <x:row r="11">
      <x:c r="A11" s="45" t="str">
        <x:v>RHO_050</x:v>
      </x:c>
      <x:c r="B11" s="45" t="str">
        <x:v>Random-effect correlation = 0.50</x:v>
      </x:c>
      <x:c r="C11" s="45" t="str">
        <x:v>rho</x:v>
      </x:c>
      <x:c r="D11" s="45" t="str">
        <x:v>0.5</x:v>
      </x:c>
      <x:c r="E11" s="45" t="n">
        <x:v>100000</x:v>
      </x:c>
      <x:c r="F11" s="45" t="n">
        <x:v>20260707</x:v>
      </x:c>
      <x:c r="G11" s="45" t="str">
        <x:v>Paired OAT; shared random numbers</x:v>
      </x:c>
      <x:c r="H11" s="45" t="str">
        <x:v>MODEL_INFERRED</x:v>
      </x:c>
      <x:c r="I11" s="45" t="str">
        <x:v>SCENARIO_GENERATION</x:v>
      </x:c>
      <x:c r="J11" s="45" t="str">
        <x:v>USER_REVIEW_REQUIRED</x:v>
      </x:c>
    </x:row>
    <x:row r="12">
      <x:c r="A12" s="45" t="str">
        <x:v>RHO_000</x:v>
      </x:c>
      <x:c r="B12" s="45" t="str">
        <x:v>Random-effect correlation = 0</x:v>
      </x:c>
      <x:c r="C12" s="45" t="str">
        <x:v>rho</x:v>
      </x:c>
      <x:c r="D12" s="45" t="str">
        <x:v>0.0</x:v>
      </x:c>
      <x:c r="E12" s="45" t="n">
        <x:v>100000</x:v>
      </x:c>
      <x:c r="F12" s="45" t="n">
        <x:v>20260707</x:v>
      </x:c>
      <x:c r="G12" s="45" t="str">
        <x:v>Paired OAT; shared random numbers</x:v>
      </x:c>
      <x:c r="H12" s="45" t="str">
        <x:v>MODEL_INFERRED</x:v>
      </x:c>
      <x:c r="I12" s="45" t="str">
        <x:v>SCENARIO_GENERATION</x:v>
      </x:c>
      <x:c r="J12" s="45" t="str">
        <x:v>USER_REVIEW_REQUIRED</x:v>
      </x:c>
    </x:row>
    <x:row r="13">
      <x:c r="A13" s="45" t="str">
        <x:v>FU_CAZ_LOW</x:v>
      </x:c>
      <x:c r="B13" s="45" t="str">
        <x:v>CAZ unbound fraction = 0.80</x:v>
      </x:c>
      <x:c r="C13" s="45" t="str">
        <x:v>fu_caz</x:v>
      </x:c>
      <x:c r="D13" s="45" t="str">
        <x:v>0.8</x:v>
      </x:c>
      <x:c r="E13" s="45" t="n">
        <x:v>100000</x:v>
      </x:c>
      <x:c r="F13" s="45" t="n">
        <x:v>20260707</x:v>
      </x:c>
      <x:c r="G13" s="45" t="str">
        <x:v>Paired OAT; shared random numbers</x:v>
      </x:c>
      <x:c r="H13" s="45" t="str">
        <x:v>MODEL_INFERRED</x:v>
      </x:c>
      <x:c r="I13" s="45" t="str">
        <x:v>SCENARIO_GENERATION</x:v>
      </x:c>
      <x:c r="J13" s="45" t="str">
        <x:v>USER_REVIEW_REQUIRED</x:v>
      </x:c>
    </x:row>
    <x:row r="14">
      <x:c r="A14" s="45" t="str">
        <x:v>FU_CAZ_HIGH</x:v>
      </x:c>
      <x:c r="B14" s="45" t="str">
        <x:v>CAZ unbound fraction = 0.90</x:v>
      </x:c>
      <x:c r="C14" s="45" t="str">
        <x:v>fu_caz</x:v>
      </x:c>
      <x:c r="D14" s="45" t="str">
        <x:v>0.9</x:v>
      </x:c>
      <x:c r="E14" s="45" t="n">
        <x:v>100000</x:v>
      </x:c>
      <x:c r="F14" s="45" t="n">
        <x:v>20260707</x:v>
      </x:c>
      <x:c r="G14" s="45" t="str">
        <x:v>Paired OAT; shared random numbers</x:v>
      </x:c>
      <x:c r="H14" s="45" t="str">
        <x:v>MODEL_INFERRED</x:v>
      </x:c>
      <x:c r="I14" s="45" t="str">
        <x:v>SCENARIO_GENERATION</x:v>
      </x:c>
      <x:c r="J14" s="45" t="str">
        <x:v>USER_REVIEW_REQUIRED</x:v>
      </x:c>
    </x:row>
    <x:row r="15">
      <x:c r="A15" s="45" t="str">
        <x:v>FU_AVI_LOW</x:v>
      </x:c>
      <x:c r="B15" s="45" t="str">
        <x:v>AVI unbound fraction = 0.87</x:v>
      </x:c>
      <x:c r="C15" s="45" t="str">
        <x:v>fu_avi</x:v>
      </x:c>
      <x:c r="D15" s="45" t="str">
        <x:v>0.87</x:v>
      </x:c>
      <x:c r="E15" s="45" t="n">
        <x:v>100000</x:v>
      </x:c>
      <x:c r="F15" s="45" t="n">
        <x:v>20260707</x:v>
      </x:c>
      <x:c r="G15" s="45" t="str">
        <x:v>Paired OAT; shared random numbers</x:v>
      </x:c>
      <x:c r="H15" s="45" t="str">
        <x:v>MODEL_INFERRED</x:v>
      </x:c>
      <x:c r="I15" s="45" t="str">
        <x:v>SCENARIO_GENERATION</x:v>
      </x:c>
      <x:c r="J15" s="45" t="str">
        <x:v>USER_REVIEW_REQUIRED</x:v>
      </x:c>
    </x:row>
    <x:row r="16">
      <x:c r="A16" s="45" t="str">
        <x:v>FU_AVI_HIGH</x:v>
      </x:c>
      <x:c r="B16" s="45" t="str">
        <x:v>AVI unbound fraction = 0.97</x:v>
      </x:c>
      <x:c r="C16" s="45" t="str">
        <x:v>fu_avi</x:v>
      </x:c>
      <x:c r="D16" s="45" t="str">
        <x:v>0.97</x:v>
      </x:c>
      <x:c r="E16" s="45" t="n">
        <x:v>100000</x:v>
      </x:c>
      <x:c r="F16" s="45" t="n">
        <x:v>20260707</x:v>
      </x:c>
      <x:c r="G16" s="45" t="str">
        <x:v>Paired OAT; shared random numbers</x:v>
      </x:c>
      <x:c r="H16" s="45" t="str">
        <x:v>MODEL_INFERRED</x:v>
      </x:c>
      <x:c r="I16" s="45" t="str">
        <x:v>SCENARIO_GENERATION</x:v>
      </x:c>
      <x:c r="J16" s="45" t="str">
        <x:v>USER_REVIEW_REQUIRED</x:v>
      </x:c>
    </x:row>
    <x:row r="17">
      <x:c r="A17" s="45" t="str">
        <x:v>CAZ_TARGET_2</x:v>
      </x:c>
      <x:c r="B17" s="45" t="str">
        <x:v>CAZ target fCss/MIC ≥2</x:v>
      </x:c>
      <x:c r="C17" s="45" t="str">
        <x:v>caz_target</x:v>
      </x:c>
      <x:c r="D17" s="45" t="str">
        <x:v>2.0</x:v>
      </x:c>
      <x:c r="E17" s="45" t="n">
        <x:v>100000</x:v>
      </x:c>
      <x:c r="F17" s="45" t="n">
        <x:v>20260707</x:v>
      </x:c>
      <x:c r="G17" s="45" t="str">
        <x:v>Paired OAT; shared random numbers</x:v>
      </x:c>
      <x:c r="H17" s="45" t="str">
        <x:v>USER_INPUT</x:v>
      </x:c>
      <x:c r="I17" s="45" t="str">
        <x:v>SCENARIO_GENERATION</x:v>
      </x:c>
      <x:c r="J17" s="45" t="str">
        <x:v>USER_REVIEW_REQUIRED</x:v>
      </x:c>
    </x:row>
    <x:row r="18">
      <x:c r="A18" s="45" t="str">
        <x:v>CAZ_TARGET_6</x:v>
      </x:c>
      <x:c r="B18" s="45" t="str">
        <x:v>CAZ target fCss/MIC ≥6</x:v>
      </x:c>
      <x:c r="C18" s="45" t="str">
        <x:v>caz_target</x:v>
      </x:c>
      <x:c r="D18" s="45" t="str">
        <x:v>6.0</x:v>
      </x:c>
      <x:c r="E18" s="45" t="n">
        <x:v>100000</x:v>
      </x:c>
      <x:c r="F18" s="45" t="n">
        <x:v>20260707</x:v>
      </x:c>
      <x:c r="G18" s="45" t="str">
        <x:v>Paired OAT; shared random numbers</x:v>
      </x:c>
      <x:c r="H18" s="45" t="str">
        <x:v>USER_INPUT</x:v>
      </x:c>
      <x:c r="I18" s="45" t="str">
        <x:v>SCENARIO_GENERATION</x:v>
      </x:c>
      <x:c r="J18" s="45" t="str">
        <x:v>USER_REVIEW_REQUIRED</x:v>
      </x:c>
    </x:row>
    <x:row r="19">
      <x:c r="A19" s="45" t="str">
        <x:v>AVI_CT_2</x:v>
      </x:c>
      <x:c r="B19" s="45" t="str">
        <x:v>AVI threshold = 2 mg/L</x:v>
      </x:c>
      <x:c r="C19" s="45" t="str">
        <x:v>avi_ct</x:v>
      </x:c>
      <x:c r="D19" s="45" t="str">
        <x:v>2.0</x:v>
      </x:c>
      <x:c r="E19" s="45" t="n">
        <x:v>100000</x:v>
      </x:c>
      <x:c r="F19" s="45" t="n">
        <x:v>20260707</x:v>
      </x:c>
      <x:c r="G19" s="45" t="str">
        <x:v>Paired OAT; shared random numbers</x:v>
      </x:c>
      <x:c r="H19" s="45" t="str">
        <x:v>USER_INPUT</x:v>
      </x:c>
      <x:c r="I19" s="45" t="str">
        <x:v>SCENARIO_GENERATION</x:v>
      </x:c>
      <x:c r="J19" s="45" t="str">
        <x:v>USER_REVIEW_REQUIRED</x:v>
      </x:c>
    </x:row>
    <x:row r="20">
      <x:c r="A20" s="45" t="str">
        <x:v>AVI_CT_6</x:v>
      </x:c>
      <x:c r="B20" s="45" t="str">
        <x:v>AVI threshold = 6 mg/L</x:v>
      </x:c>
      <x:c r="C20" s="45" t="str">
        <x:v>avi_ct</x:v>
      </x:c>
      <x:c r="D20" s="45" t="str">
        <x:v>6.0</x:v>
      </x:c>
      <x:c r="E20" s="45" t="n">
        <x:v>100000</x:v>
      </x:c>
      <x:c r="F20" s="45" t="n">
        <x:v>20260707</x:v>
      </x:c>
      <x:c r="G20" s="45" t="str">
        <x:v>Paired OAT; shared random numbers</x:v>
      </x:c>
      <x:c r="H20" s="45" t="str">
        <x:v>USER_INPUT</x:v>
      </x:c>
      <x:c r="I20" s="45" t="str">
        <x:v>SCENARIO_GENERATION</x:v>
      </x:c>
      <x:c r="J20" s="45" t="str">
        <x:v>USER_REVIEW_REQUIRED</x:v>
      </x:c>
    </x:row>
    <x:row r="21">
      <x:c r="A21" s="45" t="str">
        <x:v>TOX_80</x:v>
      </x:c>
      <x:c r="B21" s="45" t="str">
        <x:v>CAZ toxicity threshold = 80 mg/L</x:v>
      </x:c>
      <x:c r="C21" s="45" t="str">
        <x:v>tox_threshold</x:v>
      </x:c>
      <x:c r="D21" s="45" t="str">
        <x:v>80.0</x:v>
      </x:c>
      <x:c r="E21" s="45" t="n">
        <x:v>100000</x:v>
      </x:c>
      <x:c r="F21" s="45" t="n">
        <x:v>20260707</x:v>
      </x:c>
      <x:c r="G21" s="45" t="str">
        <x:v>Paired OAT; shared random numbers</x:v>
      </x:c>
      <x:c r="H21" s="45" t="str">
        <x:v>USER_INPUT</x:v>
      </x:c>
      <x:c r="I21" s="45" t="str">
        <x:v>SCENARIO_GENERATION</x:v>
      </x:c>
      <x:c r="J21" s="45" t="str">
        <x:v>USER_REVIEW_REQUIRED</x:v>
      </x:c>
    </x:row>
    <x:row r="22">
      <x:c r="A22" s="45" t="str">
        <x:v>TOX_128</x:v>
      </x:c>
      <x:c r="B22" s="45" t="str">
        <x:v>CAZ toxicity threshold = 128 mg/L</x:v>
      </x:c>
      <x:c r="C22" s="45" t="str">
        <x:v>tox_threshold</x:v>
      </x:c>
      <x:c r="D22" s="45" t="str">
        <x:v>128.0</x:v>
      </x:c>
      <x:c r="E22" s="45" t="n">
        <x:v>100000</x:v>
      </x:c>
      <x:c r="F22" s="45" t="n">
        <x:v>20260707</x:v>
      </x:c>
      <x:c r="G22" s="45" t="str">
        <x:v>Paired OAT; shared random numbers</x:v>
      </x:c>
      <x:c r="H22" s="45" t="str">
        <x:v>USER_INPUT</x:v>
      </x:c>
      <x:c r="I22" s="45" t="str">
        <x:v>SCENARIO_GENERATION</x:v>
      </x:c>
      <x:c r="J22" s="45" t="str">
        <x:v>USER_REVIEW_REQUIRED</x:v>
      </x:c>
    </x:row>
  </x:sheetData>
  <x:mergeCells>
    <x:mergeCell ref="A1:J1"/>
  </x:mergeCell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38" hidden="0" customWidth="1"/>
    <x:col min="3" max="3" width="10" hidden="0" customWidth="1"/>
    <x:col min="4" max="4" width="12" hidden="0" customWidth="1"/>
    <x:col min="5" max="5" width="9" hidden="0" customWidth="1"/>
    <x:col min="6" max="6" width="10" hidden="0" customWidth="1"/>
    <x:col min="7" max="7" width="28" hidden="0" customWidth="1"/>
    <x:col min="8" max="8" width="42" hidden="0" customWidth="1"/>
    <x:col min="9" max="9" width="12" hidden="0" customWidth="1"/>
    <x:col min="10" max="10" width="14" hidden="0" customWidth="1"/>
    <x:col min="11" max="11" width="13" hidden="0" customWidth="1"/>
    <x:col min="12" max="12" width="14" hidden="0" customWidth="1"/>
    <x:col min="13" max="13" width="16" hidden="0" customWidth="1"/>
    <x:col min="14" max="14" width="12" hidden="0" customWidth="1"/>
    <x:col min="15" max="15" width="12" hidden="0" customWidth="1"/>
    <x:col min="16" max="16" width="14" hidden="0" customWidth="1"/>
    <x:col min="17" max="17" width="20" hidden="0" customWidth="1"/>
    <x:col min="18" max="18" width="24" hidden="0" customWidth="1"/>
    <x:col min="19" max="19" width="24" hidden="0" customWidth="1"/>
  </x:cols>
  <x:sheetData>
    <x:row r="1">
      <x:c r="A1" s="178" t="str">
        <x:v>Scenario</x:v>
      </x:c>
      <x:c r="B1" s="178" t="str">
        <x:v>Description</x:v>
      </x:c>
      <x:c r="C1" s="178" t="str">
        <x:v>Regimen</x:v>
      </x:c>
      <x:c r="D1" s="178" t="str">
        <x:v>EKFC</x:v>
      </x:c>
      <x:c r="E1" s="178" t="str">
        <x:v>Dose g</x:v>
      </x:c>
      <x:c r="F1" s="178" t="str">
        <x:v>Interval h</x:v>
      </x:c>
      <x:c r="G1" s="178" t="str">
        <x:v>Distribution ID</x:v>
      </x:c>
      <x:c r="H1" s="178" t="str">
        <x:v>Distribution</x:v>
      </x:c>
      <x:c r="I1" s="178" t="str">
        <x:v>CAZ CFR %</x:v>
      </x:c>
      <x:c r="J1" s="178" t="str">
        <x:v>AVI weighted %</x:v>
      </x:c>
      <x:c r="K1" s="178" t="str">
        <x:v>Joint CFR %</x:v>
      </x:c>
      <x:c r="L1" s="178" t="str">
        <x:v>Δ Joint CFR pp</x:v>
      </x:c>
      <x:c r="M1" s="178" t="str">
        <x:v>Joint PTA MIC4 %</x:v>
      </x:c>
      <x:c r="N1" s="178" t="str">
        <x:v>Δ MIC4 pp</x:v>
      </x:c>
      <x:c r="O1" s="178" t="str">
        <x:v>Toxicity %</x:v>
      </x:c>
      <x:c r="P1" s="178" t="str">
        <x:v>Δ Toxicity pp</x:v>
      </x:c>
      <x:c r="Q1" s="178" t="str">
        <x:v>Origin class</x:v>
      </x:c>
      <x:c r="R1" s="178" t="str">
        <x:v>Transformation</x:v>
      </x:c>
      <x:c r="S1" s="178" t="str">
        <x:v>Review state</x:v>
      </x:c>
    </x:row>
    <x:row r="2">
      <x:c r="A2" s="45" t="str">
        <x:v>BASE</x:v>
      </x:c>
      <x:c r="B2" s="45" t="str">
        <x:v>Baseline validated pilot</x:v>
      </x:c>
      <x:c r="C2" s="45" t="str">
        <x:v>R1</x:v>
      </x:c>
      <x:c r="D2" s="45" t="str">
        <x:v>0–30</x:v>
      </x:c>
      <x:c r="E2" s="45" t="n">
        <x:v>0.625</x:v>
      </x:c>
      <x:c r="F2" s="45" t="n">
        <x:v>12</x:v>
      </x:c>
      <x:c r="G2" s="45" t="str">
        <x:v>LEE2022_KPC_KP</x:v>
      </x:c>
      <x:c r="H2" s="45" t="str">
        <x:v>KPC-like CR-K. pneumoniae, ATLAS 2020</x:v>
      </x:c>
      <x:c r="I2" s="102" t="n">
        <x:v>93.65485488126649</x:v>
      </x:c>
      <x:c r="J2" s="102" t="n">
        <x:v>74.22</x:v>
      </x:c>
      <x:c r="K2" s="102" t="n">
        <x:v>72.80412928759894</x:v>
      </x:c>
      <x:c r="L2" s="102" t="n">
        <x:v>0</x:v>
      </x:c>
      <x:c r="M2" s="102" t="n">
        <x:v>66.425</x:v>
      </x:c>
      <x:c r="N2" s="102" t="n">
        <x:v>0</x:v>
      </x:c>
      <x:c r="O2" s="102" t="n">
        <x:v>9.42</x:v>
      </x:c>
      <x:c r="P2" s="102" t="n">
        <x:v>0</x:v>
      </x:c>
      <x:c r="Q2" s="45" t="str">
        <x:v>USER_INPUT</x:v>
      </x:c>
      <x:c r="R2" s="45" t="str">
        <x:v>NONE</x:v>
      </x:c>
      <x:c r="S2" s="45" t="str">
        <x:v>SYSTEM_NORMALIZED</x:v>
      </x:c>
    </x:row>
    <x:row r="3">
      <x:c r="A3" s="45" t="str">
        <x:v>BASE</x:v>
      </x:c>
      <x:c r="B3" s="45" t="str">
        <x:v>Baseline validated pilot</x:v>
      </x:c>
      <x:c r="C3" s="45" t="str">
        <x:v>R1</x:v>
      </x:c>
      <x:c r="D3" s="45" t="str">
        <x:v>0–30</x:v>
      </x:c>
      <x:c r="E3" s="45" t="n">
        <x:v>0.625</x:v>
      </x:c>
      <x:c r="F3" s="45" t="n">
        <x:v>12</x:v>
      </x:c>
      <x:c r="G3" s="45" t="str">
        <x:v>LEE2022_OXA_KP</x:v>
      </x:c>
      <x:c r="H3" s="45" t="str">
        <x:v>OXA-like CR-K. pneumoniae, ATLAS 2020</x:v>
      </x:c>
      <x:c r="I3" s="102" t="n">
        <x:v>95.5652966101695</x:v>
      </x:c>
      <x:c r="J3" s="102" t="n">
        <x:v>74.22</x:v>
      </x:c>
      <x:c r="K3" s="102" t="n">
        <x:v>72.95300847457627</x:v>
      </x:c>
      <x:c r="L3" s="102" t="n">
        <x:v>0</x:v>
      </x:c>
      <x:c r="M3" s="102" t="n">
        <x:v>66.425</x:v>
      </x:c>
      <x:c r="N3" s="102" t="n">
        <x:v>0</x:v>
      </x:c>
      <x:c r="O3" s="102" t="n">
        <x:v>9.42</x:v>
      </x:c>
      <x:c r="P3" s="102" t="n">
        <x:v>0</x:v>
      </x:c>
      <x:c r="Q3" s="45" t="str">
        <x:v>USER_INPUT</x:v>
      </x:c>
      <x:c r="R3" s="45" t="str">
        <x:v>NONE</x:v>
      </x:c>
      <x:c r="S3" s="45" t="str">
        <x:v>SYSTEM_NORMALIZED</x:v>
      </x:c>
    </x:row>
    <x:row r="4">
      <x:c r="A4" s="45" t="str">
        <x:v>BASE</x:v>
      </x:c>
      <x:c r="B4" s="45" t="str">
        <x:v>Baseline validated pilot</x:v>
      </x:c>
      <x:c r="C4" s="45" t="str">
        <x:v>R1</x:v>
      </x:c>
      <x:c r="D4" s="45" t="str">
        <x:v>0–30</x:v>
      </x:c>
      <x:c r="E4" s="45" t="n">
        <x:v>0.625</x:v>
      </x:c>
      <x:c r="F4" s="45" t="n">
        <x:v>12</x:v>
      </x:c>
      <x:c r="G4" s="45" t="str">
        <x:v>INDIA2022_OXA48_KP</x:v>
      </x:c>
      <x:c r="H4" s="45" t="str">
        <x:v>OXA-48-like CR-K. pneumoniae, India</x:v>
      </x:c>
      <x:c r="I4" s="102" t="n">
        <x:v>94.45033088235294</x:v>
      </x:c>
      <x:c r="J4" s="102" t="n">
        <x:v>74.22000000000001</x:v>
      </x:c>
      <x:c r="K4" s="102" t="n">
        <x:v>71.44227941176472</x:v>
      </x:c>
      <x:c r="L4" s="102" t="n">
        <x:v>0</x:v>
      </x:c>
      <x:c r="M4" s="102" t="n">
        <x:v>66.425</x:v>
      </x:c>
      <x:c r="N4" s="102" t="n">
        <x:v>0</x:v>
      </x:c>
      <x:c r="O4" s="102" t="n">
        <x:v>9.42</x:v>
      </x:c>
      <x:c r="P4" s="102" t="n">
        <x:v>0</x:v>
      </x:c>
      <x:c r="Q4" s="45" t="str">
        <x:v>USER_INPUT</x:v>
      </x:c>
      <x:c r="R4" s="45" t="str">
        <x:v>NONE</x:v>
      </x:c>
      <x:c r="S4" s="45" t="str">
        <x:v>SYSTEM_NORMALIZED</x:v>
      </x:c>
    </x:row>
    <x:row r="5">
      <x:c r="A5" s="45" t="str">
        <x:v>BASE</x:v>
      </x:c>
      <x:c r="B5" s="45" t="str">
        <x:v>Baseline validated pilot</x:v>
      </x:c>
      <x:c r="C5" s="45" t="str">
        <x:v>R1</x:v>
      </x:c>
      <x:c r="D5" s="45" t="str">
        <x:v>0–30</x:v>
      </x:c>
      <x:c r="E5" s="45" t="n">
        <x:v>0.625</x:v>
      </x:c>
      <x:c r="F5" s="45" t="n">
        <x:v>12</x:v>
      </x:c>
      <x:c r="G5" s="45" t="str">
        <x:v>FR2024_OXA484_SERINE_ONLY</x:v>
      </x:c>
      <x:c r="H5" s="45" t="str">
        <x:v>French OXA-484 Enterobacterales, serine-only</x:v>
      </x:c>
      <x:c r="I5" s="102" t="n">
        <x:v>98.06408333333334</x:v>
      </x:c>
      <x:c r="J5" s="102" t="n">
        <x:v>74.22</x:v>
      </x:c>
      <x:c r="K5" s="102" t="n">
        <x:v>74.08933333333334</x:v>
      </x:c>
      <x:c r="L5" s="102" t="n">
        <x:v>0</x:v>
      </x:c>
      <x:c r="M5" s="102" t="n">
        <x:v>66.425</x:v>
      </x:c>
      <x:c r="N5" s="102" t="n">
        <x:v>0</x:v>
      </x:c>
      <x:c r="O5" s="102" t="n">
        <x:v>9.42</x:v>
      </x:c>
      <x:c r="P5" s="102" t="n">
        <x:v>0</x:v>
      </x:c>
      <x:c r="Q5" s="45" t="str">
        <x:v>USER_INPUT</x:v>
      </x:c>
      <x:c r="R5" s="45" t="str">
        <x:v>NONE</x:v>
      </x:c>
      <x:c r="S5" s="45" t="str">
        <x:v>SYSTEM_NORMALIZED</x:v>
      </x:c>
    </x:row>
    <x:row r="6">
      <x:c r="A6" s="45" t="str">
        <x:v>BASE</x:v>
      </x:c>
      <x:c r="B6" s="45" t="str">
        <x:v>Baseline validated pilot</x:v>
      </x:c>
      <x:c r="C6" s="45" t="str">
        <x:v>R8</x:v>
      </x:c>
      <x:c r="D6" s="45" t="str">
        <x:v>31–60</x:v>
      </x:c>
      <x:c r="E6" s="45" t="n">
        <x:v>2.5</x:v>
      </x:c>
      <x:c r="F6" s="45" t="n">
        <x:v>12</x:v>
      </x:c>
      <x:c r="G6" s="45" t="str">
        <x:v>LEE2022_KPC_KP</x:v>
      </x:c>
      <x:c r="H6" s="45" t="str">
        <x:v>KPC-like CR-K. pneumoniae, ATLAS 2020</x:v>
      </x:c>
      <x:c r="I6" s="102" t="n">
        <x:v>98.2425857519789</x:v>
      </x:c>
      <x:c r="J6" s="102" t="n">
        <x:v>89.22500000000001</x:v>
      </x:c>
      <x:c r="K6" s="102" t="n">
        <x:v>88.41282321899736</x:v>
      </x:c>
      <x:c r="L6" s="102" t="n">
        <x:v>0</x:v>
      </x:c>
      <x:c r="M6" s="102" t="n">
        <x:v>87.985</x:v>
      </x:c>
      <x:c r="N6" s="102" t="n">
        <x:v>0</x:v>
      </x:c>
      <x:c r="O6" s="102" t="n">
        <x:v>9.62</x:v>
      </x:c>
      <x:c r="P6" s="102" t="n">
        <x:v>0</x:v>
      </x:c>
      <x:c r="Q6" s="45" t="str">
        <x:v>USER_INPUT</x:v>
      </x:c>
      <x:c r="R6" s="45" t="str">
        <x:v>NONE</x:v>
      </x:c>
      <x:c r="S6" s="45" t="str">
        <x:v>SYSTEM_NORMALIZED</x:v>
      </x:c>
    </x:row>
    <x:row r="7">
      <x:c r="A7" s="45" t="str">
        <x:v>BASE</x:v>
      </x:c>
      <x:c r="B7" s="45" t="str">
        <x:v>Baseline validated pilot</x:v>
      </x:c>
      <x:c r="C7" s="45" t="str">
        <x:v>R8</x:v>
      </x:c>
      <x:c r="D7" s="45" t="str">
        <x:v>31–60</x:v>
      </x:c>
      <x:c r="E7" s="45" t="n">
        <x:v>2.5</x:v>
      </x:c>
      <x:c r="F7" s="45" t="n">
        <x:v>12</x:v>
      </x:c>
      <x:c r="G7" s="45" t="str">
        <x:v>LEE2022_OXA_KP</x:v>
      </x:c>
      <x:c r="H7" s="45" t="str">
        <x:v>OXA-like CR-K. pneumoniae, ATLAS 2020</x:v>
      </x:c>
      <x:c r="I7" s="102" t="n">
        <x:v>98.22625000000002</x:v>
      </x:c>
      <x:c r="J7" s="102" t="n">
        <x:v>89.22500000000001</x:v>
      </x:c>
      <x:c r="K7" s="102" t="n">
        <x:v>87.95485169491526</x:v>
      </x:c>
      <x:c r="L7" s="102" t="n">
        <x:v>0</x:v>
      </x:c>
      <x:c r="M7" s="102" t="n">
        <x:v>87.985</x:v>
      </x:c>
      <x:c r="N7" s="102" t="n">
        <x:v>0</x:v>
      </x:c>
      <x:c r="O7" s="102" t="n">
        <x:v>9.62</x:v>
      </x:c>
      <x:c r="P7" s="102" t="n">
        <x:v>0</x:v>
      </x:c>
      <x:c r="Q7" s="45" t="str">
        <x:v>USER_INPUT</x:v>
      </x:c>
      <x:c r="R7" s="45" t="str">
        <x:v>NONE</x:v>
      </x:c>
      <x:c r="S7" s="45" t="str">
        <x:v>SYSTEM_NORMALIZED</x:v>
      </x:c>
    </x:row>
    <x:row r="8">
      <x:c r="A8" s="45" t="str">
        <x:v>BASE</x:v>
      </x:c>
      <x:c r="B8" s="45" t="str">
        <x:v>Baseline validated pilot</x:v>
      </x:c>
      <x:c r="C8" s="45" t="str">
        <x:v>R8</x:v>
      </x:c>
      <x:c r="D8" s="45" t="str">
        <x:v>31–60</x:v>
      </x:c>
      <x:c r="E8" s="45" t="n">
        <x:v>2.5</x:v>
      </x:c>
      <x:c r="F8" s="45" t="n">
        <x:v>12</x:v>
      </x:c>
      <x:c r="G8" s="45" t="str">
        <x:v>INDIA2022_OXA48_KP</x:v>
      </x:c>
      <x:c r="H8" s="45" t="str">
        <x:v>OXA-48-like CR-K. pneumoniae, India</x:v>
      </x:c>
      <x:c r="I8" s="102" t="n">
        <x:v>96.11161764705881</x:v>
      </x:c>
      <x:c r="J8" s="102" t="n">
        <x:v>89.22500000000001</x:v>
      </x:c>
      <x:c r="K8" s="102" t="n">
        <x:v>85.96338235294118</x:v>
      </x:c>
      <x:c r="L8" s="102" t="n">
        <x:v>0</x:v>
      </x:c>
      <x:c r="M8" s="102" t="n">
        <x:v>87.985</x:v>
      </x:c>
      <x:c r="N8" s="102" t="n">
        <x:v>0</x:v>
      </x:c>
      <x:c r="O8" s="102" t="n">
        <x:v>9.62</x:v>
      </x:c>
      <x:c r="P8" s="102" t="n">
        <x:v>0</x:v>
      </x:c>
      <x:c r="Q8" s="45" t="str">
        <x:v>USER_INPUT</x:v>
      </x:c>
      <x:c r="R8" s="45" t="str">
        <x:v>NONE</x:v>
      </x:c>
      <x:c r="S8" s="45" t="str">
        <x:v>SYSTEM_NORMALIZED</x:v>
      </x:c>
    </x:row>
    <x:row r="9">
      <x:c r="A9" s="45" t="str">
        <x:v>BASE</x:v>
      </x:c>
      <x:c r="B9" s="45" t="str">
        <x:v>Baseline validated pilot</x:v>
      </x:c>
      <x:c r="C9" s="45" t="str">
        <x:v>R8</x:v>
      </x:c>
      <x:c r="D9" s="45" t="str">
        <x:v>31–60</x:v>
      </x:c>
      <x:c r="E9" s="45" t="n">
        <x:v>2.5</x:v>
      </x:c>
      <x:c r="F9" s="45" t="n">
        <x:v>12</x:v>
      </x:c>
      <x:c r="G9" s="45" t="str">
        <x:v>FR2024_OXA484_SERINE_ONLY</x:v>
      </x:c>
      <x:c r="H9" s="45" t="str">
        <x:v>French OXA-484 Enterobacterales, serine-only</x:v>
      </x:c>
      <x:c r="I9" s="102" t="n">
        <x:v>99.76208333333334</x:v>
      </x:c>
      <x:c r="J9" s="102" t="n">
        <x:v>89.22499999999998</x:v>
      </x:c>
      <x:c r="K9" s="102" t="n">
        <x:v>89.20433333333331</x:v>
      </x:c>
      <x:c r="L9" s="102" t="n">
        <x:v>0</x:v>
      </x:c>
      <x:c r="M9" s="102" t="n">
        <x:v>87.985</x:v>
      </x:c>
      <x:c r="N9" s="102" t="n">
        <x:v>0</x:v>
      </x:c>
      <x:c r="O9" s="102" t="n">
        <x:v>9.62</x:v>
      </x:c>
      <x:c r="P9" s="102" t="n">
        <x:v>0</x:v>
      </x:c>
      <x:c r="Q9" s="45" t="str">
        <x:v>USER_INPUT</x:v>
      </x:c>
      <x:c r="R9" s="45" t="str">
        <x:v>NONE</x:v>
      </x:c>
      <x:c r="S9" s="45" t="str">
        <x:v>SYSTEM_NORMALIZED</x:v>
      </x:c>
    </x:row>
    <x:row r="10">
      <x:c r="A10" s="45" t="str">
        <x:v>BASE</x:v>
      </x:c>
      <x:c r="B10" s="45" t="str">
        <x:v>Baseline validated pilot</x:v>
      </x:c>
      <x:c r="C10" s="45" t="str">
        <x:v>R10</x:v>
      </x:c>
      <x:c r="D10" s="45" t="str">
        <x:v>61–90</x:v>
      </x:c>
      <x:c r="E10" s="45" t="n">
        <x:v>2.5</x:v>
      </x:c>
      <x:c r="F10" s="45" t="n">
        <x:v>8</x:v>
      </x:c>
      <x:c r="G10" s="45" t="str">
        <x:v>LEE2022_KPC_KP</x:v>
      </x:c>
      <x:c r="H10" s="45" t="str">
        <x:v>KPC-like CR-K. pneumoniae, ATLAS 2020</x:v>
      </x:c>
      <x:c r="I10" s="102" t="n">
        <x:v>98.4327308707124</x:v>
      </x:c>
      <x:c r="J10" s="102" t="n">
        <x:v>88.14</x:v>
      </x:c>
      <x:c r="K10" s="102" t="n">
        <x:v>87.42915567282323</x:v>
      </x:c>
      <x:c r="L10" s="102" t="n">
        <x:v>0</x:v>
      </x:c>
      <x:c r="M10" s="102" t="n">
        <x:v>87.535</x:v>
      </x:c>
      <x:c r="N10" s="102" t="n">
        <x:v>0</x:v>
      </x:c>
      <x:c r="O10" s="102" t="n">
        <x:v>10.665</x:v>
      </x:c>
      <x:c r="P10" s="102" t="n">
        <x:v>0</x:v>
      </x:c>
      <x:c r="Q10" s="45" t="str">
        <x:v>USER_INPUT</x:v>
      </x:c>
      <x:c r="R10" s="45" t="str">
        <x:v>NONE</x:v>
      </x:c>
      <x:c r="S10" s="45" t="str">
        <x:v>SYSTEM_NORMALIZED</x:v>
      </x:c>
    </x:row>
    <x:row r="11">
      <x:c r="A11" s="45" t="str">
        <x:v>BASE</x:v>
      </x:c>
      <x:c r="B11" s="45" t="str">
        <x:v>Baseline validated pilot</x:v>
      </x:c>
      <x:c r="C11" s="45" t="str">
        <x:v>R10</x:v>
      </x:c>
      <x:c r="D11" s="45" t="str">
        <x:v>61–90</x:v>
      </x:c>
      <x:c r="E11" s="45" t="n">
        <x:v>2.5</x:v>
      </x:c>
      <x:c r="F11" s="45" t="n">
        <x:v>8</x:v>
      </x:c>
      <x:c r="G11" s="45" t="str">
        <x:v>LEE2022_OXA_KP</x:v>
      </x:c>
      <x:c r="H11" s="45" t="str">
        <x:v>OXA-like CR-K. pneumoniae, ATLAS 2020</x:v>
      </x:c>
      <x:c r="I11" s="102" t="n">
        <x:v>98.30724576271186</x:v>
      </x:c>
      <x:c r="J11" s="102" t="n">
        <x:v>88.14000000000003</x:v>
      </x:c>
      <x:c r="K11" s="102" t="n">
        <x:v>86.91703389830509</x:v>
      </x:c>
      <x:c r="L11" s="102" t="n">
        <x:v>0</x:v>
      </x:c>
      <x:c r="M11" s="102" t="n">
        <x:v>87.535</x:v>
      </x:c>
      <x:c r="N11" s="102" t="n">
        <x:v>0</x:v>
      </x:c>
      <x:c r="O11" s="102" t="n">
        <x:v>10.665</x:v>
      </x:c>
      <x:c r="P11" s="102" t="n">
        <x:v>0</x:v>
      </x:c>
      <x:c r="Q11" s="45" t="str">
        <x:v>USER_INPUT</x:v>
      </x:c>
      <x:c r="R11" s="45" t="str">
        <x:v>NONE</x:v>
      </x:c>
      <x:c r="S11" s="45" t="str">
        <x:v>SYSTEM_NORMALIZED</x:v>
      </x:c>
    </x:row>
    <x:row r="12">
      <x:c r="A12" s="45" t="str">
        <x:v>BASE</x:v>
      </x:c>
      <x:c r="B12" s="45" t="str">
        <x:v>Baseline validated pilot</x:v>
      </x:c>
      <x:c r="C12" s="45" t="str">
        <x:v>R10</x:v>
      </x:c>
      <x:c r="D12" s="45" t="str">
        <x:v>61–90</x:v>
      </x:c>
      <x:c r="E12" s="45" t="n">
        <x:v>2.5</x:v>
      </x:c>
      <x:c r="F12" s="45" t="n">
        <x:v>8</x:v>
      </x:c>
      <x:c r="G12" s="45" t="str">
        <x:v>INDIA2022_OXA48_KP</x:v>
      </x:c>
      <x:c r="H12" s="45" t="str">
        <x:v>OXA-48-like CR-K. pneumoniae, India</x:v>
      </x:c>
      <x:c r="I12" s="102" t="n">
        <x:v>96.16680147058821</x:v>
      </x:c>
      <x:c r="J12" s="102" t="n">
        <x:v>88.13999999999999</x:v>
      </x:c>
      <x:c r="K12" s="102" t="n">
        <x:v>84.93959558823529</x:v>
      </x:c>
      <x:c r="L12" s="102" t="n">
        <x:v>0</x:v>
      </x:c>
      <x:c r="M12" s="102" t="n">
        <x:v>87.535</x:v>
      </x:c>
      <x:c r="N12" s="102" t="n">
        <x:v>0</x:v>
      </x:c>
      <x:c r="O12" s="102" t="n">
        <x:v>10.665</x:v>
      </x:c>
      <x:c r="P12" s="102" t="n">
        <x:v>0</x:v>
      </x:c>
      <x:c r="Q12" s="45" t="str">
        <x:v>USER_INPUT</x:v>
      </x:c>
      <x:c r="R12" s="45" t="str">
        <x:v>NONE</x:v>
      </x:c>
      <x:c r="S12" s="45" t="str">
        <x:v>SYSTEM_NORMALIZED</x:v>
      </x:c>
    </x:row>
    <x:row r="13">
      <x:c r="A13" s="45" t="str">
        <x:v>BASE</x:v>
      </x:c>
      <x:c r="B13" s="45" t="str">
        <x:v>Baseline validated pilot</x:v>
      </x:c>
      <x:c r="C13" s="45" t="str">
        <x:v>R10</x:v>
      </x:c>
      <x:c r="D13" s="45" t="str">
        <x:v>61–90</x:v>
      </x:c>
      <x:c r="E13" s="45" t="n">
        <x:v>2.5</x:v>
      </x:c>
      <x:c r="F13" s="45" t="n">
        <x:v>8</x:v>
      </x:c>
      <x:c r="G13" s="45" t="str">
        <x:v>FR2024_OXA484_SERINE_ONLY</x:v>
      </x:c>
      <x:c r="H13" s="45" t="str">
        <x:v>French OXA-484 Enterobacterales, serine-only</x:v>
      </x:c>
      <x:c r="I13" s="102" t="n">
        <x:v>99.80858333333335</x:v>
      </x:c>
      <x:c r="J13" s="102" t="n">
        <x:v>88.14</x:v>
      </x:c>
      <x:c r="K13" s="102" t="n">
        <x:v>88.12991666666667</x:v>
      </x:c>
      <x:c r="L13" s="102" t="n">
        <x:v>0</x:v>
      </x:c>
      <x:c r="M13" s="102" t="n">
        <x:v>87.535</x:v>
      </x:c>
      <x:c r="N13" s="102" t="n">
        <x:v>0</x:v>
      </x:c>
      <x:c r="O13" s="102" t="n">
        <x:v>10.665</x:v>
      </x:c>
      <x:c r="P13" s="102" t="n">
        <x:v>0</x:v>
      </x:c>
      <x:c r="Q13" s="45" t="str">
        <x:v>USER_INPUT</x:v>
      </x:c>
      <x:c r="R13" s="45" t="str">
        <x:v>NONE</x:v>
      </x:c>
      <x:c r="S13" s="45" t="str">
        <x:v>SYSTEM_NORMALIZED</x:v>
      </x:c>
    </x:row>
    <x:row r="14">
      <x:c r="A14" s="45" t="str">
        <x:v>BASE</x:v>
      </x:c>
      <x:c r="B14" s="45" t="str">
        <x:v>Baseline validated pilot</x:v>
      </x:c>
      <x:c r="C14" s="45" t="str">
        <x:v>R12</x:v>
      </x:c>
      <x:c r="D14" s="45" t="str">
        <x:v>91–120</x:v>
      </x:c>
      <x:c r="E14" s="45" t="n">
        <x:v>2.5</x:v>
      </x:c>
      <x:c r="F14" s="45" t="n">
        <x:v>6</x:v>
      </x:c>
      <x:c r="G14" s="45" t="str">
        <x:v>LEE2022_KPC_KP</x:v>
      </x:c>
      <x:c r="H14" s="45" t="str">
        <x:v>KPC-like CR-K. pneumoniae, ATLAS 2020</x:v>
      </x:c>
      <x:c r="I14" s="102" t="n">
        <x:v>98.59763852242745</x:v>
      </x:c>
      <x:c r="J14" s="102" t="n">
        <x:v>88.14</x:v>
      </x:c>
      <x:c r="K14" s="102" t="n">
        <x:v>87.49072559366755</x:v>
      </x:c>
      <x:c r="L14" s="102" t="n">
        <x:v>0</x:v>
      </x:c>
      <x:c r="M14" s="102" t="n">
        <x:v>87.76</x:v>
      </x:c>
      <x:c r="N14" s="102" t="n">
        <x:v>0</x:v>
      </x:c>
      <x:c r="O14" s="102" t="n">
        <x:v>11.82</x:v>
      </x:c>
      <x:c r="P14" s="102" t="n">
        <x:v>0</x:v>
      </x:c>
      <x:c r="Q14" s="45" t="str">
        <x:v>USER_INPUT</x:v>
      </x:c>
      <x:c r="R14" s="45" t="str">
        <x:v>NONE</x:v>
      </x:c>
      <x:c r="S14" s="45" t="str">
        <x:v>SYSTEM_NORMALIZED</x:v>
      </x:c>
    </x:row>
    <x:row r="15">
      <x:c r="A15" s="45" t="str">
        <x:v>BASE</x:v>
      </x:c>
      <x:c r="B15" s="45" t="str">
        <x:v>Baseline validated pilot</x:v>
      </x:c>
      <x:c r="C15" s="45" t="str">
        <x:v>R12</x:v>
      </x:c>
      <x:c r="D15" s="45" t="str">
        <x:v>91–120</x:v>
      </x:c>
      <x:c r="E15" s="45" t="n">
        <x:v>2.5</x:v>
      </x:c>
      <x:c r="F15" s="45" t="n">
        <x:v>6</x:v>
      </x:c>
      <x:c r="G15" s="45" t="str">
        <x:v>LEE2022_OXA_KP</x:v>
      </x:c>
      <x:c r="H15" s="45" t="str">
        <x:v>OXA-like CR-K. pneumoniae, ATLAS 2020</x:v>
      </x:c>
      <x:c r="I15" s="102" t="n">
        <x:v>98.37855932203391</x:v>
      </x:c>
      <x:c r="J15" s="102" t="n">
        <x:v>88.14000000000003</x:v>
      </x:c>
      <x:c r="K15" s="102" t="n">
        <x:v>86.93947033898306</x:v>
      </x:c>
      <x:c r="L15" s="102" t="n">
        <x:v>0</x:v>
      </x:c>
      <x:c r="M15" s="102" t="n">
        <x:v>87.76</x:v>
      </x:c>
      <x:c r="N15" s="102" t="n">
        <x:v>0</x:v>
      </x:c>
      <x:c r="O15" s="102" t="n">
        <x:v>11.82</x:v>
      </x:c>
      <x:c r="P15" s="102" t="n">
        <x:v>0</x:v>
      </x:c>
      <x:c r="Q15" s="45" t="str">
        <x:v>USER_INPUT</x:v>
      </x:c>
      <x:c r="R15" s="45" t="str">
        <x:v>NONE</x:v>
      </x:c>
      <x:c r="S15" s="45" t="str">
        <x:v>SYSTEM_NORMALIZED</x:v>
      </x:c>
    </x:row>
    <x:row r="16">
      <x:c r="A16" s="45" t="str">
        <x:v>BASE</x:v>
      </x:c>
      <x:c r="B16" s="45" t="str">
        <x:v>Baseline validated pilot</x:v>
      </x:c>
      <x:c r="C16" s="45" t="str">
        <x:v>R12</x:v>
      </x:c>
      <x:c r="D16" s="45" t="str">
        <x:v>91–120</x:v>
      </x:c>
      <x:c r="E16" s="45" t="n">
        <x:v>2.5</x:v>
      </x:c>
      <x:c r="F16" s="45" t="n">
        <x:v>6</x:v>
      </x:c>
      <x:c r="G16" s="45" t="str">
        <x:v>INDIA2022_OXA48_KP</x:v>
      </x:c>
      <x:c r="H16" s="45" t="str">
        <x:v>OXA-48-like CR-K. pneumoniae, India</x:v>
      </x:c>
      <x:c r="I16" s="102" t="n">
        <x:v>96.21154411764707</x:v>
      </x:c>
      <x:c r="J16" s="102" t="n">
        <x:v>88.13999999999999</x:v>
      </x:c>
      <x:c r="K16" s="102" t="n">
        <x:v>84.95058823529412</x:v>
      </x:c>
      <x:c r="L16" s="102" t="n">
        <x:v>0</x:v>
      </x:c>
      <x:c r="M16" s="102" t="n">
        <x:v>87.76</x:v>
      </x:c>
      <x:c r="N16" s="102" t="n">
        <x:v>0</x:v>
      </x:c>
      <x:c r="O16" s="102" t="n">
        <x:v>11.82</x:v>
      </x:c>
      <x:c r="P16" s="102" t="n">
        <x:v>0</x:v>
      </x:c>
      <x:c r="Q16" s="45" t="str">
        <x:v>USER_INPUT</x:v>
      </x:c>
      <x:c r="R16" s="45" t="str">
        <x:v>NONE</x:v>
      </x:c>
      <x:c r="S16" s="45" t="str">
        <x:v>SYSTEM_NORMALIZED</x:v>
      </x:c>
    </x:row>
    <x:row r="17">
      <x:c r="A17" s="45" t="str">
        <x:v>BASE</x:v>
      </x:c>
      <x:c r="B17" s="45" t="str">
        <x:v>Baseline validated pilot</x:v>
      </x:c>
      <x:c r="C17" s="45" t="str">
        <x:v>R12</x:v>
      </x:c>
      <x:c r="D17" s="45" t="str">
        <x:v>91–120</x:v>
      </x:c>
      <x:c r="E17" s="45" t="n">
        <x:v>2.5</x:v>
      </x:c>
      <x:c r="F17" s="45" t="n">
        <x:v>6</x:v>
      </x:c>
      <x:c r="G17" s="45" t="str">
        <x:v>FR2024_OXA484_SERINE_ONLY</x:v>
      </x:c>
      <x:c r="H17" s="45" t="str">
        <x:v>French OXA-484 Enterobacterales, serine-only</x:v>
      </x:c>
      <x:c r="I17" s="102" t="n">
        <x:v>99.84516666666667</x:v>
      </x:c>
      <x:c r="J17" s="102" t="n">
        <x:v>88.14</x:v>
      </x:c>
      <x:c r="K17" s="102" t="n">
        <x:v>88.13366666666667</x:v>
      </x:c>
      <x:c r="L17" s="102" t="n">
        <x:v>0</x:v>
      </x:c>
      <x:c r="M17" s="102" t="n">
        <x:v>87.76</x:v>
      </x:c>
      <x:c r="N17" s="102" t="n">
        <x:v>0</x:v>
      </x:c>
      <x:c r="O17" s="102" t="n">
        <x:v>11.82</x:v>
      </x:c>
      <x:c r="P17" s="102" t="n">
        <x:v>0</x:v>
      </x:c>
      <x:c r="Q17" s="45" t="str">
        <x:v>USER_INPUT</x:v>
      </x:c>
      <x:c r="R17" s="45" t="str">
        <x:v>NONE</x:v>
      </x:c>
      <x:c r="S17" s="45" t="str">
        <x:v>SYSTEM_NORMALIZED</x:v>
      </x:c>
    </x:row>
    <x:row r="18">
      <x:c r="A18" s="45" t="str">
        <x:v>BASE</x:v>
      </x:c>
      <x:c r="B18" s="45" t="str">
        <x:v>Baseline validated pilot</x:v>
      </x:c>
      <x:c r="C18" s="45" t="str">
        <x:v>R13</x:v>
      </x:c>
      <x:c r="D18" s="45" t="str">
        <x:v>121–150</x:v>
      </x:c>
      <x:c r="E18" s="45" t="n">
        <x:v>2.5</x:v>
      </x:c>
      <x:c r="F18" s="45" t="n">
        <x:v>6</x:v>
      </x:c>
      <x:c r="G18" s="45" t="str">
        <x:v>LEE2022_KPC_KP</x:v>
      </x:c>
      <x:c r="H18" s="45" t="str">
        <x:v>KPC-like CR-K. pneumoniae, ATLAS 2020</x:v>
      </x:c>
      <x:c r="I18" s="102" t="n">
        <x:v>98.02172823218997</x:v>
      </x:c>
      <x:c r="J18" s="102" t="n">
        <x:v>80.39999999999998</x:v>
      </x:c>
      <x:c r="K18" s="102" t="n">
        <x:v>79.73715039577836</x:v>
      </x:c>
      <x:c r="L18" s="102" t="n">
        <x:v>0</x:v>
      </x:c>
      <x:c r="M18" s="102" t="n">
        <x:v>80.015</x:v>
      </x:c>
      <x:c r="N18" s="102" t="n">
        <x:v>0</x:v>
      </x:c>
      <x:c r="O18" s="102" t="n">
        <x:v>7.045</x:v>
      </x:c>
      <x:c r="P18" s="102" t="n">
        <x:v>0</x:v>
      </x:c>
      <x:c r="Q18" s="45" t="str">
        <x:v>USER_INPUT</x:v>
      </x:c>
      <x:c r="R18" s="45" t="str">
        <x:v>NONE</x:v>
      </x:c>
      <x:c r="S18" s="45" t="str">
        <x:v>SYSTEM_NORMALIZED</x:v>
      </x:c>
    </x:row>
    <x:row r="19">
      <x:c r="A19" s="45" t="str">
        <x:v>BASE</x:v>
      </x:c>
      <x:c r="B19" s="45" t="str">
        <x:v>Baseline validated pilot</x:v>
      </x:c>
      <x:c r="C19" s="45" t="str">
        <x:v>R13</x:v>
      </x:c>
      <x:c r="D19" s="45" t="str">
        <x:v>121–150</x:v>
      </x:c>
      <x:c r="E19" s="45" t="n">
        <x:v>2.5</x:v>
      </x:c>
      <x:c r="F19" s="45" t="n">
        <x:v>6</x:v>
      </x:c>
      <x:c r="G19" s="45" t="str">
        <x:v>LEE2022_OXA_KP</x:v>
      </x:c>
      <x:c r="H19" s="45" t="str">
        <x:v>OXA-like CR-K. pneumoniae, ATLAS 2020</x:v>
      </x:c>
      <x:c r="I19" s="102" t="n">
        <x:v>98.12555084745763</x:v>
      </x:c>
      <x:c r="J19" s="102" t="n">
        <x:v>80.4</x:v>
      </x:c>
      <x:c r="K19" s="102" t="n">
        <x:v>79.27514830508476</x:v>
      </x:c>
      <x:c r="L19" s="102" t="n">
        <x:v>0</x:v>
      </x:c>
      <x:c r="M19" s="102" t="n">
        <x:v>80.015</x:v>
      </x:c>
      <x:c r="N19" s="102" t="n">
        <x:v>0</x:v>
      </x:c>
      <x:c r="O19" s="102" t="n">
        <x:v>7.045</x:v>
      </x:c>
      <x:c r="P19" s="102" t="n">
        <x:v>0</x:v>
      </x:c>
      <x:c r="Q19" s="45" t="str">
        <x:v>USER_INPUT</x:v>
      </x:c>
      <x:c r="R19" s="45" t="str">
        <x:v>NONE</x:v>
      </x:c>
      <x:c r="S19" s="45" t="str">
        <x:v>SYSTEM_NORMALIZED</x:v>
      </x:c>
    </x:row>
    <x:row r="20">
      <x:c r="A20" s="45" t="str">
        <x:v>BASE</x:v>
      </x:c>
      <x:c r="B20" s="45" t="str">
        <x:v>Baseline validated pilot</x:v>
      </x:c>
      <x:c r="C20" s="45" t="str">
        <x:v>R13</x:v>
      </x:c>
      <x:c r="D20" s="45" t="str">
        <x:v>121–150</x:v>
      </x:c>
      <x:c r="E20" s="45" t="n">
        <x:v>2.5</x:v>
      </x:c>
      <x:c r="F20" s="45" t="n">
        <x:v>6</x:v>
      </x:c>
      <x:c r="G20" s="45" t="str">
        <x:v>INDIA2022_OXA48_KP</x:v>
      </x:c>
      <x:c r="H20" s="45" t="str">
        <x:v>OXA-48-like CR-K. pneumoniae, India</x:v>
      </x:c>
      <x:c r="I20" s="102" t="n">
        <x:v>96.03632352941177</x:v>
      </x:c>
      <x:c r="J20" s="102" t="n">
        <x:v>80.40000000000003</x:v>
      </x:c>
      <x:c r="K20" s="102" t="n">
        <x:v>77.46297794117649</x:v>
      </x:c>
      <x:c r="L20" s="102" t="n">
        <x:v>0</x:v>
      </x:c>
      <x:c r="M20" s="102" t="n">
        <x:v>80.015</x:v>
      </x:c>
      <x:c r="N20" s="102" t="n">
        <x:v>0</x:v>
      </x:c>
      <x:c r="O20" s="102" t="n">
        <x:v>7.045</x:v>
      </x:c>
      <x:c r="P20" s="102" t="n">
        <x:v>0</x:v>
      </x:c>
      <x:c r="Q20" s="45" t="str">
        <x:v>USER_INPUT</x:v>
      </x:c>
      <x:c r="R20" s="45" t="str">
        <x:v>NONE</x:v>
      </x:c>
      <x:c r="S20" s="45" t="str">
        <x:v>SYSTEM_NORMALIZED</x:v>
      </x:c>
    </x:row>
    <x:row r="21">
      <x:c r="A21" s="45" t="str">
        <x:v>BASE</x:v>
      </x:c>
      <x:c r="B21" s="45" t="str">
        <x:v>Baseline validated pilot</x:v>
      </x:c>
      <x:c r="C21" s="45" t="str">
        <x:v>R13</x:v>
      </x:c>
      <x:c r="D21" s="45" t="str">
        <x:v>121–150</x:v>
      </x:c>
      <x:c r="E21" s="45" t="n">
        <x:v>2.5</x:v>
      </x:c>
      <x:c r="F21" s="45" t="n">
        <x:v>6</x:v>
      </x:c>
      <x:c r="G21" s="45" t="str">
        <x:v>FR2024_OXA484_SERINE_ONLY</x:v>
      </x:c>
      <x:c r="H21" s="45" t="str">
        <x:v>French OXA-484 Enterobacterales, serine-only</x:v>
      </x:c>
      <x:c r="I21" s="102" t="n">
        <x:v>99.71316666666667</x:v>
      </x:c>
      <x:c r="J21" s="102" t="n">
        <x:v>80.4</x:v>
      </x:c>
      <x:c r="K21" s="102" t="n">
        <x:v>80.39358333333334</x:v>
      </x:c>
      <x:c r="L21" s="102" t="n">
        <x:v>0</x:v>
      </x:c>
      <x:c r="M21" s="102" t="n">
        <x:v>80.015</x:v>
      </x:c>
      <x:c r="N21" s="102" t="n">
        <x:v>0</x:v>
      </x:c>
      <x:c r="O21" s="102" t="n">
        <x:v>7.045</x:v>
      </x:c>
      <x:c r="P21" s="102" t="n">
        <x:v>0</x:v>
      </x:c>
      <x:c r="Q21" s="45" t="str">
        <x:v>USER_INPUT</x:v>
      </x:c>
      <x:c r="R21" s="45" t="str">
        <x:v>NONE</x:v>
      </x:c>
      <x:c r="S21" s="45" t="str">
        <x:v>SYSTEM_NORMALIZED</x:v>
      </x:c>
    </x:row>
    <x:row r="22">
      <x:c r="A22" s="45" t="str">
        <x:v>CAZ_CL_LOW</x:v>
      </x:c>
      <x:c r="B22" s="45" t="str">
        <x:v>CAZ typical clearance −20%</x:v>
      </x:c>
      <x:c r="C22" s="45" t="str">
        <x:v>R1</x:v>
      </x:c>
      <x:c r="D22" s="45" t="str">
        <x:v>0–30</x:v>
      </x:c>
      <x:c r="E22" s="45" t="n">
        <x:v>0.625</x:v>
      </x:c>
      <x:c r="F22" s="45" t="n">
        <x:v>12</x:v>
      </x:c>
      <x:c r="G22" s="45" t="str">
        <x:v>LEE2022_KPC_KP</x:v>
      </x:c>
      <x:c r="H22" s="45" t="str">
        <x:v>KPC-like CR-K. pneumoniae, ATLAS 2020</x:v>
      </x:c>
      <x:c r="I22" s="102" t="n">
        <x:v>95.76843007915569</x:v>
      </x:c>
      <x:c r="J22" s="102" t="n">
        <x:v>74.22</x:v>
      </x:c>
      <x:c r="K22" s="102" t="n">
        <x:v>73.4081926121372</x:v>
      </x:c>
      <x:c r="L22" s="102" t="n">
        <x:v>0.6040633245382594</x:v>
      </x:c>
      <x:c r="M22" s="102" t="n">
        <x:v>72.13000000000001</x:v>
      </x:c>
      <x:c r="N22" s="102" t="n">
        <x:v>5.7050000000000125</x:v>
      </x:c>
      <x:c r="O22" s="102" t="n">
        <x:v>12.61</x:v>
      </x:c>
      <x:c r="P22" s="102" t="n">
        <x:v>3.1899999999999995</x:v>
      </x:c>
      <x:c r="Q22" s="45" t="str">
        <x:v>MODEL_INFERRED</x:v>
      </x:c>
      <x:c r="R22" s="45" t="str">
        <x:v>SCENARIO_GENERATION</x:v>
      </x:c>
      <x:c r="S22" s="45" t="str">
        <x:v>USER_REVIEW_REQUIRED</x:v>
      </x:c>
    </x:row>
    <x:row r="23">
      <x:c r="A23" s="45" t="str">
        <x:v>CAZ_CL_LOW</x:v>
      </x:c>
      <x:c r="B23" s="45" t="str">
        <x:v>CAZ typical clearance −20%</x:v>
      </x:c>
      <x:c r="C23" s="45" t="str">
        <x:v>R1</x:v>
      </x:c>
      <x:c r="D23" s="45" t="str">
        <x:v>0–30</x:v>
      </x:c>
      <x:c r="E23" s="45" t="n">
        <x:v>0.625</x:v>
      </x:c>
      <x:c r="F23" s="45" t="n">
        <x:v>12</x:v>
      </x:c>
      <x:c r="G23" s="45" t="str">
        <x:v>LEE2022_OXA_KP</x:v>
      </x:c>
      <x:c r="H23" s="45" t="str">
        <x:v>OXA-like CR-K. pneumoniae, ATLAS 2020</x:v>
      </x:c>
      <x:c r="I23" s="102" t="n">
        <x:v>96.90334745762712</x:v>
      </x:c>
      <x:c r="J23" s="102" t="n">
        <x:v>74.22</x:v>
      </x:c>
      <x:c r="K23" s="102" t="n">
        <x:v>73.15665254237288</x:v>
      </x:c>
      <x:c r="L23" s="102" t="n">
        <x:v>0.20364406779661692</x:v>
      </x:c>
      <x:c r="M23" s="102" t="n">
        <x:v>72.13000000000001</x:v>
      </x:c>
      <x:c r="N23" s="102" t="n">
        <x:v>5.7050000000000125</x:v>
      </x:c>
      <x:c r="O23" s="102" t="n">
        <x:v>12.61</x:v>
      </x:c>
      <x:c r="P23" s="102" t="n">
        <x:v>3.1899999999999995</x:v>
      </x:c>
      <x:c r="Q23" s="45" t="str">
        <x:v>MODEL_INFERRED</x:v>
      </x:c>
      <x:c r="R23" s="45" t="str">
        <x:v>SCENARIO_GENERATION</x:v>
      </x:c>
      <x:c r="S23" s="45" t="str">
        <x:v>USER_REVIEW_REQUIRED</x:v>
      </x:c>
    </x:row>
    <x:row r="24">
      <x:c r="A24" s="45" t="str">
        <x:v>CAZ_CL_LOW</x:v>
      </x:c>
      <x:c r="B24" s="45" t="str">
        <x:v>CAZ typical clearance −20%</x:v>
      </x:c>
      <x:c r="C24" s="45" t="str">
        <x:v>R1</x:v>
      </x:c>
      <x:c r="D24" s="45" t="str">
        <x:v>0–30</x:v>
      </x:c>
      <x:c r="E24" s="45" t="n">
        <x:v>0.625</x:v>
      </x:c>
      <x:c r="F24" s="45" t="n">
        <x:v>12</x:v>
      </x:c>
      <x:c r="G24" s="45" t="str">
        <x:v>INDIA2022_OXA48_KP</x:v>
      </x:c>
      <x:c r="H24" s="45" t="str">
        <x:v>OXA-48-like CR-K. pneumoniae, India</x:v>
      </x:c>
      <x:c r="I24" s="102" t="n">
        <x:v>95.36066176470588</x:v>
      </x:c>
      <x:c r="J24" s="102" t="n">
        <x:v>74.22000000000001</x:v>
      </x:c>
      <x:c r="K24" s="102" t="n">
        <x:v>71.61683823529413</x:v>
      </x:c>
      <x:c r="L24" s="102" t="n">
        <x:v>0.17455882352940932</x:v>
      </x:c>
      <x:c r="M24" s="102" t="n">
        <x:v>72.13000000000001</x:v>
      </x:c>
      <x:c r="N24" s="102" t="n">
        <x:v>5.7050000000000125</x:v>
      </x:c>
      <x:c r="O24" s="102" t="n">
        <x:v>12.61</x:v>
      </x:c>
      <x:c r="P24" s="102" t="n">
        <x:v>3.1899999999999995</x:v>
      </x:c>
      <x:c r="Q24" s="45" t="str">
        <x:v>MODEL_INFERRED</x:v>
      </x:c>
      <x:c r="R24" s="45" t="str">
        <x:v>SCENARIO_GENERATION</x:v>
      </x:c>
      <x:c r="S24" s="45" t="str">
        <x:v>USER_REVIEW_REQUIRED</x:v>
      </x:c>
    </x:row>
    <x:row r="25">
      <x:c r="A25" s="45" t="str">
        <x:v>CAZ_CL_LOW</x:v>
      </x:c>
      <x:c r="B25" s="45" t="str">
        <x:v>CAZ typical clearance −20%</x:v>
      </x:c>
      <x:c r="C25" s="45" t="str">
        <x:v>R1</x:v>
      </x:c>
      <x:c r="D25" s="45" t="str">
        <x:v>0–30</x:v>
      </x:c>
      <x:c r="E25" s="45" t="n">
        <x:v>0.625</x:v>
      </x:c>
      <x:c r="F25" s="45" t="n">
        <x:v>12</x:v>
      </x:c>
      <x:c r="G25" s="45" t="str">
        <x:v>FR2024_OXA484_SERINE_ONLY</x:v>
      </x:c>
      <x:c r="H25" s="45" t="str">
        <x:v>French OXA-484 Enterobacterales, serine-only</x:v>
      </x:c>
      <x:c r="I25" s="102" t="n">
        <x:v>98.90133333333333</x:v>
      </x:c>
      <x:c r="J25" s="102" t="n">
        <x:v>74.22</x:v>
      </x:c>
      <x:c r="K25" s="102" t="n">
        <x:v>74.18516666666667</x:v>
      </x:c>
      <x:c r="L25" s="102" t="n">
        <x:v>0.09583333333333144</x:v>
      </x:c>
      <x:c r="M25" s="102" t="n">
        <x:v>72.13000000000001</x:v>
      </x:c>
      <x:c r="N25" s="102" t="n">
        <x:v>5.7050000000000125</x:v>
      </x:c>
      <x:c r="O25" s="102" t="n">
        <x:v>12.61</x:v>
      </x:c>
      <x:c r="P25" s="102" t="n">
        <x:v>3.1899999999999995</x:v>
      </x:c>
      <x:c r="Q25" s="45" t="str">
        <x:v>MODEL_INFERRED</x:v>
      </x:c>
      <x:c r="R25" s="45" t="str">
        <x:v>SCENARIO_GENERATION</x:v>
      </x:c>
      <x:c r="S25" s="45" t="str">
        <x:v>USER_REVIEW_REQUIRED</x:v>
      </x:c>
    </x:row>
    <x:row r="26">
      <x:c r="A26" s="45" t="str">
        <x:v>CAZ_CL_LOW</x:v>
      </x:c>
      <x:c r="B26" s="45" t="str">
        <x:v>CAZ typical clearance −20%</x:v>
      </x:c>
      <x:c r="C26" s="45" t="str">
        <x:v>R8</x:v>
      </x:c>
      <x:c r="D26" s="45" t="str">
        <x:v>31–60</x:v>
      </x:c>
      <x:c r="E26" s="45" t="n">
        <x:v>2.5</x:v>
      </x:c>
      <x:c r="F26" s="45" t="n">
        <x:v>12</x:v>
      </x:c>
      <x:c r="G26" s="45" t="str">
        <x:v>LEE2022_KPC_KP</x:v>
      </x:c>
      <x:c r="H26" s="45" t="str">
        <x:v>KPC-like CR-K. pneumoniae, ATLAS 2020</x:v>
      </x:c>
      <x:c r="I26" s="102" t="n">
        <x:v>98.88299472295513</x:v>
      </x:c>
      <x:c r="J26" s="102" t="n">
        <x:v>89.22500000000001</x:v>
      </x:c>
      <x:c r="K26" s="102" t="n">
        <x:v>88.6645382585752</x:v>
      </x:c>
      <x:c r="L26" s="102" t="n">
        <x:v>0.2517150395778458</x:v>
      </x:c>
      <x:c r="M26" s="102" t="n">
        <x:v>89.05999999999999</x:v>
      </x:c>
      <x:c r="N26" s="102" t="n">
        <x:v>1.0749999999999886</x:v>
      </x:c>
      <x:c r="O26" s="102" t="n">
        <x:v>17.305</x:v>
      </x:c>
      <x:c r="P26" s="102" t="n">
        <x:v>7.6850000000000005</x:v>
      </x:c>
      <x:c r="Q26" s="45" t="str">
        <x:v>MODEL_INFERRED</x:v>
      </x:c>
      <x:c r="R26" s="45" t="str">
        <x:v>SCENARIO_GENERATION</x:v>
      </x:c>
      <x:c r="S26" s="45" t="str">
        <x:v>USER_REVIEW_REQUIRED</x:v>
      </x:c>
    </x:row>
    <x:row r="27">
      <x:c r="A27" s="45" t="str">
        <x:v>CAZ_CL_LOW</x:v>
      </x:c>
      <x:c r="B27" s="45" t="str">
        <x:v>CAZ typical clearance −20%</x:v>
      </x:c>
      <x:c r="C27" s="45" t="str">
        <x:v>R8</x:v>
      </x:c>
      <x:c r="D27" s="45" t="str">
        <x:v>31–60</x:v>
      </x:c>
      <x:c r="E27" s="45" t="n">
        <x:v>2.5</x:v>
      </x:c>
      <x:c r="F27" s="45" t="n">
        <x:v>12</x:v>
      </x:c>
      <x:c r="G27" s="45" t="str">
        <x:v>LEE2022_OXA_KP</x:v>
      </x:c>
      <x:c r="H27" s="45" t="str">
        <x:v>OXA-like CR-K. pneumoniae, ATLAS 2020</x:v>
      </x:c>
      <x:c r="I27" s="102" t="n">
        <x:v>98.49764830508475</x:v>
      </x:c>
      <x:c r="J27" s="102" t="n">
        <x:v>89.22500000000001</x:v>
      </x:c>
      <x:c r="K27" s="102" t="n">
        <x:v>88.05014830508475</x:v>
      </x:c>
      <x:c r="L27" s="102" t="n">
        <x:v>0.0952966101694841</x:v>
      </x:c>
      <x:c r="M27" s="102" t="n">
        <x:v>89.05999999999999</x:v>
      </x:c>
      <x:c r="N27" s="102" t="n">
        <x:v>1.0749999999999886</x:v>
      </x:c>
      <x:c r="O27" s="102" t="n">
        <x:v>17.305</x:v>
      </x:c>
      <x:c r="P27" s="102" t="n">
        <x:v>7.6850000000000005</x:v>
      </x:c>
      <x:c r="Q27" s="45" t="str">
        <x:v>MODEL_INFERRED</x:v>
      </x:c>
      <x:c r="R27" s="45" t="str">
        <x:v>SCENARIO_GENERATION</x:v>
      </x:c>
      <x:c r="S27" s="45" t="str">
        <x:v>USER_REVIEW_REQUIRED</x:v>
      </x:c>
    </x:row>
    <x:row r="28">
      <x:c r="A28" s="45" t="str">
        <x:v>CAZ_CL_LOW</x:v>
      </x:c>
      <x:c r="B28" s="45" t="str">
        <x:v>CAZ typical clearance −20%</x:v>
      </x:c>
      <x:c r="C28" s="45" t="str">
        <x:v>R8</x:v>
      </x:c>
      <x:c r="D28" s="45" t="str">
        <x:v>31–60</x:v>
      </x:c>
      <x:c r="E28" s="45" t="n">
        <x:v>2.5</x:v>
      </x:c>
      <x:c r="F28" s="45" t="n">
        <x:v>12</x:v>
      </x:c>
      <x:c r="G28" s="45" t="str">
        <x:v>INDIA2022_OXA48_KP</x:v>
      </x:c>
      <x:c r="H28" s="45" t="str">
        <x:v>OXA-48-like CR-K. pneumoniae, India</x:v>
      </x:c>
      <x:c r="I28" s="102" t="n">
        <x:v>96.30863970588234</x:v>
      </x:c>
      <x:c r="J28" s="102" t="n">
        <x:v>89.22500000000001</x:v>
      </x:c>
      <x:c r="K28" s="102" t="n">
        <x:v>86.03974264705883</x:v>
      </x:c>
      <x:c r="L28" s="102" t="n">
        <x:v>0.07636029411764866</x:v>
      </x:c>
      <x:c r="M28" s="102" t="n">
        <x:v>89.05999999999999</x:v>
      </x:c>
      <x:c r="N28" s="102" t="n">
        <x:v>1.0749999999999886</x:v>
      </x:c>
      <x:c r="O28" s="102" t="n">
        <x:v>17.305</x:v>
      </x:c>
      <x:c r="P28" s="102" t="n">
        <x:v>7.6850000000000005</x:v>
      </x:c>
      <x:c r="Q28" s="45" t="str">
        <x:v>MODEL_INFERRED</x:v>
      </x:c>
      <x:c r="R28" s="45" t="str">
        <x:v>SCENARIO_GENERATION</x:v>
      </x:c>
      <x:c r="S28" s="45" t="str">
        <x:v>USER_REVIEW_REQUIRED</x:v>
      </x:c>
    </x:row>
    <x:row r="29">
      <x:c r="A29" s="45" t="str">
        <x:v>CAZ_CL_LOW</x:v>
      </x:c>
      <x:c r="B29" s="45" t="str">
        <x:v>CAZ typical clearance −20%</x:v>
      </x:c>
      <x:c r="C29" s="45" t="str">
        <x:v>R8</x:v>
      </x:c>
      <x:c r="D29" s="45" t="str">
        <x:v>31–60</x:v>
      </x:c>
      <x:c r="E29" s="45" t="n">
        <x:v>2.5</x:v>
      </x:c>
      <x:c r="F29" s="45" t="n">
        <x:v>12</x:v>
      </x:c>
      <x:c r="G29" s="45" t="str">
        <x:v>FR2024_OXA484_SERINE_ONLY</x:v>
      </x:c>
      <x:c r="H29" s="45" t="str">
        <x:v>French OXA-484 Enterobacterales, serine-only</x:v>
      </x:c>
      <x:c r="I29" s="102" t="n">
        <x:v>99.8995</x:v>
      </x:c>
      <x:c r="J29" s="102" t="n">
        <x:v>89.22499999999998</x:v>
      </x:c>
      <x:c r="K29" s="102" t="n">
        <x:v>89.22224999999999</x:v>
      </x:c>
      <x:c r="L29" s="102" t="n">
        <x:v>0.017916666666678793</x:v>
      </x:c>
      <x:c r="M29" s="102" t="n">
        <x:v>89.05999999999999</x:v>
      </x:c>
      <x:c r="N29" s="102" t="n">
        <x:v>1.0749999999999886</x:v>
      </x:c>
      <x:c r="O29" s="102" t="n">
        <x:v>17.305</x:v>
      </x:c>
      <x:c r="P29" s="102" t="n">
        <x:v>7.6850000000000005</x:v>
      </x:c>
      <x:c r="Q29" s="45" t="str">
        <x:v>MODEL_INFERRED</x:v>
      </x:c>
      <x:c r="R29" s="45" t="str">
        <x:v>SCENARIO_GENERATION</x:v>
      </x:c>
      <x:c r="S29" s="45" t="str">
        <x:v>USER_REVIEW_REQUIRED</x:v>
      </x:c>
    </x:row>
    <x:row r="30">
      <x:c r="A30" s="45" t="str">
        <x:v>CAZ_CL_LOW</x:v>
      </x:c>
      <x:c r="B30" s="45" t="str">
        <x:v>CAZ typical clearance −20%</x:v>
      </x:c>
      <x:c r="C30" s="45" t="str">
        <x:v>R10</x:v>
      </x:c>
      <x:c r="D30" s="45" t="str">
        <x:v>61–90</x:v>
      </x:c>
      <x:c r="E30" s="45" t="n">
        <x:v>2.5</x:v>
      </x:c>
      <x:c r="F30" s="45" t="n">
        <x:v>8</x:v>
      </x:c>
      <x:c r="G30" s="45" t="str">
        <x:v>LEE2022_KPC_KP</x:v>
      </x:c>
      <x:c r="H30" s="45" t="str">
        <x:v>KPC-like CR-K. pneumoniae, ATLAS 2020</x:v>
      </x:c>
      <x:c r="I30" s="102" t="n">
        <x:v>98.99758575197887</x:v>
      </x:c>
      <x:c r="J30" s="102" t="n">
        <x:v>88.14</x:v>
      </x:c>
      <x:c r="K30" s="102" t="n">
        <x:v>87.63310026385224</x:v>
      </x:c>
      <x:c r="L30" s="102" t="n">
        <x:v>0.20394459102901408</x:v>
      </x:c>
      <x:c r="M30" s="102" t="n">
        <x:v>88.08500000000001</x:v>
      </x:c>
      <x:c r="N30" s="102" t="n">
        <x:v>0.5500000000000114</x:v>
      </x:c>
      <x:c r="O30" s="102" t="n">
        <x:v>18.825</x:v>
      </x:c>
      <x:c r="P30" s="102" t="n">
        <x:v>8.16</x:v>
      </x:c>
      <x:c r="Q30" s="45" t="str">
        <x:v>MODEL_INFERRED</x:v>
      </x:c>
      <x:c r="R30" s="45" t="str">
        <x:v>SCENARIO_GENERATION</x:v>
      </x:c>
      <x:c r="S30" s="45" t="str">
        <x:v>USER_REVIEW_REQUIRED</x:v>
      </x:c>
    </x:row>
    <x:row r="31">
      <x:c r="A31" s="45" t="str">
        <x:v>CAZ_CL_LOW</x:v>
      </x:c>
      <x:c r="B31" s="45" t="str">
        <x:v>CAZ typical clearance −20%</x:v>
      </x:c>
      <x:c r="C31" s="45" t="str">
        <x:v>R10</x:v>
      </x:c>
      <x:c r="D31" s="45" t="str">
        <x:v>61–90</x:v>
      </x:c>
      <x:c r="E31" s="45" t="n">
        <x:v>2.5</x:v>
      </x:c>
      <x:c r="F31" s="45" t="n">
        <x:v>8</x:v>
      </x:c>
      <x:c r="G31" s="45" t="str">
        <x:v>LEE2022_OXA_KP</x:v>
      </x:c>
      <x:c r="H31" s="45" t="str">
        <x:v>OXA-like CR-K. pneumoniae, ATLAS 2020</x:v>
      </x:c>
      <x:c r="I31" s="102" t="n">
        <x:v>98.54502118644069</x:v>
      </x:c>
      <x:c r="J31" s="102" t="n">
        <x:v>88.14000000000003</x:v>
      </x:c>
      <x:c r="K31" s="102" t="n">
        <x:v>86.99921610169493</x:v>
      </x:c>
      <x:c r="L31" s="102" t="n">
        <x:v>0.08218220338983429</x:v>
      </x:c>
      <x:c r="M31" s="102" t="n">
        <x:v>88.08500000000001</x:v>
      </x:c>
      <x:c r="N31" s="102" t="n">
        <x:v>0.5500000000000114</x:v>
      </x:c>
      <x:c r="O31" s="102" t="n">
        <x:v>18.825</x:v>
      </x:c>
      <x:c r="P31" s="102" t="n">
        <x:v>8.16</x:v>
      </x:c>
      <x:c r="Q31" s="45" t="str">
        <x:v>MODEL_INFERRED</x:v>
      </x:c>
      <x:c r="R31" s="45" t="str">
        <x:v>SCENARIO_GENERATION</x:v>
      </x:c>
      <x:c r="S31" s="45" t="str">
        <x:v>USER_REVIEW_REQUIRED</x:v>
      </x:c>
    </x:row>
    <x:row r="32">
      <x:c r="A32" s="45" t="str">
        <x:v>CAZ_CL_LOW</x:v>
      </x:c>
      <x:c r="B32" s="45" t="str">
        <x:v>CAZ typical clearance −20%</x:v>
      </x:c>
      <x:c r="C32" s="45" t="str">
        <x:v>R10</x:v>
      </x:c>
      <x:c r="D32" s="45" t="str">
        <x:v>61–90</x:v>
      </x:c>
      <x:c r="E32" s="45" t="n">
        <x:v>2.5</x:v>
      </x:c>
      <x:c r="F32" s="45" t="n">
        <x:v>8</x:v>
      </x:c>
      <x:c r="G32" s="45" t="str">
        <x:v>INDIA2022_OXA48_KP</x:v>
      </x:c>
      <x:c r="H32" s="45" t="str">
        <x:v>OXA-48-like CR-K. pneumoniae, India</x:v>
      </x:c>
      <x:c r="I32" s="102" t="n">
        <x:v>96.34705882352944</x:v>
      </x:c>
      <x:c r="J32" s="102" t="n">
        <x:v>88.13999999999999</x:v>
      </x:c>
      <x:c r="K32" s="102" t="n">
        <x:v>85.01099264705883</x:v>
      </x:c>
      <x:c r="L32" s="102" t="n">
        <x:v>0.07139705882353553</x:v>
      </x:c>
      <x:c r="M32" s="102" t="n">
        <x:v>88.08500000000001</x:v>
      </x:c>
      <x:c r="N32" s="102" t="n">
        <x:v>0.5500000000000114</x:v>
      </x:c>
      <x:c r="O32" s="102" t="n">
        <x:v>18.825</x:v>
      </x:c>
      <x:c r="P32" s="102" t="n">
        <x:v>8.16</x:v>
      </x:c>
      <x:c r="Q32" s="45" t="str">
        <x:v>MODEL_INFERRED</x:v>
      </x:c>
      <x:c r="R32" s="45" t="str">
        <x:v>SCENARIO_GENERATION</x:v>
      </x:c>
      <x:c r="S32" s="45" t="str">
        <x:v>USER_REVIEW_REQUIRED</x:v>
      </x:c>
    </x:row>
    <x:row r="33">
      <x:c r="A33" s="45" t="str">
        <x:v>CAZ_CL_LOW</x:v>
      </x:c>
      <x:c r="B33" s="45" t="str">
        <x:v>CAZ typical clearance −20%</x:v>
      </x:c>
      <x:c r="C33" s="45" t="str">
        <x:v>R10</x:v>
      </x:c>
      <x:c r="D33" s="45" t="str">
        <x:v>61–90</x:v>
      </x:c>
      <x:c r="E33" s="45" t="n">
        <x:v>2.5</x:v>
      </x:c>
      <x:c r="F33" s="45" t="n">
        <x:v>8</x:v>
      </x:c>
      <x:c r="G33" s="45" t="str">
        <x:v>FR2024_OXA484_SERINE_ONLY</x:v>
      </x:c>
      <x:c r="H33" s="45" t="str">
        <x:v>French OXA-484 Enterobacterales, serine-only</x:v>
      </x:c>
      <x:c r="I33" s="102" t="n">
        <x:v>99.92200000000001</x:v>
      </x:c>
      <x:c r="J33" s="102" t="n">
        <x:v>88.14</x:v>
      </x:c>
      <x:c r="K33" s="102" t="n">
        <x:v>88.13908333333335</x:v>
      </x:c>
      <x:c r="L33" s="102" t="n">
        <x:v>0.00916666666667254</x:v>
      </x:c>
      <x:c r="M33" s="102" t="n">
        <x:v>88.08500000000001</x:v>
      </x:c>
      <x:c r="N33" s="102" t="n">
        <x:v>0.5500000000000114</x:v>
      </x:c>
      <x:c r="O33" s="102" t="n">
        <x:v>18.825</x:v>
      </x:c>
      <x:c r="P33" s="102" t="n">
        <x:v>8.16</x:v>
      </x:c>
      <x:c r="Q33" s="45" t="str">
        <x:v>MODEL_INFERRED</x:v>
      </x:c>
      <x:c r="R33" s="45" t="str">
        <x:v>SCENARIO_GENERATION</x:v>
      </x:c>
      <x:c r="S33" s="45" t="str">
        <x:v>USER_REVIEW_REQUIRED</x:v>
      </x:c>
    </x:row>
    <x:row r="34">
      <x:c r="A34" s="45" t="str">
        <x:v>CAZ_CL_LOW</x:v>
      </x:c>
      <x:c r="B34" s="45" t="str">
        <x:v>CAZ typical clearance −20%</x:v>
      </x:c>
      <x:c r="C34" s="45" t="str">
        <x:v>R12</x:v>
      </x:c>
      <x:c r="D34" s="45" t="str">
        <x:v>91–120</x:v>
      </x:c>
      <x:c r="E34" s="45" t="n">
        <x:v>2.5</x:v>
      </x:c>
      <x:c r="F34" s="45" t="n">
        <x:v>6</x:v>
      </x:c>
      <x:c r="G34" s="45" t="str">
        <x:v>LEE2022_KPC_KP</x:v>
      </x:c>
      <x:c r="H34" s="45" t="str">
        <x:v>KPC-like CR-K. pneumoniae, ATLAS 2020</x:v>
      </x:c>
      <x:c r="I34" s="102" t="n">
        <x:v>99.09936675461742</x:v>
      </x:c>
      <x:c r="J34" s="102" t="n">
        <x:v>88.14</x:v>
      </x:c>
      <x:c r="K34" s="102" t="n">
        <x:v>87.67021108179419</x:v>
      </x:c>
      <x:c r="L34" s="102" t="n">
        <x:v>0.17948548812664455</x:v>
      </x:c>
      <x:c r="M34" s="102" t="n">
        <x:v>88.11</x:v>
      </x:c>
      <x:c r="N34" s="102" t="n">
        <x:v>0.3499999999999943</x:v>
      </x:c>
      <x:c r="O34" s="102" t="n">
        <x:v>20.605</x:v>
      </x:c>
      <x:c r="P34" s="102" t="n">
        <x:v>8.785</x:v>
      </x:c>
      <x:c r="Q34" s="45" t="str">
        <x:v>MODEL_INFERRED</x:v>
      </x:c>
      <x:c r="R34" s="45" t="str">
        <x:v>SCENARIO_GENERATION</x:v>
      </x:c>
      <x:c r="S34" s="45" t="str">
        <x:v>USER_REVIEW_REQUIRED</x:v>
      </x:c>
    </x:row>
    <x:row r="35">
      <x:c r="A35" s="45" t="str">
        <x:v>CAZ_CL_LOW</x:v>
      </x:c>
      <x:c r="B35" s="45" t="str">
        <x:v>CAZ typical clearance −20%</x:v>
      </x:c>
      <x:c r="C35" s="45" t="str">
        <x:v>R12</x:v>
      </x:c>
      <x:c r="D35" s="45" t="str">
        <x:v>91–120</x:v>
      </x:c>
      <x:c r="E35" s="45" t="n">
        <x:v>2.5</x:v>
      </x:c>
      <x:c r="F35" s="45" t="n">
        <x:v>6</x:v>
      </x:c>
      <x:c r="G35" s="45" t="str">
        <x:v>LEE2022_OXA_KP</x:v>
      </x:c>
      <x:c r="H35" s="45" t="str">
        <x:v>OXA-like CR-K. pneumoniae, ATLAS 2020</x:v>
      </x:c>
      <x:c r="I35" s="102" t="n">
        <x:v>98.58514830508474</x:v>
      </x:c>
      <x:c r="J35" s="102" t="n">
        <x:v>88.14000000000003</x:v>
      </x:c>
      <x:c r="K35" s="102" t="n">
        <x:v>87.01508474576272</x:v>
      </x:c>
      <x:c r="L35" s="102" t="n">
        <x:v>0.07561440677966402</x:v>
      </x:c>
      <x:c r="M35" s="102" t="n">
        <x:v>88.11</x:v>
      </x:c>
      <x:c r="N35" s="102" t="n">
        <x:v>0.3499999999999943</x:v>
      </x:c>
      <x:c r="O35" s="102" t="n">
        <x:v>20.605</x:v>
      </x:c>
      <x:c r="P35" s="102" t="n">
        <x:v>8.785</x:v>
      </x:c>
      <x:c r="Q35" s="45" t="str">
        <x:v>MODEL_INFERRED</x:v>
      </x:c>
      <x:c r="R35" s="45" t="str">
        <x:v>SCENARIO_GENERATION</x:v>
      </x:c>
      <x:c r="S35" s="45" t="str">
        <x:v>USER_REVIEW_REQUIRED</x:v>
      </x:c>
    </x:row>
    <x:row r="36">
      <x:c r="A36" s="45" t="str">
        <x:v>CAZ_CL_LOW</x:v>
      </x:c>
      <x:c r="B36" s="45" t="str">
        <x:v>CAZ typical clearance −20%</x:v>
      </x:c>
      <x:c r="C36" s="45" t="str">
        <x:v>R12</x:v>
      </x:c>
      <x:c r="D36" s="45" t="str">
        <x:v>91–120</x:v>
      </x:c>
      <x:c r="E36" s="45" t="n">
        <x:v>2.5</x:v>
      </x:c>
      <x:c r="F36" s="45" t="n">
        <x:v>6</x:v>
      </x:c>
      <x:c r="G36" s="45" t="str">
        <x:v>INDIA2022_OXA48_KP</x:v>
      </x:c>
      <x:c r="H36" s="45" t="str">
        <x:v>OXA-48-like CR-K. pneumoniae, India</x:v>
      </x:c>
      <x:c r="I36" s="102" t="n">
        <x:v>96.3802205882353</x:v>
      </x:c>
      <x:c r="J36" s="102" t="n">
        <x:v>88.13999999999999</x:v>
      </x:c>
      <x:c r="K36" s="102" t="n">
        <x:v>85.02639705882352</x:v>
      </x:c>
      <x:c r="L36" s="102" t="n">
        <x:v>0.07580882352939966</x:v>
      </x:c>
      <x:c r="M36" s="102" t="n">
        <x:v>88.11</x:v>
      </x:c>
      <x:c r="N36" s="102" t="n">
        <x:v>0.3499999999999943</x:v>
      </x:c>
      <x:c r="O36" s="102" t="n">
        <x:v>20.605</x:v>
      </x:c>
      <x:c r="P36" s="102" t="n">
        <x:v>8.785</x:v>
      </x:c>
      <x:c r="Q36" s="45" t="str">
        <x:v>MODEL_INFERRED</x:v>
      </x:c>
      <x:c r="R36" s="45" t="str">
        <x:v>SCENARIO_GENERATION</x:v>
      </x:c>
      <x:c r="S36" s="45" t="str">
        <x:v>USER_REVIEW_REQUIRED</x:v>
      </x:c>
    </x:row>
    <x:row r="37">
      <x:c r="A37" s="45" t="str">
        <x:v>CAZ_CL_LOW</x:v>
      </x:c>
      <x:c r="B37" s="45" t="str">
        <x:v>CAZ typical clearance −20%</x:v>
      </x:c>
      <x:c r="C37" s="45" t="str">
        <x:v>R12</x:v>
      </x:c>
      <x:c r="D37" s="45" t="str">
        <x:v>91–120</x:v>
      </x:c>
      <x:c r="E37" s="45" t="n">
        <x:v>2.5</x:v>
      </x:c>
      <x:c r="F37" s="45" t="n">
        <x:v>6</x:v>
      </x:c>
      <x:c r="G37" s="45" t="str">
        <x:v>FR2024_OXA484_SERINE_ONLY</x:v>
      </x:c>
      <x:c r="H37" s="45" t="str">
        <x:v>French OXA-484 Enterobacterales, serine-only</x:v>
      </x:c>
      <x:c r="I37" s="102" t="n">
        <x:v>99.93816666666667</x:v>
      </x:c>
      <x:c r="J37" s="102" t="n">
        <x:v>88.14</x:v>
      </x:c>
      <x:c r="K37" s="102" t="n">
        <x:v>88.13950000000001</x:v>
      </x:c>
      <x:c r="L37" s="102" t="n">
        <x:v>0.005833333333342239</x:v>
      </x:c>
      <x:c r="M37" s="102" t="n">
        <x:v>88.11</x:v>
      </x:c>
      <x:c r="N37" s="102" t="n">
        <x:v>0.3499999999999943</x:v>
      </x:c>
      <x:c r="O37" s="102" t="n">
        <x:v>20.605</x:v>
      </x:c>
      <x:c r="P37" s="102" t="n">
        <x:v>8.785</x:v>
      </x:c>
      <x:c r="Q37" s="45" t="str">
        <x:v>MODEL_INFERRED</x:v>
      </x:c>
      <x:c r="R37" s="45" t="str">
        <x:v>SCENARIO_GENERATION</x:v>
      </x:c>
      <x:c r="S37" s="45" t="str">
        <x:v>USER_REVIEW_REQUIRED</x:v>
      </x:c>
    </x:row>
    <x:row r="38">
      <x:c r="A38" s="45" t="str">
        <x:v>CAZ_CL_LOW</x:v>
      </x:c>
      <x:c r="B38" s="45" t="str">
        <x:v>CAZ typical clearance −20%</x:v>
      </x:c>
      <x:c r="C38" s="45" t="str">
        <x:v>R13</x:v>
      </x:c>
      <x:c r="D38" s="45" t="str">
        <x:v>121–150</x:v>
      </x:c>
      <x:c r="E38" s="45" t="n">
        <x:v>2.5</x:v>
      </x:c>
      <x:c r="F38" s="45" t="n">
        <x:v>6</x:v>
      </x:c>
      <x:c r="G38" s="45" t="str">
        <x:v>LEE2022_KPC_KP</x:v>
      </x:c>
      <x:c r="H38" s="45" t="str">
        <x:v>KPC-like CR-K. pneumoniae, ATLAS 2020</x:v>
      </x:c>
      <x:c r="I38" s="102" t="n">
        <x:v>98.72704485488127</x:v>
      </x:c>
      <x:c r="J38" s="102" t="n">
        <x:v>80.39999999999998</x:v>
      </x:c>
      <x:c r="K38" s="102" t="n">
        <x:v>79.93051451187335</x:v>
      </x:c>
      <x:c r="L38" s="102" t="n">
        <x:v>0.19336411609499748</x:v>
      </x:c>
      <x:c r="M38" s="102" t="n">
        <x:v>80.39500000000001</x:v>
      </x:c>
      <x:c r="N38" s="102" t="n">
        <x:v>0.38000000000000966</x:v>
      </x:c>
      <x:c r="O38" s="102" t="n">
        <x:v>13.530000000000001</x:v>
      </x:c>
      <x:c r="P38" s="102" t="n">
        <x:v>6.485000000000001</x:v>
      </x:c>
      <x:c r="Q38" s="45" t="str">
        <x:v>MODEL_INFERRED</x:v>
      </x:c>
      <x:c r="R38" s="45" t="str">
        <x:v>SCENARIO_GENERATION</x:v>
      </x:c>
      <x:c r="S38" s="45" t="str">
        <x:v>USER_REVIEW_REQUIRED</x:v>
      </x:c>
    </x:row>
    <x:row r="39">
      <x:c r="A39" s="45" t="str">
        <x:v>CAZ_CL_LOW</x:v>
      </x:c>
      <x:c r="B39" s="45" t="str">
        <x:v>CAZ typical clearance −20%</x:v>
      </x:c>
      <x:c r="C39" s="45" t="str">
        <x:v>R13</x:v>
      </x:c>
      <x:c r="D39" s="45" t="str">
        <x:v>121–150</x:v>
      </x:c>
      <x:c r="E39" s="45" t="n">
        <x:v>2.5</x:v>
      </x:c>
      <x:c r="F39" s="45" t="n">
        <x:v>6</x:v>
      </x:c>
      <x:c r="G39" s="45" t="str">
        <x:v>LEE2022_OXA_KP</x:v>
      </x:c>
      <x:c r="H39" s="45" t="str">
        <x:v>OXA-like CR-K. pneumoniae, ATLAS 2020</x:v>
      </x:c>
      <x:c r="I39" s="102" t="n">
        <x:v>98.42713983050847</x:v>
      </x:c>
      <x:c r="J39" s="102" t="n">
        <x:v>80.4</x:v>
      </x:c>
      <x:c r="K39" s="102" t="n">
        <x:v>79.35080508474577</x:v>
      </x:c>
      <x:c r="L39" s="102" t="n">
        <x:v>0.07565677966101703</x:v>
      </x:c>
      <x:c r="M39" s="102" t="n">
        <x:v>80.39500000000001</x:v>
      </x:c>
      <x:c r="N39" s="102" t="n">
        <x:v>0.38000000000000966</x:v>
      </x:c>
      <x:c r="O39" s="102" t="n">
        <x:v>13.530000000000001</x:v>
      </x:c>
      <x:c r="P39" s="102" t="n">
        <x:v>6.485000000000001</x:v>
      </x:c>
      <x:c r="Q39" s="45" t="str">
        <x:v>MODEL_INFERRED</x:v>
      </x:c>
      <x:c r="R39" s="45" t="str">
        <x:v>SCENARIO_GENERATION</x:v>
      </x:c>
      <x:c r="S39" s="45" t="str">
        <x:v>USER_REVIEW_REQUIRED</x:v>
      </x:c>
    </x:row>
    <x:row r="40">
      <x:c r="A40" s="45" t="str">
        <x:v>CAZ_CL_LOW</x:v>
      </x:c>
      <x:c r="B40" s="45" t="str">
        <x:v>CAZ typical clearance −20%</x:v>
      </x:c>
      <x:c r="C40" s="45" t="str">
        <x:v>R13</x:v>
      </x:c>
      <x:c r="D40" s="45" t="str">
        <x:v>121–150</x:v>
      </x:c>
      <x:c r="E40" s="45" t="n">
        <x:v>2.5</x:v>
      </x:c>
      <x:c r="F40" s="45" t="n">
        <x:v>6</x:v>
      </x:c>
      <x:c r="G40" s="45" t="str">
        <x:v>INDIA2022_OXA48_KP</x:v>
      </x:c>
      <x:c r="H40" s="45" t="str">
        <x:v>OXA-48-like CR-K. pneumoniae, India</x:v>
      </x:c>
      <x:c r="I40" s="102" t="n">
        <x:v>96.24411764705881</x:v>
      </x:c>
      <x:c r="J40" s="102" t="n">
        <x:v>80.40000000000003</x:v>
      </x:c>
      <x:c r="K40" s="102" t="n">
        <x:v>77.51404411764707</x:v>
      </x:c>
      <x:c r="L40" s="102" t="n">
        <x:v>0.05106617647058442</x:v>
      </x:c>
      <x:c r="M40" s="102" t="n">
        <x:v>80.39500000000001</x:v>
      </x:c>
      <x:c r="N40" s="102" t="n">
        <x:v>0.38000000000000966</x:v>
      </x:c>
      <x:c r="O40" s="102" t="n">
        <x:v>13.530000000000001</x:v>
      </x:c>
      <x:c r="P40" s="102" t="n">
        <x:v>6.485000000000001</x:v>
      </x:c>
      <x:c r="Q40" s="45" t="str">
        <x:v>MODEL_INFERRED</x:v>
      </x:c>
      <x:c r="R40" s="45" t="str">
        <x:v>SCENARIO_GENERATION</x:v>
      </x:c>
      <x:c r="S40" s="45" t="str">
        <x:v>USER_REVIEW_REQUIRED</x:v>
      </x:c>
    </x:row>
    <x:row r="41">
      <x:c r="A41" s="45" t="str">
        <x:v>CAZ_CL_LOW</x:v>
      </x:c>
      <x:c r="B41" s="45" t="str">
        <x:v>CAZ typical clearance −20%</x:v>
      </x:c>
      <x:c r="C41" s="45" t="str">
        <x:v>R13</x:v>
      </x:c>
      <x:c r="D41" s="45" t="str">
        <x:v>121–150</x:v>
      </x:c>
      <x:c r="E41" s="45" t="n">
        <x:v>2.5</x:v>
      </x:c>
      <x:c r="F41" s="45" t="n">
        <x:v>6</x:v>
      </x:c>
      <x:c r="G41" s="45" t="str">
        <x:v>FR2024_OXA484_SERINE_ONLY</x:v>
      </x:c>
      <x:c r="H41" s="45" t="str">
        <x:v>French OXA-484 Enterobacterales, serine-only</x:v>
      </x:c>
      <x:c r="I41" s="102" t="n">
        <x:v>99.86975</x:v>
      </x:c>
      <x:c r="J41" s="102" t="n">
        <x:v>80.4</x:v>
      </x:c>
      <x:c r="K41" s="102" t="n">
        <x:v>80.39991666666667</x:v>
      </x:c>
      <x:c r="L41" s="102" t="n">
        <x:v>0.006333333333330415</x:v>
      </x:c>
      <x:c r="M41" s="102" t="n">
        <x:v>80.39500000000001</x:v>
      </x:c>
      <x:c r="N41" s="102" t="n">
        <x:v>0.38000000000000966</x:v>
      </x:c>
      <x:c r="O41" s="102" t="n">
        <x:v>13.530000000000001</x:v>
      </x:c>
      <x:c r="P41" s="102" t="n">
        <x:v>6.485000000000001</x:v>
      </x:c>
      <x:c r="Q41" s="45" t="str">
        <x:v>MODEL_INFERRED</x:v>
      </x:c>
      <x:c r="R41" s="45" t="str">
        <x:v>SCENARIO_GENERATION</x:v>
      </x:c>
      <x:c r="S41" s="45" t="str">
        <x:v>USER_REVIEW_REQUIRED</x:v>
      </x:c>
    </x:row>
    <x:row r="42">
      <x:c r="A42" s="45" t="str">
        <x:v>CAZ_CL_HIGH</x:v>
      </x:c>
      <x:c r="B42" s="45" t="str">
        <x:v>CAZ typical clearance +20%</x:v>
      </x:c>
      <x:c r="C42" s="45" t="str">
        <x:v>R1</x:v>
      </x:c>
      <x:c r="D42" s="45" t="str">
        <x:v>0–30</x:v>
      </x:c>
      <x:c r="E42" s="45" t="n">
        <x:v>0.625</x:v>
      </x:c>
      <x:c r="F42" s="45" t="n">
        <x:v>12</x:v>
      </x:c>
      <x:c r="G42" s="45" t="str">
        <x:v>LEE2022_KPC_KP</x:v>
      </x:c>
      <x:c r="H42" s="45" t="str">
        <x:v>KPC-like CR-K. pneumoniae, ATLAS 2020</x:v>
      </x:c>
      <x:c r="I42" s="102" t="n">
        <x:v>91.25420844327178</x:v>
      </x:c>
      <x:c r="J42" s="102" t="n">
        <x:v>74.22</x:v>
      </x:c>
      <x:c r="K42" s="102" t="n">
        <x:v>72.05121372031662</x:v>
      </x:c>
      <x:c r="L42" s="102" t="n">
        <x:v>-0.7529155672823151</x:v>
      </x:c>
      <x:c r="M42" s="102" t="n">
        <x:v>58.79</x:v>
      </x:c>
      <x:c r="N42" s="102" t="n">
        <x:v>-7.634999999999998</x:v>
      </x:c>
      <x:c r="O42" s="102" t="n">
        <x:v>7.180000000000001</x:v>
      </x:c>
      <x:c r="P42" s="102" t="n">
        <x:v>-2.2399999999999993</x:v>
      </x:c>
      <x:c r="Q42" s="45" t="str">
        <x:v>MODEL_INFERRED</x:v>
      </x:c>
      <x:c r="R42" s="45" t="str">
        <x:v>SCENARIO_GENERATION</x:v>
      </x:c>
      <x:c r="S42" s="45" t="str">
        <x:v>USER_REVIEW_REQUIRED</x:v>
      </x:c>
    </x:row>
    <x:row r="43">
      <x:c r="A43" s="45" t="str">
        <x:v>CAZ_CL_HIGH</x:v>
      </x:c>
      <x:c r="B43" s="45" t="str">
        <x:v>CAZ typical clearance +20%</x:v>
      </x:c>
      <x:c r="C43" s="45" t="str">
        <x:v>R1</x:v>
      </x:c>
      <x:c r="D43" s="45" t="str">
        <x:v>0–30</x:v>
      </x:c>
      <x:c r="E43" s="45" t="n">
        <x:v>0.625</x:v>
      </x:c>
      <x:c r="F43" s="45" t="n">
        <x:v>12</x:v>
      </x:c>
      <x:c r="G43" s="45" t="str">
        <x:v>LEE2022_OXA_KP</x:v>
      </x:c>
      <x:c r="H43" s="45" t="str">
        <x:v>OXA-like CR-K. pneumoniae, ATLAS 2020</x:v>
      </x:c>
      <x:c r="I43" s="102" t="n">
        <x:v>93.87991525423729</x:v>
      </x:c>
      <x:c r="J43" s="102" t="n">
        <x:v>74.22</x:v>
      </x:c>
      <x:c r="K43" s="102" t="n">
        <x:v>72.69940677966102</x:v>
      </x:c>
      <x:c r="L43" s="102" t="n">
        <x:v>-0.25360169491524687</x:v>
      </x:c>
      <x:c r="M43" s="102" t="n">
        <x:v>58.79</x:v>
      </x:c>
      <x:c r="N43" s="102" t="n">
        <x:v>-7.634999999999998</x:v>
      </x:c>
      <x:c r="O43" s="102" t="n">
        <x:v>7.180000000000001</x:v>
      </x:c>
      <x:c r="P43" s="102" t="n">
        <x:v>-2.2399999999999993</x:v>
      </x:c>
      <x:c r="Q43" s="45" t="str">
        <x:v>MODEL_INFERRED</x:v>
      </x:c>
      <x:c r="R43" s="45" t="str">
        <x:v>SCENARIO_GENERATION</x:v>
      </x:c>
      <x:c r="S43" s="45" t="str">
        <x:v>USER_REVIEW_REQUIRED</x:v>
      </x:c>
    </x:row>
    <x:row r="44">
      <x:c r="A44" s="45" t="str">
        <x:v>CAZ_CL_HIGH</x:v>
      </x:c>
      <x:c r="B44" s="45" t="str">
        <x:v>CAZ typical clearance +20%</x:v>
      </x:c>
      <x:c r="C44" s="45" t="str">
        <x:v>R1</x:v>
      </x:c>
      <x:c r="D44" s="45" t="str">
        <x:v>0–30</x:v>
      </x:c>
      <x:c r="E44" s="45" t="n">
        <x:v>0.625</x:v>
      </x:c>
      <x:c r="F44" s="45" t="n">
        <x:v>12</x:v>
      </x:c>
      <x:c r="G44" s="45" t="str">
        <x:v>INDIA2022_OXA48_KP</x:v>
      </x:c>
      <x:c r="H44" s="45" t="str">
        <x:v>OXA-48-like CR-K. pneumoniae, India</x:v>
      </x:c>
      <x:c r="I44" s="102" t="n">
        <x:v>93.2726838235294</x:v>
      </x:c>
      <x:c r="J44" s="102" t="n">
        <x:v>74.22000000000001</x:v>
      </x:c>
      <x:c r="K44" s="102" t="n">
        <x:v>71.23378676470588</x:v>
      </x:c>
      <x:c r="L44" s="102" t="n">
        <x:v>-0.20849264705883286</x:v>
      </x:c>
      <x:c r="M44" s="102" t="n">
        <x:v>58.79</x:v>
      </x:c>
      <x:c r="N44" s="102" t="n">
        <x:v>-7.634999999999998</x:v>
      </x:c>
      <x:c r="O44" s="102" t="n">
        <x:v>7.180000000000001</x:v>
      </x:c>
      <x:c r="P44" s="102" t="n">
        <x:v>-2.2399999999999993</x:v>
      </x:c>
      <x:c r="Q44" s="45" t="str">
        <x:v>MODEL_INFERRED</x:v>
      </x:c>
      <x:c r="R44" s="45" t="str">
        <x:v>SCENARIO_GENERATION</x:v>
      </x:c>
      <x:c r="S44" s="45" t="str">
        <x:v>USER_REVIEW_REQUIRED</x:v>
      </x:c>
    </x:row>
    <x:row r="45">
      <x:c r="A45" s="45" t="str">
        <x:v>CAZ_CL_HIGH</x:v>
      </x:c>
      <x:c r="B45" s="45" t="str">
        <x:v>CAZ typical clearance +20%</x:v>
      </x:c>
      <x:c r="C45" s="45" t="str">
        <x:v>R1</x:v>
      </x:c>
      <x:c r="D45" s="45" t="str">
        <x:v>0–30</x:v>
      </x:c>
      <x:c r="E45" s="45" t="n">
        <x:v>0.625</x:v>
      </x:c>
      <x:c r="F45" s="45" t="n">
        <x:v>12</x:v>
      </x:c>
      <x:c r="G45" s="45" t="str">
        <x:v>FR2024_OXA484_SERINE_ONLY</x:v>
      </x:c>
      <x:c r="H45" s="45" t="str">
        <x:v>French OXA-484 Enterobacterales, serine-only</x:v>
      </x:c>
      <x:c r="I45" s="102" t="n">
        <x:v>97.00983333333333</x:v>
      </x:c>
      <x:c r="J45" s="102" t="n">
        <x:v>74.22</x:v>
      </x:c>
      <x:c r="K45" s="102" t="n">
        <x:v>73.94633333333333</x:v>
      </x:c>
      <x:c r="L45" s="102" t="n">
        <x:v>-0.1430000000000149</x:v>
      </x:c>
      <x:c r="M45" s="102" t="n">
        <x:v>58.79</x:v>
      </x:c>
      <x:c r="N45" s="102" t="n">
        <x:v>-7.634999999999998</x:v>
      </x:c>
      <x:c r="O45" s="102" t="n">
        <x:v>7.180000000000001</x:v>
      </x:c>
      <x:c r="P45" s="102" t="n">
        <x:v>-2.2399999999999993</x:v>
      </x:c>
      <x:c r="Q45" s="45" t="str">
        <x:v>MODEL_INFERRED</x:v>
      </x:c>
      <x:c r="R45" s="45" t="str">
        <x:v>SCENARIO_GENERATION</x:v>
      </x:c>
      <x:c r="S45" s="45" t="str">
        <x:v>USER_REVIEW_REQUIRED</x:v>
      </x:c>
    </x:row>
    <x:row r="46">
      <x:c r="A46" s="45" t="str">
        <x:v>CAZ_CL_HIGH</x:v>
      </x:c>
      <x:c r="B46" s="45" t="str">
        <x:v>CAZ typical clearance +20%</x:v>
      </x:c>
      <x:c r="C46" s="45" t="str">
        <x:v>R8</x:v>
      </x:c>
      <x:c r="D46" s="45" t="str">
        <x:v>31–60</x:v>
      </x:c>
      <x:c r="E46" s="45" t="n">
        <x:v>2.5</x:v>
      </x:c>
      <x:c r="F46" s="45" t="n">
        <x:v>12</x:v>
      </x:c>
      <x:c r="G46" s="45" t="str">
        <x:v>LEE2022_KPC_KP</x:v>
      </x:c>
      <x:c r="H46" s="45" t="str">
        <x:v>KPC-like CR-K. pneumoniae, ATLAS 2020</x:v>
      </x:c>
      <x:c r="I46" s="102" t="n">
        <x:v>97.42204485488126</x:v>
      </x:c>
      <x:c r="J46" s="102" t="n">
        <x:v>89.22500000000001</x:v>
      </x:c>
      <x:c r="K46" s="102" t="n">
        <x:v>88.0021240105541</x:v>
      </x:c>
      <x:c r="L46" s="102" t="n">
        <x:v>-0.4106992084432619</x:v>
      </x:c>
      <x:c r="M46" s="102" t="n">
        <x:v>84.815</x:v>
      </x:c>
      <x:c r="N46" s="102" t="n">
        <x:v>-3.1700000000000017</x:v>
      </x:c>
      <x:c r="O46" s="102" t="n">
        <x:v>5.57</x:v>
      </x:c>
      <x:c r="P46" s="102" t="n">
        <x:v>-4.049999999999999</x:v>
      </x:c>
      <x:c r="Q46" s="45" t="str">
        <x:v>MODEL_INFERRED</x:v>
      </x:c>
      <x:c r="R46" s="45" t="str">
        <x:v>SCENARIO_GENERATION</x:v>
      </x:c>
      <x:c r="S46" s="45" t="str">
        <x:v>USER_REVIEW_REQUIRED</x:v>
      </x:c>
    </x:row>
    <x:row r="47">
      <x:c r="A47" s="45" t="str">
        <x:v>CAZ_CL_HIGH</x:v>
      </x:c>
      <x:c r="B47" s="45" t="str">
        <x:v>CAZ typical clearance +20%</x:v>
      </x:c>
      <x:c r="C47" s="45" t="str">
        <x:v>R8</x:v>
      </x:c>
      <x:c r="D47" s="45" t="str">
        <x:v>31–60</x:v>
      </x:c>
      <x:c r="E47" s="45" t="n">
        <x:v>2.5</x:v>
      </x:c>
      <x:c r="F47" s="45" t="n">
        <x:v>12</x:v>
      </x:c>
      <x:c r="G47" s="45" t="str">
        <x:v>LEE2022_OXA_KP</x:v>
      </x:c>
      <x:c r="H47" s="45" t="str">
        <x:v>OXA-like CR-K. pneumoniae, ATLAS 2020</x:v>
      </x:c>
      <x:c r="I47" s="102" t="n">
        <x:v>97.85</x:v>
      </x:c>
      <x:c r="J47" s="102" t="n">
        <x:v>89.22500000000001</x:v>
      </x:c>
      <x:c r="K47" s="102" t="n">
        <x:v>87.81656779661017</x:v>
      </x:c>
      <x:c r="L47" s="102" t="n">
        <x:v>-0.13828389830509025</x:v>
      </x:c>
      <x:c r="M47" s="102" t="n">
        <x:v>84.815</x:v>
      </x:c>
      <x:c r="N47" s="102" t="n">
        <x:v>-3.1700000000000017</x:v>
      </x:c>
      <x:c r="O47" s="102" t="n">
        <x:v>5.57</x:v>
      </x:c>
      <x:c r="P47" s="102" t="n">
        <x:v>-4.049999999999999</x:v>
      </x:c>
      <x:c r="Q47" s="45" t="str">
        <x:v>MODEL_INFERRED</x:v>
      </x:c>
      <x:c r="R47" s="45" t="str">
        <x:v>SCENARIO_GENERATION</x:v>
      </x:c>
      <x:c r="S47" s="45" t="str">
        <x:v>USER_REVIEW_REQUIRED</x:v>
      </x:c>
    </x:row>
    <x:row r="48">
      <x:c r="A48" s="45" t="str">
        <x:v>CAZ_CL_HIGH</x:v>
      </x:c>
      <x:c r="B48" s="45" t="str">
        <x:v>CAZ typical clearance +20%</x:v>
      </x:c>
      <x:c r="C48" s="45" t="str">
        <x:v>R8</x:v>
      </x:c>
      <x:c r="D48" s="45" t="str">
        <x:v>31–60</x:v>
      </x:c>
      <x:c r="E48" s="45" t="n">
        <x:v>2.5</x:v>
      </x:c>
      <x:c r="F48" s="45" t="n">
        <x:v>12</x:v>
      </x:c>
      <x:c r="G48" s="45" t="str">
        <x:v>INDIA2022_OXA48_KP</x:v>
      </x:c>
      <x:c r="H48" s="45" t="str">
        <x:v>OXA-48-like CR-K. pneumoniae, India</x:v>
      </x:c>
      <x:c r="I48" s="102" t="n">
        <x:v>95.85911764705881</x:v>
      </x:c>
      <x:c r="J48" s="102" t="n">
        <x:v>89.22500000000001</x:v>
      </x:c>
      <x:c r="K48" s="102" t="n">
        <x:v>85.86694852941177</x:v>
      </x:c>
      <x:c r="L48" s="102" t="n">
        <x:v>-0.09643382352940932</x:v>
      </x:c>
      <x:c r="M48" s="102" t="n">
        <x:v>84.815</x:v>
      </x:c>
      <x:c r="N48" s="102" t="n">
        <x:v>-3.1700000000000017</x:v>
      </x:c>
      <x:c r="O48" s="102" t="n">
        <x:v>5.57</x:v>
      </x:c>
      <x:c r="P48" s="102" t="n">
        <x:v>-4.049999999999999</x:v>
      </x:c>
      <x:c r="Q48" s="45" t="str">
        <x:v>MODEL_INFERRED</x:v>
      </x:c>
      <x:c r="R48" s="45" t="str">
        <x:v>SCENARIO_GENERATION</x:v>
      </x:c>
      <x:c r="S48" s="45" t="str">
        <x:v>USER_REVIEW_REQUIRED</x:v>
      </x:c>
    </x:row>
    <x:row r="49">
      <x:c r="A49" s="45" t="str">
        <x:v>CAZ_CL_HIGH</x:v>
      </x:c>
      <x:c r="B49" s="45" t="str">
        <x:v>CAZ typical clearance +20%</x:v>
      </x:c>
      <x:c r="C49" s="45" t="str">
        <x:v>R8</x:v>
      </x:c>
      <x:c r="D49" s="45" t="str">
        <x:v>31–60</x:v>
      </x:c>
      <x:c r="E49" s="45" t="n">
        <x:v>2.5</x:v>
      </x:c>
      <x:c r="F49" s="45" t="n">
        <x:v>12</x:v>
      </x:c>
      <x:c r="G49" s="45" t="str">
        <x:v>FR2024_OXA484_SERINE_ONLY</x:v>
      </x:c>
      <x:c r="H49" s="45" t="str">
        <x:v>French OXA-484 Enterobacterales, serine-only</x:v>
      </x:c>
      <x:c r="I49" s="102" t="n">
        <x:v>99.54924999999999</x:v>
      </x:c>
      <x:c r="J49" s="102" t="n">
        <x:v>89.22499999999998</x:v>
      </x:c>
      <x:c r="K49" s="102" t="n">
        <x:v>89.15074999999999</x:v>
      </x:c>
      <x:c r="L49" s="102" t="n">
        <x:v>-0.05358333333332155</x:v>
      </x:c>
      <x:c r="M49" s="102" t="n">
        <x:v>84.815</x:v>
      </x:c>
      <x:c r="N49" s="102" t="n">
        <x:v>-3.1700000000000017</x:v>
      </x:c>
      <x:c r="O49" s="102" t="n">
        <x:v>5.57</x:v>
      </x:c>
      <x:c r="P49" s="102" t="n">
        <x:v>-4.049999999999999</x:v>
      </x:c>
      <x:c r="Q49" s="45" t="str">
        <x:v>MODEL_INFERRED</x:v>
      </x:c>
      <x:c r="R49" s="45" t="str">
        <x:v>SCENARIO_GENERATION</x:v>
      </x:c>
      <x:c r="S49" s="45" t="str">
        <x:v>USER_REVIEW_REQUIRED</x:v>
      </x:c>
    </x:row>
    <x:row r="50">
      <x:c r="A50" s="45" t="str">
        <x:v>CAZ_CL_HIGH</x:v>
      </x:c>
      <x:c r="B50" s="45" t="str">
        <x:v>CAZ typical clearance +20%</x:v>
      </x:c>
      <x:c r="C50" s="45" t="str">
        <x:v>R10</x:v>
      </x:c>
      <x:c r="D50" s="45" t="str">
        <x:v>61–90</x:v>
      </x:c>
      <x:c r="E50" s="45" t="n">
        <x:v>2.5</x:v>
      </x:c>
      <x:c r="F50" s="45" t="n">
        <x:v>8</x:v>
      </x:c>
      <x:c r="G50" s="45" t="str">
        <x:v>LEE2022_KPC_KP</x:v>
      </x:c>
      <x:c r="H50" s="45" t="str">
        <x:v>KPC-like CR-K. pneumoniae, ATLAS 2020</x:v>
      </x:c>
      <x:c r="I50" s="102" t="n">
        <x:v>97.68405013192613</x:v>
      </x:c>
      <x:c r="J50" s="102" t="n">
        <x:v>88.14</x:v>
      </x:c>
      <x:c r="K50" s="102" t="n">
        <x:v>87.08695250659632</x:v>
      </x:c>
      <x:c r="L50" s="102" t="n">
        <x:v>-0.34220316622690916</x:v>
      </x:c>
      <x:c r="M50" s="102" t="n">
        <x:v>85.135</x:v>
      </x:c>
      <x:c r="N50" s="102" t="n">
        <x:v>-2.3999999999999915</x:v>
      </x:c>
      <x:c r="O50" s="102" t="n">
        <x:v>6.21</x:v>
      </x:c>
      <x:c r="P50" s="102" t="n">
        <x:v>-4.454999999999999</x:v>
      </x:c>
      <x:c r="Q50" s="45" t="str">
        <x:v>MODEL_INFERRED</x:v>
      </x:c>
      <x:c r="R50" s="45" t="str">
        <x:v>SCENARIO_GENERATION</x:v>
      </x:c>
      <x:c r="S50" s="45" t="str">
        <x:v>USER_REVIEW_REQUIRED</x:v>
      </x:c>
    </x:row>
    <x:row r="51">
      <x:c r="A51" s="45" t="str">
        <x:v>CAZ_CL_HIGH</x:v>
      </x:c>
      <x:c r="B51" s="45" t="str">
        <x:v>CAZ typical clearance +20%</x:v>
      </x:c>
      <x:c r="C51" s="45" t="str">
        <x:v>R10</x:v>
      </x:c>
      <x:c r="D51" s="45" t="str">
        <x:v>61–90</x:v>
      </x:c>
      <x:c r="E51" s="45" t="n">
        <x:v>2.5</x:v>
      </x:c>
      <x:c r="F51" s="45" t="n">
        <x:v>8</x:v>
      </x:c>
      <x:c r="G51" s="45" t="str">
        <x:v>LEE2022_OXA_KP</x:v>
      </x:c>
      <x:c r="H51" s="45" t="str">
        <x:v>OXA-like CR-K. pneumoniae, ATLAS 2020</x:v>
      </x:c>
      <x:c r="I51" s="102" t="n">
        <x:v>97.9776271186441</x:v>
      </x:c>
      <x:c r="J51" s="102" t="n">
        <x:v>88.14000000000003</x:v>
      </x:c>
      <x:c r="K51" s="102" t="n">
        <x:v>86.79995762711866</x:v>
      </x:c>
      <x:c r="L51" s="102" t="n">
        <x:v>-0.11707627118643416</x:v>
      </x:c>
      <x:c r="M51" s="102" t="n">
        <x:v>85.135</x:v>
      </x:c>
      <x:c r="N51" s="102" t="n">
        <x:v>-2.3999999999999915</x:v>
      </x:c>
      <x:c r="O51" s="102" t="n">
        <x:v>6.21</x:v>
      </x:c>
      <x:c r="P51" s="102" t="n">
        <x:v>-4.454999999999999</x:v>
      </x:c>
      <x:c r="Q51" s="45" t="str">
        <x:v>MODEL_INFERRED</x:v>
      </x:c>
      <x:c r="R51" s="45" t="str">
        <x:v>SCENARIO_GENERATION</x:v>
      </x:c>
      <x:c r="S51" s="45" t="str">
        <x:v>USER_REVIEW_REQUIRED</x:v>
      </x:c>
    </x:row>
    <x:row r="52">
      <x:c r="A52" s="45" t="str">
        <x:v>CAZ_CL_HIGH</x:v>
      </x:c>
      <x:c r="B52" s="45" t="str">
        <x:v>CAZ typical clearance +20%</x:v>
      </x:c>
      <x:c r="C52" s="45" t="str">
        <x:v>R10</x:v>
      </x:c>
      <x:c r="D52" s="45" t="str">
        <x:v>61–90</x:v>
      </x:c>
      <x:c r="E52" s="45" t="n">
        <x:v>2.5</x:v>
      </x:c>
      <x:c r="F52" s="45" t="n">
        <x:v>8</x:v>
      </x:c>
      <x:c r="G52" s="45" t="str">
        <x:v>INDIA2022_OXA48_KP</x:v>
      </x:c>
      <x:c r="H52" s="45" t="str">
        <x:v>OXA-48-like CR-K. pneumoniae, India</x:v>
      </x:c>
      <x:c r="I52" s="102" t="n">
        <x:v>95.94238970588235</x:v>
      </x:c>
      <x:c r="J52" s="102" t="n">
        <x:v>88.13999999999999</x:v>
      </x:c>
      <x:c r="K52" s="102" t="n">
        <x:v>84.85867647058824</x:v>
      </x:c>
      <x:c r="L52" s="102" t="n">
        <x:v>-0.08091911764705628</x:v>
      </x:c>
      <x:c r="M52" s="102" t="n">
        <x:v>85.135</x:v>
      </x:c>
      <x:c r="N52" s="102" t="n">
        <x:v>-2.3999999999999915</x:v>
      </x:c>
      <x:c r="O52" s="102" t="n">
        <x:v>6.21</x:v>
      </x:c>
      <x:c r="P52" s="102" t="n">
        <x:v>-4.454999999999999</x:v>
      </x:c>
      <x:c r="Q52" s="45" t="str">
        <x:v>MODEL_INFERRED</x:v>
      </x:c>
      <x:c r="R52" s="45" t="str">
        <x:v>SCENARIO_GENERATION</x:v>
      </x:c>
      <x:c r="S52" s="45" t="str">
        <x:v>USER_REVIEW_REQUIRED</x:v>
      </x:c>
    </x:row>
    <x:row r="53">
      <x:c r="A53" s="45" t="str">
        <x:v>CAZ_CL_HIGH</x:v>
      </x:c>
      <x:c r="B53" s="45" t="str">
        <x:v>CAZ typical clearance +20%</x:v>
      </x:c>
      <x:c r="C53" s="45" t="str">
        <x:v>R10</x:v>
      </x:c>
      <x:c r="D53" s="45" t="str">
        <x:v>61–90</x:v>
      </x:c>
      <x:c r="E53" s="45" t="n">
        <x:v>2.5</x:v>
      </x:c>
      <x:c r="F53" s="45" t="n">
        <x:v>8</x:v>
      </x:c>
      <x:c r="G53" s="45" t="str">
        <x:v>FR2024_OXA484_SERINE_ONLY</x:v>
      </x:c>
      <x:c r="H53" s="45" t="str">
        <x:v>French OXA-484 Enterobacterales, serine-only</x:v>
      </x:c>
      <x:c r="I53" s="102" t="n">
        <x:v>99.62616666666666</x:v>
      </x:c>
      <x:c r="J53" s="102" t="n">
        <x:v>88.14</x:v>
      </x:c>
      <x:c r="K53" s="102" t="n">
        <x:v>88.08991666666667</x:v>
      </x:c>
      <x:c r="L53" s="102" t="n">
        <x:v>-0.04000000000000625</x:v>
      </x:c>
      <x:c r="M53" s="102" t="n">
        <x:v>85.135</x:v>
      </x:c>
      <x:c r="N53" s="102" t="n">
        <x:v>-2.3999999999999915</x:v>
      </x:c>
      <x:c r="O53" s="102" t="n">
        <x:v>6.21</x:v>
      </x:c>
      <x:c r="P53" s="102" t="n">
        <x:v>-4.454999999999999</x:v>
      </x:c>
      <x:c r="Q53" s="45" t="str">
        <x:v>MODEL_INFERRED</x:v>
      </x:c>
      <x:c r="R53" s="45" t="str">
        <x:v>SCENARIO_GENERATION</x:v>
      </x:c>
      <x:c r="S53" s="45" t="str">
        <x:v>USER_REVIEW_REQUIRED</x:v>
      </x:c>
    </x:row>
    <x:row r="54">
      <x:c r="A54" s="45" t="str">
        <x:v>CAZ_CL_HIGH</x:v>
      </x:c>
      <x:c r="B54" s="45" t="str">
        <x:v>CAZ typical clearance +20%</x:v>
      </x:c>
      <x:c r="C54" s="45" t="str">
        <x:v>R12</x:v>
      </x:c>
      <x:c r="D54" s="45" t="str">
        <x:v>91–120</x:v>
      </x:c>
      <x:c r="E54" s="45" t="n">
        <x:v>2.5</x:v>
      </x:c>
      <x:c r="F54" s="45" t="n">
        <x:v>6</x:v>
      </x:c>
      <x:c r="G54" s="45" t="str">
        <x:v>LEE2022_KPC_KP</x:v>
      </x:c>
      <x:c r="H54" s="45" t="str">
        <x:v>KPC-like CR-K. pneumoniae, ATLAS 2020</x:v>
      </x:c>
      <x:c r="I54" s="102" t="n">
        <x:v>97.99349604221636</x:v>
      </x:c>
      <x:c r="J54" s="102" t="n">
        <x:v>88.14</x:v>
      </x:c>
      <x:c r="K54" s="102" t="n">
        <x:v>87.22279683377309</x:v>
      </x:c>
      <x:c r="L54" s="102" t="n">
        <x:v>-0.26792875989445974</x:v>
      </x:c>
      <x:c r="M54" s="102" t="n">
        <x:v>86.215</x:v>
      </x:c>
      <x:c r="N54" s="102" t="n">
        <x:v>-1.5450000000000017</x:v>
      </x:c>
      <x:c r="O54" s="102" t="n">
        <x:v>7.074999999999999</x:v>
      </x:c>
      <x:c r="P54" s="102" t="n">
        <x:v>-4.745000000000001</x:v>
      </x:c>
      <x:c r="Q54" s="45" t="str">
        <x:v>MODEL_INFERRED</x:v>
      </x:c>
      <x:c r="R54" s="45" t="str">
        <x:v>SCENARIO_GENERATION</x:v>
      </x:c>
      <x:c r="S54" s="45" t="str">
        <x:v>USER_REVIEW_REQUIRED</x:v>
      </x:c>
    </x:row>
    <x:row r="55">
      <x:c r="A55" s="45" t="str">
        <x:v>CAZ_CL_HIGH</x:v>
      </x:c>
      <x:c r="B55" s="45" t="str">
        <x:v>CAZ typical clearance +20%</x:v>
      </x:c>
      <x:c r="C55" s="45" t="str">
        <x:v>R12</x:v>
      </x:c>
      <x:c r="D55" s="45" t="str">
        <x:v>91–120</x:v>
      </x:c>
      <x:c r="E55" s="45" t="n">
        <x:v>2.5</x:v>
      </x:c>
      <x:c r="F55" s="45" t="n">
        <x:v>6</x:v>
      </x:c>
      <x:c r="G55" s="45" t="str">
        <x:v>LEE2022_OXA_KP</x:v>
      </x:c>
      <x:c r="H55" s="45" t="str">
        <x:v>OXA-like CR-K. pneumoniae, ATLAS 2020</x:v>
      </x:c>
      <x:c r="I55" s="102" t="n">
        <x:v>98.1303813559322</x:v>
      </x:c>
      <x:c r="J55" s="102" t="n">
        <x:v>88.14000000000003</x:v>
      </x:c>
      <x:c r="K55" s="102" t="n">
        <x:v>86.84512711864407</x:v>
      </x:c>
      <x:c r="L55" s="102" t="n">
        <x:v>-0.09434322033898468</x:v>
      </x:c>
      <x:c r="M55" s="102" t="n">
        <x:v>86.215</x:v>
      </x:c>
      <x:c r="N55" s="102" t="n">
        <x:v>-1.5450000000000017</x:v>
      </x:c>
      <x:c r="O55" s="102" t="n">
        <x:v>7.074999999999999</x:v>
      </x:c>
      <x:c r="P55" s="102" t="n">
        <x:v>-4.745000000000001</x:v>
      </x:c>
      <x:c r="Q55" s="45" t="str">
        <x:v>MODEL_INFERRED</x:v>
      </x:c>
      <x:c r="R55" s="45" t="str">
        <x:v>SCENARIO_GENERATION</x:v>
      </x:c>
      <x:c r="S55" s="45" t="str">
        <x:v>USER_REVIEW_REQUIRED</x:v>
      </x:c>
    </x:row>
    <x:row r="56">
      <x:c r="A56" s="45" t="str">
        <x:v>CAZ_CL_HIGH</x:v>
      </x:c>
      <x:c r="B56" s="45" t="str">
        <x:v>CAZ typical clearance +20%</x:v>
      </x:c>
      <x:c r="C56" s="45" t="str">
        <x:v>R12</x:v>
      </x:c>
      <x:c r="D56" s="45" t="str">
        <x:v>91–120</x:v>
      </x:c>
      <x:c r="E56" s="45" t="n">
        <x:v>2.5</x:v>
      </x:c>
      <x:c r="F56" s="45" t="n">
        <x:v>6</x:v>
      </x:c>
      <x:c r="G56" s="45" t="str">
        <x:v>INDIA2022_OXA48_KP</x:v>
      </x:c>
      <x:c r="H56" s="45" t="str">
        <x:v>OXA-48-like CR-K. pneumoniae, India</x:v>
      </x:c>
      <x:c r="I56" s="102" t="n">
        <x:v>96.04033088235295</x:v>
      </x:c>
      <x:c r="J56" s="102" t="n">
        <x:v>88.13999999999999</x:v>
      </x:c>
      <x:c r="K56" s="102" t="n">
        <x:v>84.88735294117647</x:v>
      </x:c>
      <x:c r="L56" s="102" t="n">
        <x:v>-0.06323529411764639</x:v>
      </x:c>
      <x:c r="M56" s="102" t="n">
        <x:v>86.215</x:v>
      </x:c>
      <x:c r="N56" s="102" t="n">
        <x:v>-1.5450000000000017</x:v>
      </x:c>
      <x:c r="O56" s="102" t="n">
        <x:v>7.074999999999999</x:v>
      </x:c>
      <x:c r="P56" s="102" t="n">
        <x:v>-4.745000000000001</x:v>
      </x:c>
      <x:c r="Q56" s="45" t="str">
        <x:v>MODEL_INFERRED</x:v>
      </x:c>
      <x:c r="R56" s="45" t="str">
        <x:v>SCENARIO_GENERATION</x:v>
      </x:c>
      <x:c r="S56" s="45" t="str">
        <x:v>USER_REVIEW_REQUIRED</x:v>
      </x:c>
    </x:row>
    <x:row r="57">
      <x:c r="A57" s="45" t="str">
        <x:v>CAZ_CL_HIGH</x:v>
      </x:c>
      <x:c r="B57" s="45" t="str">
        <x:v>CAZ typical clearance +20%</x:v>
      </x:c>
      <x:c r="C57" s="45" t="str">
        <x:v>R12</x:v>
      </x:c>
      <x:c r="D57" s="45" t="str">
        <x:v>91–120</x:v>
      </x:c>
      <x:c r="E57" s="45" t="n">
        <x:v>2.5</x:v>
      </x:c>
      <x:c r="F57" s="45" t="n">
        <x:v>6</x:v>
      </x:c>
      <x:c r="G57" s="45" t="str">
        <x:v>FR2024_OXA484_SERINE_ONLY</x:v>
      </x:c>
      <x:c r="H57" s="45" t="str">
        <x:v>French OXA-484 Enterobacterales, serine-only</x:v>
      </x:c>
      <x:c r="I57" s="102" t="n">
        <x:v>99.71616666666667</x:v>
      </x:c>
      <x:c r="J57" s="102" t="n">
        <x:v>88.14</x:v>
      </x:c>
      <x:c r="K57" s="102" t="n">
        <x:v>88.10791666666667</x:v>
      </x:c>
      <x:c r="L57" s="102" t="n">
        <x:v>-0.02575000000000216</x:v>
      </x:c>
      <x:c r="M57" s="102" t="n">
        <x:v>86.215</x:v>
      </x:c>
      <x:c r="N57" s="102" t="n">
        <x:v>-1.5450000000000017</x:v>
      </x:c>
      <x:c r="O57" s="102" t="n">
        <x:v>7.074999999999999</x:v>
      </x:c>
      <x:c r="P57" s="102" t="n">
        <x:v>-4.745000000000001</x:v>
      </x:c>
      <x:c r="Q57" s="45" t="str">
        <x:v>MODEL_INFERRED</x:v>
      </x:c>
      <x:c r="R57" s="45" t="str">
        <x:v>SCENARIO_GENERATION</x:v>
      </x:c>
      <x:c r="S57" s="45" t="str">
        <x:v>USER_REVIEW_REQUIRED</x:v>
      </x:c>
    </x:row>
    <x:row r="58">
      <x:c r="A58" s="45" t="str">
        <x:v>CAZ_CL_HIGH</x:v>
      </x:c>
      <x:c r="B58" s="45" t="str">
        <x:v>CAZ typical clearance +20%</x:v>
      </x:c>
      <x:c r="C58" s="45" t="str">
        <x:v>R13</x:v>
      </x:c>
      <x:c r="D58" s="45" t="str">
        <x:v>121–150</x:v>
      </x:c>
      <x:c r="E58" s="45" t="n">
        <x:v>2.5</x:v>
      </x:c>
      <x:c r="F58" s="45" t="n">
        <x:v>6</x:v>
      </x:c>
      <x:c r="G58" s="45" t="str">
        <x:v>LEE2022_KPC_KP</x:v>
      </x:c>
      <x:c r="H58" s="45" t="str">
        <x:v>KPC-like CR-K. pneumoniae, ATLAS 2020</x:v>
      </x:c>
      <x:c r="I58" s="102" t="n">
        <x:v>97.08920844327177</x:v>
      </x:c>
      <x:c r="J58" s="102" t="n">
        <x:v>80.39999999999998</x:v>
      </x:c>
      <x:c r="K58" s="102" t="n">
        <x:v>79.44467018469658</x:v>
      </x:c>
      <x:c r="L58" s="102" t="n">
        <x:v>-0.2924802110817808</x:v>
      </x:c>
      <x:c r="M58" s="102" t="n">
        <x:v>78.145</x:v>
      </x:c>
      <x:c r="N58" s="102" t="n">
        <x:v>-1.8700000000000045</x:v>
      </x:c>
      <x:c r="O58" s="102" t="n">
        <x:v>3.7900000000000005</x:v>
      </x:c>
      <x:c r="P58" s="102" t="n">
        <x:v>-3.2549999999999994</x:v>
      </x:c>
      <x:c r="Q58" s="45" t="str">
        <x:v>MODEL_INFERRED</x:v>
      </x:c>
      <x:c r="R58" s="45" t="str">
        <x:v>SCENARIO_GENERATION</x:v>
      </x:c>
      <x:c r="S58" s="45" t="str">
        <x:v>USER_REVIEW_REQUIRED</x:v>
      </x:c>
    </x:row>
    <x:row r="59">
      <x:c r="A59" s="45" t="str">
        <x:v>CAZ_CL_HIGH</x:v>
      </x:c>
      <x:c r="B59" s="45" t="str">
        <x:v>CAZ typical clearance +20%</x:v>
      </x:c>
      <x:c r="C59" s="45" t="str">
        <x:v>R13</x:v>
      </x:c>
      <x:c r="D59" s="45" t="str">
        <x:v>121–150</x:v>
      </x:c>
      <x:c r="E59" s="45" t="n">
        <x:v>2.5</x:v>
      </x:c>
      <x:c r="F59" s="45" t="n">
        <x:v>6</x:v>
      </x:c>
      <x:c r="G59" s="45" t="str">
        <x:v>LEE2022_OXA_KP</x:v>
      </x:c>
      <x:c r="H59" s="45" t="str">
        <x:v>OXA-like CR-K. pneumoniae, ATLAS 2020</x:v>
      </x:c>
      <x:c r="I59" s="102" t="n">
        <x:v>97.70923728813558</x:v>
      </x:c>
      <x:c r="J59" s="102" t="n">
        <x:v>80.4</x:v>
      </x:c>
      <x:c r="K59" s="102" t="n">
        <x:v>79.17629237288135</x:v>
      </x:c>
      <x:c r="L59" s="102" t="n">
        <x:v>-0.09885593220340638</x:v>
      </x:c>
      <x:c r="M59" s="102" t="n">
        <x:v>78.145</x:v>
      </x:c>
      <x:c r="N59" s="102" t="n">
        <x:v>-1.8700000000000045</x:v>
      </x:c>
      <x:c r="O59" s="102" t="n">
        <x:v>3.7900000000000005</x:v>
      </x:c>
      <x:c r="P59" s="102" t="n">
        <x:v>-3.2549999999999994</x:v>
      </x:c>
      <x:c r="Q59" s="45" t="str">
        <x:v>MODEL_INFERRED</x:v>
      </x:c>
      <x:c r="R59" s="45" t="str">
        <x:v>SCENARIO_GENERATION</x:v>
      </x:c>
      <x:c r="S59" s="45" t="str">
        <x:v>USER_REVIEW_REQUIRED</x:v>
      </x:c>
    </x:row>
    <x:row r="60">
      <x:c r="A60" s="45" t="str">
        <x:v>CAZ_CL_HIGH</x:v>
      </x:c>
      <x:c r="B60" s="45" t="str">
        <x:v>CAZ typical clearance +20%</x:v>
      </x:c>
      <x:c r="C60" s="45" t="str">
        <x:v>R13</x:v>
      </x:c>
      <x:c r="D60" s="45" t="str">
        <x:v>121–150</x:v>
      </x:c>
      <x:c r="E60" s="45" t="n">
        <x:v>2.5</x:v>
      </x:c>
      <x:c r="F60" s="45" t="n">
        <x:v>6</x:v>
      </x:c>
      <x:c r="G60" s="45" t="str">
        <x:v>INDIA2022_OXA48_KP</x:v>
      </x:c>
      <x:c r="H60" s="45" t="str">
        <x:v>OXA-48-like CR-K. pneumoniae, India</x:v>
      </x:c>
      <x:c r="I60" s="102" t="n">
        <x:v>95.76948529411764</x:v>
      </x:c>
      <x:c r="J60" s="102" t="n">
        <x:v>80.40000000000003</x:v>
      </x:c>
      <x:c r="K60" s="102" t="n">
        <x:v>77.40823529411766</x:v>
      </x:c>
      <x:c r="L60" s="102" t="n">
        <x:v>-0.054742647058830585</x:v>
      </x:c>
      <x:c r="M60" s="102" t="n">
        <x:v>78.145</x:v>
      </x:c>
      <x:c r="N60" s="102" t="n">
        <x:v>-1.8700000000000045</x:v>
      </x:c>
      <x:c r="O60" s="102" t="n">
        <x:v>3.7900000000000005</x:v>
      </x:c>
      <x:c r="P60" s="102" t="n">
        <x:v>-3.2549999999999994</x:v>
      </x:c>
      <x:c r="Q60" s="45" t="str">
        <x:v>MODEL_INFERRED</x:v>
      </x:c>
      <x:c r="R60" s="45" t="str">
        <x:v>SCENARIO_GENERATION</x:v>
      </x:c>
      <x:c r="S60" s="45" t="str">
        <x:v>USER_REVIEW_REQUIRED</x:v>
      </x:c>
    </x:row>
    <x:row r="61">
      <x:c r="A61" s="45" t="str">
        <x:v>CAZ_CL_HIGH</x:v>
      </x:c>
      <x:c r="B61" s="45" t="str">
        <x:v>CAZ typical clearance +20%</x:v>
      </x:c>
      <x:c r="C61" s="45" t="str">
        <x:v>R13</x:v>
      </x:c>
      <x:c r="D61" s="45" t="str">
        <x:v>121–150</x:v>
      </x:c>
      <x:c r="E61" s="45" t="n">
        <x:v>2.5</x:v>
      </x:c>
      <x:c r="F61" s="45" t="n">
        <x:v>6</x:v>
      </x:c>
      <x:c r="G61" s="45" t="str">
        <x:v>FR2024_OXA484_SERINE_ONLY</x:v>
      </x:c>
      <x:c r="H61" s="45" t="str">
        <x:v>French OXA-484 Enterobacterales, serine-only</x:v>
      </x:c>
      <x:c r="I61" s="102" t="n">
        <x:v>99.46674999999999</x:v>
      </x:c>
      <x:c r="J61" s="102" t="n">
        <x:v>80.4</x:v>
      </x:c>
      <x:c r="K61" s="102" t="n">
        <x:v>80.36241666666668</x:v>
      </x:c>
      <x:c r="L61" s="102" t="n">
        <x:v>-0.0311666666666639</x:v>
      </x:c>
      <x:c r="M61" s="102" t="n">
        <x:v>78.145</x:v>
      </x:c>
      <x:c r="N61" s="102" t="n">
        <x:v>-1.8700000000000045</x:v>
      </x:c>
      <x:c r="O61" s="102" t="n">
        <x:v>3.7900000000000005</x:v>
      </x:c>
      <x:c r="P61" s="102" t="n">
        <x:v>-3.2549999999999994</x:v>
      </x:c>
      <x:c r="Q61" s="45" t="str">
        <x:v>MODEL_INFERRED</x:v>
      </x:c>
      <x:c r="R61" s="45" t="str">
        <x:v>SCENARIO_GENERATION</x:v>
      </x:c>
      <x:c r="S61" s="45" t="str">
        <x:v>USER_REVIEW_REQUIRED</x:v>
      </x:c>
    </x:row>
    <x:row r="62">
      <x:c r="A62" s="45" t="str">
        <x:v>AVI_CL_LOW</x:v>
      </x:c>
      <x:c r="B62" s="45" t="str">
        <x:v>AVI typical clearance −20%</x:v>
      </x:c>
      <x:c r="C62" s="45" t="str">
        <x:v>R1</x:v>
      </x:c>
      <x:c r="D62" s="45" t="str">
        <x:v>0–30</x:v>
      </x:c>
      <x:c r="E62" s="45" t="n">
        <x:v>0.625</x:v>
      </x:c>
      <x:c r="F62" s="45" t="n">
        <x:v>12</x:v>
      </x:c>
      <x:c r="G62" s="45" t="str">
        <x:v>LEE2022_KPC_KP</x:v>
      </x:c>
      <x:c r="H62" s="45" t="str">
        <x:v>KPC-like CR-K. pneumoniae, ATLAS 2020</x:v>
      </x:c>
      <x:c r="I62" s="102" t="n">
        <x:v>93.65485488126649</x:v>
      </x:c>
      <x:c r="J62" s="102" t="n">
        <x:v>82.08500000000001</x:v>
      </x:c>
      <x:c r="K62" s="102" t="n">
        <x:v>79.95572559366754</x:v>
      </x:c>
      <x:c r="L62" s="102" t="n">
        <x:v>7.151596306068598</x:v>
      </x:c>
      <x:c r="M62" s="102" t="n">
        <x:v>67.65</x:v>
      </x:c>
      <x:c r="N62" s="102" t="n">
        <x:v>1.2250000000000085</x:v>
      </x:c>
      <x:c r="O62" s="102" t="n">
        <x:v>9.42</x:v>
      </x:c>
      <x:c r="P62" s="102" t="n">
        <x:v>0</x:v>
      </x:c>
      <x:c r="Q62" s="45" t="str">
        <x:v>MODEL_INFERRED</x:v>
      </x:c>
      <x:c r="R62" s="45" t="str">
        <x:v>SCENARIO_GENERATION</x:v>
      </x:c>
      <x:c r="S62" s="45" t="str">
        <x:v>USER_REVIEW_REQUIRED</x:v>
      </x:c>
    </x:row>
    <x:row r="63">
      <x:c r="A63" s="45" t="str">
        <x:v>AVI_CL_LOW</x:v>
      </x:c>
      <x:c r="B63" s="45" t="str">
        <x:v>AVI typical clearance −20%</x:v>
      </x:c>
      <x:c r="C63" s="45" t="str">
        <x:v>R1</x:v>
      </x:c>
      <x:c r="D63" s="45" t="str">
        <x:v>0–30</x:v>
      </x:c>
      <x:c r="E63" s="45" t="n">
        <x:v>0.625</x:v>
      </x:c>
      <x:c r="F63" s="45" t="n">
        <x:v>12</x:v>
      </x:c>
      <x:c r="G63" s="45" t="str">
        <x:v>LEE2022_OXA_KP</x:v>
      </x:c>
      <x:c r="H63" s="45" t="str">
        <x:v>OXA-like CR-K. pneumoniae, ATLAS 2020</x:v>
      </x:c>
      <x:c r="I63" s="102" t="n">
        <x:v>95.5652966101695</x:v>
      </x:c>
      <x:c r="J63" s="102" t="n">
        <x:v>82.08500000000001</x:v>
      </x:c>
      <x:c r="K63" s="102" t="n">
        <x:v>80.49364406779661</x:v>
      </x:c>
      <x:c r="L63" s="102" t="n">
        <x:v>7.540635593220344</x:v>
      </x:c>
      <x:c r="M63" s="102" t="n">
        <x:v>67.65</x:v>
      </x:c>
      <x:c r="N63" s="102" t="n">
        <x:v>1.2250000000000085</x:v>
      </x:c>
      <x:c r="O63" s="102" t="n">
        <x:v>9.42</x:v>
      </x:c>
      <x:c r="P63" s="102" t="n">
        <x:v>0</x:v>
      </x:c>
      <x:c r="Q63" s="45" t="str">
        <x:v>MODEL_INFERRED</x:v>
      </x:c>
      <x:c r="R63" s="45" t="str">
        <x:v>SCENARIO_GENERATION</x:v>
      </x:c>
      <x:c r="S63" s="45" t="str">
        <x:v>USER_REVIEW_REQUIRED</x:v>
      </x:c>
    </x:row>
    <x:row r="64">
      <x:c r="A64" s="45" t="str">
        <x:v>AVI_CL_LOW</x:v>
      </x:c>
      <x:c r="B64" s="45" t="str">
        <x:v>AVI typical clearance −20%</x:v>
      </x:c>
      <x:c r="C64" s="45" t="str">
        <x:v>R1</x:v>
      </x:c>
      <x:c r="D64" s="45" t="str">
        <x:v>0–30</x:v>
      </x:c>
      <x:c r="E64" s="45" t="n">
        <x:v>0.625</x:v>
      </x:c>
      <x:c r="F64" s="45" t="n">
        <x:v>12</x:v>
      </x:c>
      <x:c r="G64" s="45" t="str">
        <x:v>INDIA2022_OXA48_KP</x:v>
      </x:c>
      <x:c r="H64" s="45" t="str">
        <x:v>OXA-48-like CR-K. pneumoniae, India</x:v>
      </x:c>
      <x:c r="I64" s="102" t="n">
        <x:v>94.45033088235294</x:v>
      </x:c>
      <x:c r="J64" s="102" t="n">
        <x:v>82.085</x:v>
      </x:c>
      <x:c r="K64" s="102" t="n">
        <x:v>78.86007352941178</x:v>
      </x:c>
      <x:c r="L64" s="102" t="n">
        <x:v>7.4177941176470625</x:v>
      </x:c>
      <x:c r="M64" s="102" t="n">
        <x:v>67.65</x:v>
      </x:c>
      <x:c r="N64" s="102" t="n">
        <x:v>1.2250000000000085</x:v>
      </x:c>
      <x:c r="O64" s="102" t="n">
        <x:v>9.42</x:v>
      </x:c>
      <x:c r="P64" s="102" t="n">
        <x:v>0</x:v>
      </x:c>
      <x:c r="Q64" s="45" t="str">
        <x:v>MODEL_INFERRED</x:v>
      </x:c>
      <x:c r="R64" s="45" t="str">
        <x:v>SCENARIO_GENERATION</x:v>
      </x:c>
      <x:c r="S64" s="45" t="str">
        <x:v>USER_REVIEW_REQUIRED</x:v>
      </x:c>
    </x:row>
    <x:row r="65">
      <x:c r="A65" s="45" t="str">
        <x:v>AVI_CL_LOW</x:v>
      </x:c>
      <x:c r="B65" s="45" t="str">
        <x:v>AVI typical clearance −20%</x:v>
      </x:c>
      <x:c r="C65" s="45" t="str">
        <x:v>R1</x:v>
      </x:c>
      <x:c r="D65" s="45" t="str">
        <x:v>0–30</x:v>
      </x:c>
      <x:c r="E65" s="45" t="n">
        <x:v>0.625</x:v>
      </x:c>
      <x:c r="F65" s="45" t="n">
        <x:v>12</x:v>
      </x:c>
      <x:c r="G65" s="45" t="str">
        <x:v>FR2024_OXA484_SERINE_ONLY</x:v>
      </x:c>
      <x:c r="H65" s="45" t="str">
        <x:v>French OXA-484 Enterobacterales, serine-only</x:v>
      </x:c>
      <x:c r="I65" s="102" t="n">
        <x:v>98.06408333333334</x:v>
      </x:c>
      <x:c r="J65" s="102" t="n">
        <x:v>82.08499999999998</x:v>
      </x:c>
      <x:c r="K65" s="102" t="n">
        <x:v>81.82791666666665</x:v>
      </x:c>
      <x:c r="L65" s="102" t="n">
        <x:v>7.73858333333331</x:v>
      </x:c>
      <x:c r="M65" s="102" t="n">
        <x:v>67.65</x:v>
      </x:c>
      <x:c r="N65" s="102" t="n">
        <x:v>1.2250000000000085</x:v>
      </x:c>
      <x:c r="O65" s="102" t="n">
        <x:v>9.42</x:v>
      </x:c>
      <x:c r="P65" s="102" t="n">
        <x:v>0</x:v>
      </x:c>
      <x:c r="Q65" s="45" t="str">
        <x:v>MODEL_INFERRED</x:v>
      </x:c>
      <x:c r="R65" s="45" t="str">
        <x:v>SCENARIO_GENERATION</x:v>
      </x:c>
      <x:c r="S65" s="45" t="str">
        <x:v>USER_REVIEW_REQUIRED</x:v>
      </x:c>
    </x:row>
    <x:row r="66">
      <x:c r="A66" s="45" t="str">
        <x:v>AVI_CL_LOW</x:v>
      </x:c>
      <x:c r="B66" s="45" t="str">
        <x:v>AVI typical clearance −20%</x:v>
      </x:c>
      <x:c r="C66" s="45" t="str">
        <x:v>R8</x:v>
      </x:c>
      <x:c r="D66" s="45" t="str">
        <x:v>31–60</x:v>
      </x:c>
      <x:c r="E66" s="45" t="n">
        <x:v>2.5</x:v>
      </x:c>
      <x:c r="F66" s="45" t="n">
        <x:v>12</x:v>
      </x:c>
      <x:c r="G66" s="45" t="str">
        <x:v>LEE2022_KPC_KP</x:v>
      </x:c>
      <x:c r="H66" s="45" t="str">
        <x:v>KPC-like CR-K. pneumoniae, ATLAS 2020</x:v>
      </x:c>
      <x:c r="I66" s="102" t="n">
        <x:v>98.2425857519789</x:v>
      </x:c>
      <x:c r="J66" s="102" t="n">
        <x:v>94.21000000000001</x:v>
      </x:c>
      <x:c r="K66" s="102" t="n">
        <x:v>93.13389182058047</x:v>
      </x:c>
      <x:c r="L66" s="102" t="n">
        <x:v>4.721068601583113</x:v>
      </x:c>
      <x:c r="M66" s="102" t="n">
        <x:v>90.81</x:v>
      </x:c>
      <x:c r="N66" s="102" t="n">
        <x:v>2.825000000000003</x:v>
      </x:c>
      <x:c r="O66" s="102" t="n">
        <x:v>9.62</x:v>
      </x:c>
      <x:c r="P66" s="102" t="n">
        <x:v>0</x:v>
      </x:c>
      <x:c r="Q66" s="45" t="str">
        <x:v>MODEL_INFERRED</x:v>
      </x:c>
      <x:c r="R66" s="45" t="str">
        <x:v>SCENARIO_GENERATION</x:v>
      </x:c>
      <x:c r="S66" s="45" t="str">
        <x:v>USER_REVIEW_REQUIRED</x:v>
      </x:c>
    </x:row>
    <x:row r="67">
      <x:c r="A67" s="45" t="str">
        <x:v>AVI_CL_LOW</x:v>
      </x:c>
      <x:c r="B67" s="45" t="str">
        <x:v>AVI typical clearance −20%</x:v>
      </x:c>
      <x:c r="C67" s="45" t="str">
        <x:v>R8</x:v>
      </x:c>
      <x:c r="D67" s="45" t="str">
        <x:v>31–60</x:v>
      </x:c>
      <x:c r="E67" s="45" t="n">
        <x:v>2.5</x:v>
      </x:c>
      <x:c r="F67" s="45" t="n">
        <x:v>12</x:v>
      </x:c>
      <x:c r="G67" s="45" t="str">
        <x:v>LEE2022_OXA_KP</x:v>
      </x:c>
      <x:c r="H67" s="45" t="str">
        <x:v>OXA-like CR-K. pneumoniae, ATLAS 2020</x:v>
      </x:c>
      <x:c r="I67" s="102" t="n">
        <x:v>98.22625000000002</x:v>
      </x:c>
      <x:c r="J67" s="102" t="n">
        <x:v>94.21000000000001</x:v>
      </x:c>
      <x:c r="K67" s="102" t="n">
        <x:v>92.79834745762714</x:v>
      </x:c>
      <x:c r="L67" s="102" t="n">
        <x:v>4.843495762711882</x:v>
      </x:c>
      <x:c r="M67" s="102" t="n">
        <x:v>90.81</x:v>
      </x:c>
      <x:c r="N67" s="102" t="n">
        <x:v>2.825000000000003</x:v>
      </x:c>
      <x:c r="O67" s="102" t="n">
        <x:v>9.62</x:v>
      </x:c>
      <x:c r="P67" s="102" t="n">
        <x:v>0</x:v>
      </x:c>
      <x:c r="Q67" s="45" t="str">
        <x:v>MODEL_INFERRED</x:v>
      </x:c>
      <x:c r="R67" s="45" t="str">
        <x:v>SCENARIO_GENERATION</x:v>
      </x:c>
      <x:c r="S67" s="45" t="str">
        <x:v>USER_REVIEW_REQUIRED</x:v>
      </x:c>
    </x:row>
    <x:row r="68">
      <x:c r="A68" s="45" t="str">
        <x:v>AVI_CL_LOW</x:v>
      </x:c>
      <x:c r="B68" s="45" t="str">
        <x:v>AVI typical clearance −20%</x:v>
      </x:c>
      <x:c r="C68" s="45" t="str">
        <x:v>R8</x:v>
      </x:c>
      <x:c r="D68" s="45" t="str">
        <x:v>31–60</x:v>
      </x:c>
      <x:c r="E68" s="45" t="n">
        <x:v>2.5</x:v>
      </x:c>
      <x:c r="F68" s="45" t="n">
        <x:v>12</x:v>
      </x:c>
      <x:c r="G68" s="45" t="str">
        <x:v>INDIA2022_OXA48_KP</x:v>
      </x:c>
      <x:c r="H68" s="45" t="str">
        <x:v>OXA-48-like CR-K. pneumoniae, India</x:v>
      </x:c>
      <x:c r="I68" s="102" t="n">
        <x:v>96.11161764705881</x:v>
      </x:c>
      <x:c r="J68" s="102" t="n">
        <x:v>94.21000000000001</x:v>
      </x:c>
      <x:c r="K68" s="102" t="n">
        <x:v>90.71636029411765</x:v>
      </x:c>
      <x:c r="L68" s="102" t="n">
        <x:v>4.752977941176468</x:v>
      </x:c>
      <x:c r="M68" s="102" t="n">
        <x:v>90.81</x:v>
      </x:c>
      <x:c r="N68" s="102" t="n">
        <x:v>2.825000000000003</x:v>
      </x:c>
      <x:c r="O68" s="102" t="n">
        <x:v>9.62</x:v>
      </x:c>
      <x:c r="P68" s="102" t="n">
        <x:v>0</x:v>
      </x:c>
      <x:c r="Q68" s="45" t="str">
        <x:v>MODEL_INFERRED</x:v>
      </x:c>
      <x:c r="R68" s="45" t="str">
        <x:v>SCENARIO_GENERATION</x:v>
      </x:c>
      <x:c r="S68" s="45" t="str">
        <x:v>USER_REVIEW_REQUIRED</x:v>
      </x:c>
    </x:row>
    <x:row r="69">
      <x:c r="A69" s="45" t="str">
        <x:v>AVI_CL_LOW</x:v>
      </x:c>
      <x:c r="B69" s="45" t="str">
        <x:v>AVI typical clearance −20%</x:v>
      </x:c>
      <x:c r="C69" s="45" t="str">
        <x:v>R8</x:v>
      </x:c>
      <x:c r="D69" s="45" t="str">
        <x:v>31–60</x:v>
      </x:c>
      <x:c r="E69" s="45" t="n">
        <x:v>2.5</x:v>
      </x:c>
      <x:c r="F69" s="45" t="n">
        <x:v>12</x:v>
      </x:c>
      <x:c r="G69" s="45" t="str">
        <x:v>FR2024_OXA484_SERINE_ONLY</x:v>
      </x:c>
      <x:c r="H69" s="45" t="str">
        <x:v>French OXA-484 Enterobacterales, serine-only</x:v>
      </x:c>
      <x:c r="I69" s="102" t="n">
        <x:v>99.76208333333334</x:v>
      </x:c>
      <x:c r="J69" s="102" t="n">
        <x:v>94.21000000000002</x:v>
      </x:c>
      <x:c r="K69" s="102" t="n">
        <x:v>94.15183333333334</x:v>
      </x:c>
      <x:c r="L69" s="102" t="n">
        <x:v>4.9475000000000335</x:v>
      </x:c>
      <x:c r="M69" s="102" t="n">
        <x:v>90.81</x:v>
      </x:c>
      <x:c r="N69" s="102" t="n">
        <x:v>2.825000000000003</x:v>
      </x:c>
      <x:c r="O69" s="102" t="n">
        <x:v>9.62</x:v>
      </x:c>
      <x:c r="P69" s="102" t="n">
        <x:v>0</x:v>
      </x:c>
      <x:c r="Q69" s="45" t="str">
        <x:v>MODEL_INFERRED</x:v>
      </x:c>
      <x:c r="R69" s="45" t="str">
        <x:v>SCENARIO_GENERATION</x:v>
      </x:c>
      <x:c r="S69" s="45" t="str">
        <x:v>USER_REVIEW_REQUIRED</x:v>
      </x:c>
    </x:row>
    <x:row r="70">
      <x:c r="A70" s="45" t="str">
        <x:v>AVI_CL_LOW</x:v>
      </x:c>
      <x:c r="B70" s="45" t="str">
        <x:v>AVI typical clearance −20%</x:v>
      </x:c>
      <x:c r="C70" s="45" t="str">
        <x:v>R10</x:v>
      </x:c>
      <x:c r="D70" s="45" t="str">
        <x:v>61–90</x:v>
      </x:c>
      <x:c r="E70" s="45" t="n">
        <x:v>2.5</x:v>
      </x:c>
      <x:c r="F70" s="45" t="n">
        <x:v>8</x:v>
      </x:c>
      <x:c r="G70" s="45" t="str">
        <x:v>LEE2022_KPC_KP</x:v>
      </x:c>
      <x:c r="H70" s="45" t="str">
        <x:v>KPC-like CR-K. pneumoniae, ATLAS 2020</x:v>
      </x:c>
      <x:c r="I70" s="102" t="n">
        <x:v>98.4327308707124</x:v>
      </x:c>
      <x:c r="J70" s="102" t="n">
        <x:v>93.43500000000003</x:v>
      </x:c>
      <x:c r="K70" s="102" t="n">
        <x:v>92.52233509234831</x:v>
      </x:c>
      <x:c r="L70" s="102" t="n">
        <x:v>5.093179419525086</x:v>
      </x:c>
      <x:c r="M70" s="102" t="n">
        <x:v>91.43</x:v>
      </x:c>
      <x:c r="N70" s="102" t="n">
        <x:v>3.8950000000000102</x:v>
      </x:c>
      <x:c r="O70" s="102" t="n">
        <x:v>10.665</x:v>
      </x:c>
      <x:c r="P70" s="102" t="n">
        <x:v>0</x:v>
      </x:c>
      <x:c r="Q70" s="45" t="str">
        <x:v>MODEL_INFERRED</x:v>
      </x:c>
      <x:c r="R70" s="45" t="str">
        <x:v>SCENARIO_GENERATION</x:v>
      </x:c>
      <x:c r="S70" s="45" t="str">
        <x:v>USER_REVIEW_REQUIRED</x:v>
      </x:c>
    </x:row>
    <x:row r="71">
      <x:c r="A71" s="45" t="str">
        <x:v>AVI_CL_LOW</x:v>
      </x:c>
      <x:c r="B71" s="45" t="str">
        <x:v>AVI typical clearance −20%</x:v>
      </x:c>
      <x:c r="C71" s="45" t="str">
        <x:v>R10</x:v>
      </x:c>
      <x:c r="D71" s="45" t="str">
        <x:v>61–90</x:v>
      </x:c>
      <x:c r="E71" s="45" t="n">
        <x:v>2.5</x:v>
      </x:c>
      <x:c r="F71" s="45" t="n">
        <x:v>8</x:v>
      </x:c>
      <x:c r="G71" s="45" t="str">
        <x:v>LEE2022_OXA_KP</x:v>
      </x:c>
      <x:c r="H71" s="45" t="str">
        <x:v>OXA-like CR-K. pneumoniae, ATLAS 2020</x:v>
      </x:c>
      <x:c r="I71" s="102" t="n">
        <x:v>98.30724576271186</x:v>
      </x:c>
      <x:c r="J71" s="102" t="n">
        <x:v>93.43500000000002</x:v>
      </x:c>
      <x:c r="K71" s="102" t="n">
        <x:v>92.08677966101695</x:v>
      </x:c>
      <x:c r="L71" s="102" t="n">
        <x:v>5.169745762711855</x:v>
      </x:c>
      <x:c r="M71" s="102" t="n">
        <x:v>91.43</x:v>
      </x:c>
      <x:c r="N71" s="102" t="n">
        <x:v>3.8950000000000102</x:v>
      </x:c>
      <x:c r="O71" s="102" t="n">
        <x:v>10.665</x:v>
      </x:c>
      <x:c r="P71" s="102" t="n">
        <x:v>0</x:v>
      </x:c>
      <x:c r="Q71" s="45" t="str">
        <x:v>MODEL_INFERRED</x:v>
      </x:c>
      <x:c r="R71" s="45" t="str">
        <x:v>SCENARIO_GENERATION</x:v>
      </x:c>
      <x:c r="S71" s="45" t="str">
        <x:v>USER_REVIEW_REQUIRED</x:v>
      </x:c>
    </x:row>
    <x:row r="72">
      <x:c r="A72" s="45" t="str">
        <x:v>AVI_CL_LOW</x:v>
      </x:c>
      <x:c r="B72" s="45" t="str">
        <x:v>AVI typical clearance −20%</x:v>
      </x:c>
      <x:c r="C72" s="45" t="str">
        <x:v>R10</x:v>
      </x:c>
      <x:c r="D72" s="45" t="str">
        <x:v>61–90</x:v>
      </x:c>
      <x:c r="E72" s="45" t="n">
        <x:v>2.5</x:v>
      </x:c>
      <x:c r="F72" s="45" t="n">
        <x:v>8</x:v>
      </x:c>
      <x:c r="G72" s="45" t="str">
        <x:v>INDIA2022_OXA48_KP</x:v>
      </x:c>
      <x:c r="H72" s="45" t="str">
        <x:v>OXA-48-like CR-K. pneumoniae, India</x:v>
      </x:c>
      <x:c r="I72" s="102" t="n">
        <x:v>96.16680147058821</x:v>
      </x:c>
      <x:c r="J72" s="102" t="n">
        <x:v>93.435</x:v>
      </x:c>
      <x:c r="K72" s="102" t="n">
        <x:v>90.00904411764705</x:v>
      </x:c>
      <x:c r="L72" s="102" t="n">
        <x:v>5.069448529411758</x:v>
      </x:c>
      <x:c r="M72" s="102" t="n">
        <x:v>91.43</x:v>
      </x:c>
      <x:c r="N72" s="102" t="n">
        <x:v>3.8950000000000102</x:v>
      </x:c>
      <x:c r="O72" s="102" t="n">
        <x:v>10.665</x:v>
      </x:c>
      <x:c r="P72" s="102" t="n">
        <x:v>0</x:v>
      </x:c>
      <x:c r="Q72" s="45" t="str">
        <x:v>MODEL_INFERRED</x:v>
      </x:c>
      <x:c r="R72" s="45" t="str">
        <x:v>SCENARIO_GENERATION</x:v>
      </x:c>
      <x:c r="S72" s="45" t="str">
        <x:v>USER_REVIEW_REQUIRED</x:v>
      </x:c>
    </x:row>
    <x:row r="73">
      <x:c r="A73" s="45" t="str">
        <x:v>AVI_CL_LOW</x:v>
      </x:c>
      <x:c r="B73" s="45" t="str">
        <x:v>AVI typical clearance −20%</x:v>
      </x:c>
      <x:c r="C73" s="45" t="str">
        <x:v>R10</x:v>
      </x:c>
      <x:c r="D73" s="45" t="str">
        <x:v>61–90</x:v>
      </x:c>
      <x:c r="E73" s="45" t="n">
        <x:v>2.5</x:v>
      </x:c>
      <x:c r="F73" s="45" t="n">
        <x:v>8</x:v>
      </x:c>
      <x:c r="G73" s="45" t="str">
        <x:v>FR2024_OXA484_SERINE_ONLY</x:v>
      </x:c>
      <x:c r="H73" s="45" t="str">
        <x:v>French OXA-484 Enterobacterales, serine-only</x:v>
      </x:c>
      <x:c r="I73" s="102" t="n">
        <x:v>99.80858333333335</x:v>
      </x:c>
      <x:c r="J73" s="102" t="n">
        <x:v>93.435</x:v>
      </x:c>
      <x:c r="K73" s="102" t="n">
        <x:v>93.40158333333333</x:v>
      </x:c>
      <x:c r="L73" s="102" t="n">
        <x:v>5.271666666666661</x:v>
      </x:c>
      <x:c r="M73" s="102" t="n">
        <x:v>91.43</x:v>
      </x:c>
      <x:c r="N73" s="102" t="n">
        <x:v>3.8950000000000102</x:v>
      </x:c>
      <x:c r="O73" s="102" t="n">
        <x:v>10.665</x:v>
      </x:c>
      <x:c r="P73" s="102" t="n">
        <x:v>0</x:v>
      </x:c>
      <x:c r="Q73" s="45" t="str">
        <x:v>MODEL_INFERRED</x:v>
      </x:c>
      <x:c r="R73" s="45" t="str">
        <x:v>SCENARIO_GENERATION</x:v>
      </x:c>
      <x:c r="S73" s="45" t="str">
        <x:v>USER_REVIEW_REQUIRED</x:v>
      </x:c>
    </x:row>
    <x:row r="74">
      <x:c r="A74" s="45" t="str">
        <x:v>AVI_CL_LOW</x:v>
      </x:c>
      <x:c r="B74" s="45" t="str">
        <x:v>AVI typical clearance −20%</x:v>
      </x:c>
      <x:c r="C74" s="45" t="str">
        <x:v>R12</x:v>
      </x:c>
      <x:c r="D74" s="45" t="str">
        <x:v>91–120</x:v>
      </x:c>
      <x:c r="E74" s="45" t="n">
        <x:v>2.5</x:v>
      </x:c>
      <x:c r="F74" s="45" t="n">
        <x:v>6</x:v>
      </x:c>
      <x:c r="G74" s="45" t="str">
        <x:v>LEE2022_KPC_KP</x:v>
      </x:c>
      <x:c r="H74" s="45" t="str">
        <x:v>KPC-like CR-K. pneumoniae, ATLAS 2020</x:v>
      </x:c>
      <x:c r="I74" s="102" t="n">
        <x:v>98.59763852242745</x:v>
      </x:c>
      <x:c r="J74" s="102" t="n">
        <x:v>93.47500000000001</x:v>
      </x:c>
      <x:c r="K74" s="102" t="n">
        <x:v>92.66316622691294</x:v>
      </x:c>
      <x:c r="L74" s="102" t="n">
        <x:v>5.172440633245387</x:v>
      </x:c>
      <x:c r="M74" s="102" t="n">
        <x:v>92.16499999999999</x:v>
      </x:c>
      <x:c r="N74" s="102" t="n">
        <x:v>4.404999999999987</x:v>
      </x:c>
      <x:c r="O74" s="102" t="n">
        <x:v>11.82</x:v>
      </x:c>
      <x:c r="P74" s="102" t="n">
        <x:v>0</x:v>
      </x:c>
      <x:c r="Q74" s="45" t="str">
        <x:v>MODEL_INFERRED</x:v>
      </x:c>
      <x:c r="R74" s="45" t="str">
        <x:v>SCENARIO_GENERATION</x:v>
      </x:c>
      <x:c r="S74" s="45" t="str">
        <x:v>USER_REVIEW_REQUIRED</x:v>
      </x:c>
    </x:row>
    <x:row r="75">
      <x:c r="A75" s="45" t="str">
        <x:v>AVI_CL_LOW</x:v>
      </x:c>
      <x:c r="B75" s="45" t="str">
        <x:v>AVI typical clearance −20%</x:v>
      </x:c>
      <x:c r="C75" s="45" t="str">
        <x:v>R12</x:v>
      </x:c>
      <x:c r="D75" s="45" t="str">
        <x:v>91–120</x:v>
      </x:c>
      <x:c r="E75" s="45" t="n">
        <x:v>2.5</x:v>
      </x:c>
      <x:c r="F75" s="45" t="n">
        <x:v>6</x:v>
      </x:c>
      <x:c r="G75" s="45" t="str">
        <x:v>LEE2022_OXA_KP</x:v>
      </x:c>
      <x:c r="H75" s="45" t="str">
        <x:v>OXA-like CR-K. pneumoniae, ATLAS 2020</x:v>
      </x:c>
      <x:c r="I75" s="102" t="n">
        <x:v>98.37855932203391</x:v>
      </x:c>
      <x:c r="J75" s="102" t="n">
        <x:v>93.47500000000001</x:v>
      </x:c>
      <x:c r="K75" s="102" t="n">
        <x:v>92.1605720338983</x:v>
      </x:c>
      <x:c r="L75" s="102" t="n">
        <x:v>5.221101694915248</x:v>
      </x:c>
      <x:c r="M75" s="102" t="n">
        <x:v>92.16499999999999</x:v>
      </x:c>
      <x:c r="N75" s="102" t="n">
        <x:v>4.404999999999987</x:v>
      </x:c>
      <x:c r="O75" s="102" t="n">
        <x:v>11.82</x:v>
      </x:c>
      <x:c r="P75" s="102" t="n">
        <x:v>0</x:v>
      </x:c>
      <x:c r="Q75" s="45" t="str">
        <x:v>MODEL_INFERRED</x:v>
      </x:c>
      <x:c r="R75" s="45" t="str">
        <x:v>SCENARIO_GENERATION</x:v>
      </x:c>
      <x:c r="S75" s="45" t="str">
        <x:v>USER_REVIEW_REQUIRED</x:v>
      </x:c>
    </x:row>
    <x:row r="76">
      <x:c r="A76" s="45" t="str">
        <x:v>AVI_CL_LOW</x:v>
      </x:c>
      <x:c r="B76" s="45" t="str">
        <x:v>AVI typical clearance −20%</x:v>
      </x:c>
      <x:c r="C76" s="45" t="str">
        <x:v>R12</x:v>
      </x:c>
      <x:c r="D76" s="45" t="str">
        <x:v>91–120</x:v>
      </x:c>
      <x:c r="E76" s="45" t="n">
        <x:v>2.5</x:v>
      </x:c>
      <x:c r="F76" s="45" t="n">
        <x:v>6</x:v>
      </x:c>
      <x:c r="G76" s="45" t="str">
        <x:v>INDIA2022_OXA48_KP</x:v>
      </x:c>
      <x:c r="H76" s="45" t="str">
        <x:v>OXA-48-like CR-K. pneumoniae, India</x:v>
      </x:c>
      <x:c r="I76" s="102" t="n">
        <x:v>96.21154411764707</x:v>
      </x:c>
      <x:c r="J76" s="102" t="n">
        <x:v>93.47500000000001</x:v>
      </x:c>
      <x:c r="K76" s="102" t="n">
        <x:v>90.06893382352942</x:v>
      </x:c>
      <x:c r="L76" s="102" t="n">
        <x:v>5.1183455882353</x:v>
      </x:c>
      <x:c r="M76" s="102" t="n">
        <x:v>92.16499999999999</x:v>
      </x:c>
      <x:c r="N76" s="102" t="n">
        <x:v>4.404999999999987</x:v>
      </x:c>
      <x:c r="O76" s="102" t="n">
        <x:v>11.82</x:v>
      </x:c>
      <x:c r="P76" s="102" t="n">
        <x:v>0</x:v>
      </x:c>
      <x:c r="Q76" s="45" t="str">
        <x:v>MODEL_INFERRED</x:v>
      </x:c>
      <x:c r="R76" s="45" t="str">
        <x:v>SCENARIO_GENERATION</x:v>
      </x:c>
      <x:c r="S76" s="45" t="str">
        <x:v>USER_REVIEW_REQUIRED</x:v>
      </x:c>
    </x:row>
    <x:row r="77">
      <x:c r="A77" s="45" t="str">
        <x:v>AVI_CL_LOW</x:v>
      </x:c>
      <x:c r="B77" s="45" t="str">
        <x:v>AVI typical clearance −20%</x:v>
      </x:c>
      <x:c r="C77" s="45" t="str">
        <x:v>R12</x:v>
      </x:c>
      <x:c r="D77" s="45" t="str">
        <x:v>91–120</x:v>
      </x:c>
      <x:c r="E77" s="45" t="n">
        <x:v>2.5</x:v>
      </x:c>
      <x:c r="F77" s="45" t="n">
        <x:v>6</x:v>
      </x:c>
      <x:c r="G77" s="45" t="str">
        <x:v>FR2024_OXA484_SERINE_ONLY</x:v>
      </x:c>
      <x:c r="H77" s="45" t="str">
        <x:v>French OXA-484 Enterobacterales, serine-only</x:v>
      </x:c>
      <x:c r="I77" s="102" t="n">
        <x:v>99.84516666666667</x:v>
      </x:c>
      <x:c r="J77" s="102" t="n">
        <x:v>93.475</x:v>
      </x:c>
      <x:c r="K77" s="102" t="n">
        <x:v>93.45316666666666</x:v>
      </x:c>
      <x:c r="L77" s="102" t="n">
        <x:v>5.319499999999991</x:v>
      </x:c>
      <x:c r="M77" s="102" t="n">
        <x:v>92.16499999999999</x:v>
      </x:c>
      <x:c r="N77" s="102" t="n">
        <x:v>4.404999999999987</x:v>
      </x:c>
      <x:c r="O77" s="102" t="n">
        <x:v>11.82</x:v>
      </x:c>
      <x:c r="P77" s="102" t="n">
        <x:v>0</x:v>
      </x:c>
      <x:c r="Q77" s="45" t="str">
        <x:v>MODEL_INFERRED</x:v>
      </x:c>
      <x:c r="R77" s="45" t="str">
        <x:v>SCENARIO_GENERATION</x:v>
      </x:c>
      <x:c r="S77" s="45" t="str">
        <x:v>USER_REVIEW_REQUIRED</x:v>
      </x:c>
    </x:row>
    <x:row r="78">
      <x:c r="A78" s="45" t="str">
        <x:v>AVI_CL_LOW</x:v>
      </x:c>
      <x:c r="B78" s="45" t="str">
        <x:v>AVI typical clearance −20%</x:v>
      </x:c>
      <x:c r="C78" s="45" t="str">
        <x:v>R13</x:v>
      </x:c>
      <x:c r="D78" s="45" t="str">
        <x:v>121–150</x:v>
      </x:c>
      <x:c r="E78" s="45" t="n">
        <x:v>2.5</x:v>
      </x:c>
      <x:c r="F78" s="45" t="n">
        <x:v>6</x:v>
      </x:c>
      <x:c r="G78" s="45" t="str">
        <x:v>LEE2022_KPC_KP</x:v>
      </x:c>
      <x:c r="H78" s="45" t="str">
        <x:v>KPC-like CR-K. pneumoniae, ATLAS 2020</x:v>
      </x:c>
      <x:c r="I78" s="102" t="n">
        <x:v>98.02172823218997</x:v>
      </x:c>
      <x:c r="J78" s="102" t="n">
        <x:v>88.23000000000002</x:v>
      </x:c>
      <x:c r="K78" s="102" t="n">
        <x:v>87.33522427440633</x:v>
      </x:c>
      <x:c r="L78" s="102" t="n">
        <x:v>7.598073878627972</x:v>
      </x:c>
      <x:c r="M78" s="102" t="n">
        <x:v>86.555</x:v>
      </x:c>
      <x:c r="N78" s="102" t="n">
        <x:v>6.540000000000006</x:v>
      </x:c>
      <x:c r="O78" s="102" t="n">
        <x:v>7.045</x:v>
      </x:c>
      <x:c r="P78" s="102" t="n">
        <x:v>0</x:v>
      </x:c>
      <x:c r="Q78" s="45" t="str">
        <x:v>MODEL_INFERRED</x:v>
      </x:c>
      <x:c r="R78" s="45" t="str">
        <x:v>SCENARIO_GENERATION</x:v>
      </x:c>
      <x:c r="S78" s="45" t="str">
        <x:v>USER_REVIEW_REQUIRED</x:v>
      </x:c>
    </x:row>
    <x:row r="79">
      <x:c r="A79" s="45" t="str">
        <x:v>AVI_CL_LOW</x:v>
      </x:c>
      <x:c r="B79" s="45" t="str">
        <x:v>AVI typical clearance −20%</x:v>
      </x:c>
      <x:c r="C79" s="45" t="str">
        <x:v>R13</x:v>
      </x:c>
      <x:c r="D79" s="45" t="str">
        <x:v>121–150</x:v>
      </x:c>
      <x:c r="E79" s="45" t="n">
        <x:v>2.5</x:v>
      </x:c>
      <x:c r="F79" s="45" t="n">
        <x:v>6</x:v>
      </x:c>
      <x:c r="G79" s="45" t="str">
        <x:v>LEE2022_OXA_KP</x:v>
      </x:c>
      <x:c r="H79" s="45" t="str">
        <x:v>OXA-like CR-K. pneumoniae, ATLAS 2020</x:v>
      </x:c>
      <x:c r="I79" s="102" t="n">
        <x:v>98.12555084745763</x:v>
      </x:c>
      <x:c r="J79" s="102" t="n">
        <x:v>88.23</x:v>
      </x:c>
      <x:c r="K79" s="102" t="n">
        <x:v>86.94002118644066</x:v>
      </x:c>
      <x:c r="L79" s="102" t="n">
        <x:v>7.664872881355905</x:v>
      </x:c>
      <x:c r="M79" s="102" t="n">
        <x:v>86.555</x:v>
      </x:c>
      <x:c r="N79" s="102" t="n">
        <x:v>6.540000000000006</x:v>
      </x:c>
      <x:c r="O79" s="102" t="n">
        <x:v>7.045</x:v>
      </x:c>
      <x:c r="P79" s="102" t="n">
        <x:v>0</x:v>
      </x:c>
      <x:c r="Q79" s="45" t="str">
        <x:v>MODEL_INFERRED</x:v>
      </x:c>
      <x:c r="R79" s="45" t="str">
        <x:v>SCENARIO_GENERATION</x:v>
      </x:c>
      <x:c r="S79" s="45" t="str">
        <x:v>USER_REVIEW_REQUIRED</x:v>
      </x:c>
    </x:row>
    <x:row r="80">
      <x:c r="A80" s="45" t="str">
        <x:v>AVI_CL_LOW</x:v>
      </x:c>
      <x:c r="B80" s="45" t="str">
        <x:v>AVI typical clearance −20%</x:v>
      </x:c>
      <x:c r="C80" s="45" t="str">
        <x:v>R13</x:v>
      </x:c>
      <x:c r="D80" s="45" t="str">
        <x:v>121–150</x:v>
      </x:c>
      <x:c r="E80" s="45" t="n">
        <x:v>2.5</x:v>
      </x:c>
      <x:c r="F80" s="45" t="n">
        <x:v>6</x:v>
      </x:c>
      <x:c r="G80" s="45" t="str">
        <x:v>INDIA2022_OXA48_KP</x:v>
      </x:c>
      <x:c r="H80" s="45" t="str">
        <x:v>OXA-48-like CR-K. pneumoniae, India</x:v>
      </x:c>
      <x:c r="I80" s="102" t="n">
        <x:v>96.03632352941177</x:v>
      </x:c>
      <x:c r="J80" s="102" t="n">
        <x:v>88.23000000000002</x:v>
      </x:c>
      <x:c r="K80" s="102" t="n">
        <x:v>84.97665441176471</x:v>
      </x:c>
      <x:c r="L80" s="102" t="n">
        <x:v>7.513676470588223</x:v>
      </x:c>
      <x:c r="M80" s="102" t="n">
        <x:v>86.555</x:v>
      </x:c>
      <x:c r="N80" s="102" t="n">
        <x:v>6.540000000000006</x:v>
      </x:c>
      <x:c r="O80" s="102" t="n">
        <x:v>7.045</x:v>
      </x:c>
      <x:c r="P80" s="102" t="n">
        <x:v>0</x:v>
      </x:c>
      <x:c r="Q80" s="45" t="str">
        <x:v>MODEL_INFERRED</x:v>
      </x:c>
      <x:c r="R80" s="45" t="str">
        <x:v>SCENARIO_GENERATION</x:v>
      </x:c>
      <x:c r="S80" s="45" t="str">
        <x:v>USER_REVIEW_REQUIRED</x:v>
      </x:c>
    </x:row>
    <x:row r="81">
      <x:c r="A81" s="45" t="str">
        <x:v>AVI_CL_LOW</x:v>
      </x:c>
      <x:c r="B81" s="45" t="str">
        <x:v>AVI typical clearance −20%</x:v>
      </x:c>
      <x:c r="C81" s="45" t="str">
        <x:v>R13</x:v>
      </x:c>
      <x:c r="D81" s="45" t="str">
        <x:v>121–150</x:v>
      </x:c>
      <x:c r="E81" s="45" t="n">
        <x:v>2.5</x:v>
      </x:c>
      <x:c r="F81" s="45" t="n">
        <x:v>6</x:v>
      </x:c>
      <x:c r="G81" s="45" t="str">
        <x:v>FR2024_OXA484_SERINE_ONLY</x:v>
      </x:c>
      <x:c r="H81" s="45" t="str">
        <x:v>French OXA-484 Enterobacterales, serine-only</x:v>
      </x:c>
      <x:c r="I81" s="102" t="n">
        <x:v>99.71316666666667</x:v>
      </x:c>
      <x:c r="J81" s="102" t="n">
        <x:v>88.23</x:v>
      </x:c>
      <x:c r="K81" s="102" t="n">
        <x:v>88.20208333333333</x:v>
      </x:c>
      <x:c r="L81" s="102" t="n">
        <x:v>7.808499999999995</x:v>
      </x:c>
      <x:c r="M81" s="102" t="n">
        <x:v>86.555</x:v>
      </x:c>
      <x:c r="N81" s="102" t="n">
        <x:v>6.540000000000006</x:v>
      </x:c>
      <x:c r="O81" s="102" t="n">
        <x:v>7.045</x:v>
      </x:c>
      <x:c r="P81" s="102" t="n">
        <x:v>0</x:v>
      </x:c>
      <x:c r="Q81" s="45" t="str">
        <x:v>MODEL_INFERRED</x:v>
      </x:c>
      <x:c r="R81" s="45" t="str">
        <x:v>SCENARIO_GENERATION</x:v>
      </x:c>
      <x:c r="S81" s="45" t="str">
        <x:v>USER_REVIEW_REQUIRED</x:v>
      </x:c>
    </x:row>
    <x:row r="82">
      <x:c r="A82" s="45" t="str">
        <x:v>AVI_CL_HIGH</x:v>
      </x:c>
      <x:c r="B82" s="45" t="str">
        <x:v>AVI typical clearance +20%</x:v>
      </x:c>
      <x:c r="C82" s="45" t="str">
        <x:v>R1</x:v>
      </x:c>
      <x:c r="D82" s="45" t="str">
        <x:v>0–30</x:v>
      </x:c>
      <x:c r="E82" s="45" t="n">
        <x:v>0.625</x:v>
      </x:c>
      <x:c r="F82" s="45" t="n">
        <x:v>12</x:v>
      </x:c>
      <x:c r="G82" s="45" t="str">
        <x:v>LEE2022_KPC_KP</x:v>
      </x:c>
      <x:c r="H82" s="45" t="str">
        <x:v>KPC-like CR-K. pneumoniae, ATLAS 2020</x:v>
      </x:c>
      <x:c r="I82" s="102" t="n">
        <x:v>93.65485488126649</x:v>
      </x:c>
      <x:c r="J82" s="102" t="n">
        <x:v>67.125</x:v>
      </x:c>
      <x:c r="K82" s="102" t="n">
        <x:v>66.17234828496042</x:v>
      </x:c>
      <x:c r="L82" s="102" t="n">
        <x:v>-6.631781002638519</x:v>
      </x:c>
      <x:c r="M82" s="102" t="n">
        <x:v>63.470000000000006</x:v>
      </x:c>
      <x:c r="N82" s="102" t="n">
        <x:v>-2.954999999999991</x:v>
      </x:c>
      <x:c r="O82" s="102" t="n">
        <x:v>9.42</x:v>
      </x:c>
      <x:c r="P82" s="102" t="n">
        <x:v>0</x:v>
      </x:c>
      <x:c r="Q82" s="45" t="str">
        <x:v>MODEL_INFERRED</x:v>
      </x:c>
      <x:c r="R82" s="45" t="str">
        <x:v>SCENARIO_GENERATION</x:v>
      </x:c>
      <x:c r="S82" s="45" t="str">
        <x:v>USER_REVIEW_REQUIRED</x:v>
      </x:c>
    </x:row>
    <x:row r="83">
      <x:c r="A83" s="45" t="str">
        <x:v>AVI_CL_HIGH</x:v>
      </x:c>
      <x:c r="B83" s="45" t="str">
        <x:v>AVI typical clearance +20%</x:v>
      </x:c>
      <x:c r="C83" s="45" t="str">
        <x:v>R1</x:v>
      </x:c>
      <x:c r="D83" s="45" t="str">
        <x:v>0–30</x:v>
      </x:c>
      <x:c r="E83" s="45" t="n">
        <x:v>0.625</x:v>
      </x:c>
      <x:c r="F83" s="45" t="n">
        <x:v>12</x:v>
      </x:c>
      <x:c r="G83" s="45" t="str">
        <x:v>LEE2022_OXA_KP</x:v>
      </x:c>
      <x:c r="H83" s="45" t="str">
        <x:v>OXA-like CR-K. pneumoniae, ATLAS 2020</x:v>
      </x:c>
      <x:c r="I83" s="102" t="n">
        <x:v>95.5652966101695</x:v>
      </x:c>
      <x:c r="J83" s="102" t="n">
        <x:v>67.125</x:v>
      </x:c>
      <x:c r="K83" s="102" t="n">
        <x:v>66.08457627118645</x:v>
      </x:c>
      <x:c r="L83" s="102" t="n">
        <x:v>-6.8684322033898155</x:v>
      </x:c>
      <x:c r="M83" s="102" t="n">
        <x:v>63.470000000000006</x:v>
      </x:c>
      <x:c r="N83" s="102" t="n">
        <x:v>-2.954999999999991</x:v>
      </x:c>
      <x:c r="O83" s="102" t="n">
        <x:v>9.42</x:v>
      </x:c>
      <x:c r="P83" s="102" t="n">
        <x:v>0</x:v>
      </x:c>
      <x:c r="Q83" s="45" t="str">
        <x:v>MODEL_INFERRED</x:v>
      </x:c>
      <x:c r="R83" s="45" t="str">
        <x:v>SCENARIO_GENERATION</x:v>
      </x:c>
      <x:c r="S83" s="45" t="str">
        <x:v>USER_REVIEW_REQUIRED</x:v>
      </x:c>
    </x:row>
    <x:row r="84">
      <x:c r="A84" s="45" t="str">
        <x:v>AVI_CL_HIGH</x:v>
      </x:c>
      <x:c r="B84" s="45" t="str">
        <x:v>AVI typical clearance +20%</x:v>
      </x:c>
      <x:c r="C84" s="45" t="str">
        <x:v>R1</x:v>
      </x:c>
      <x:c r="D84" s="45" t="str">
        <x:v>0–30</x:v>
      </x:c>
      <x:c r="E84" s="45" t="n">
        <x:v>0.625</x:v>
      </x:c>
      <x:c r="F84" s="45" t="n">
        <x:v>12</x:v>
      </x:c>
      <x:c r="G84" s="45" t="str">
        <x:v>INDIA2022_OXA48_KP</x:v>
      </x:c>
      <x:c r="H84" s="45" t="str">
        <x:v>OXA-48-like CR-K. pneumoniae, India</x:v>
      </x:c>
      <x:c r="I84" s="102" t="n">
        <x:v>94.45033088235294</x:v>
      </x:c>
      <x:c r="J84" s="102" t="n">
        <x:v>67.125</x:v>
      </x:c>
      <x:c r="K84" s="102" t="n">
        <x:v>64.7</x:v>
      </x:c>
      <x:c r="L84" s="102" t="n">
        <x:v>-6.742279411764713</x:v>
      </x:c>
      <x:c r="M84" s="102" t="n">
        <x:v>63.470000000000006</x:v>
      </x:c>
      <x:c r="N84" s="102" t="n">
        <x:v>-2.954999999999991</x:v>
      </x:c>
      <x:c r="O84" s="102" t="n">
        <x:v>9.42</x:v>
      </x:c>
      <x:c r="P84" s="102" t="n">
        <x:v>0</x:v>
      </x:c>
      <x:c r="Q84" s="45" t="str">
        <x:v>MODEL_INFERRED</x:v>
      </x:c>
      <x:c r="R84" s="45" t="str">
        <x:v>SCENARIO_GENERATION</x:v>
      </x:c>
      <x:c r="S84" s="45" t="str">
        <x:v>USER_REVIEW_REQUIRED</x:v>
      </x:c>
    </x:row>
    <x:row r="85">
      <x:c r="A85" s="45" t="str">
        <x:v>AVI_CL_HIGH</x:v>
      </x:c>
      <x:c r="B85" s="45" t="str">
        <x:v>AVI typical clearance +20%</x:v>
      </x:c>
      <x:c r="C85" s="45" t="str">
        <x:v>R1</x:v>
      </x:c>
      <x:c r="D85" s="45" t="str">
        <x:v>0–30</x:v>
      </x:c>
      <x:c r="E85" s="45" t="n">
        <x:v>0.625</x:v>
      </x:c>
      <x:c r="F85" s="45" t="n">
        <x:v>12</x:v>
      </x:c>
      <x:c r="G85" s="45" t="str">
        <x:v>FR2024_OXA484_SERINE_ONLY</x:v>
      </x:c>
      <x:c r="H85" s="45" t="str">
        <x:v>French OXA-484 Enterobacterales, serine-only</x:v>
      </x:c>
      <x:c r="I85" s="102" t="n">
        <x:v>98.06408333333334</x:v>
      </x:c>
      <x:c r="J85" s="102" t="n">
        <x:v>67.125</x:v>
      </x:c>
      <x:c r="K85" s="102" t="n">
        <x:v>67.06408333333333</x:v>
      </x:c>
      <x:c r="L85" s="102" t="n">
        <x:v>-7.025250000000014</x:v>
      </x:c>
      <x:c r="M85" s="102" t="n">
        <x:v>63.470000000000006</x:v>
      </x:c>
      <x:c r="N85" s="102" t="n">
        <x:v>-2.954999999999991</x:v>
      </x:c>
      <x:c r="O85" s="102" t="n">
        <x:v>9.42</x:v>
      </x:c>
      <x:c r="P85" s="102" t="n">
        <x:v>0</x:v>
      </x:c>
      <x:c r="Q85" s="45" t="str">
        <x:v>MODEL_INFERRED</x:v>
      </x:c>
      <x:c r="R85" s="45" t="str">
        <x:v>SCENARIO_GENERATION</x:v>
      </x:c>
      <x:c r="S85" s="45" t="str">
        <x:v>USER_REVIEW_REQUIRED</x:v>
      </x:c>
    </x:row>
    <x:row r="86">
      <x:c r="A86" s="45" t="str">
        <x:v>AVI_CL_HIGH</x:v>
      </x:c>
      <x:c r="B86" s="45" t="str">
        <x:v>AVI typical clearance +20%</x:v>
      </x:c>
      <x:c r="C86" s="45" t="str">
        <x:v>R8</x:v>
      </x:c>
      <x:c r="D86" s="45" t="str">
        <x:v>31–60</x:v>
      </x:c>
      <x:c r="E86" s="45" t="n">
        <x:v>2.5</x:v>
      </x:c>
      <x:c r="F86" s="45" t="n">
        <x:v>12</x:v>
      </x:c>
      <x:c r="G86" s="45" t="str">
        <x:v>LEE2022_KPC_KP</x:v>
      </x:c>
      <x:c r="H86" s="45" t="str">
        <x:v>KPC-like CR-K. pneumoniae, ATLAS 2020</x:v>
      </x:c>
      <x:c r="I86" s="102" t="n">
        <x:v>98.2425857519789</x:v>
      </x:c>
      <x:c r="J86" s="102" t="n">
        <x:v>83.82000000000001</x:v>
      </x:c>
      <x:c r="K86" s="102" t="n">
        <x:v>83.16320580474932</x:v>
      </x:c>
      <x:c r="L86" s="102" t="n">
        <x:v>-5.249617414248036</x:v>
      </x:c>
      <x:c r="M86" s="102" t="n">
        <x:v>83.42</x:v>
      </x:c>
      <x:c r="N86" s="102" t="n">
        <x:v>-4.564999999999998</x:v>
      </x:c>
      <x:c r="O86" s="102" t="n">
        <x:v>9.62</x:v>
      </x:c>
      <x:c r="P86" s="102" t="n">
        <x:v>0</x:v>
      </x:c>
      <x:c r="Q86" s="45" t="str">
        <x:v>MODEL_INFERRED</x:v>
      </x:c>
      <x:c r="R86" s="45" t="str">
        <x:v>SCENARIO_GENERATION</x:v>
      </x:c>
      <x:c r="S86" s="45" t="str">
        <x:v>USER_REVIEW_REQUIRED</x:v>
      </x:c>
    </x:row>
    <x:row r="87">
      <x:c r="A87" s="45" t="str">
        <x:v>AVI_CL_HIGH</x:v>
      </x:c>
      <x:c r="B87" s="45" t="str">
        <x:v>AVI typical clearance +20%</x:v>
      </x:c>
      <x:c r="C87" s="45" t="str">
        <x:v>R8</x:v>
      </x:c>
      <x:c r="D87" s="45" t="str">
        <x:v>31–60</x:v>
      </x:c>
      <x:c r="E87" s="45" t="n">
        <x:v>2.5</x:v>
      </x:c>
      <x:c r="F87" s="45" t="n">
        <x:v>12</x:v>
      </x:c>
      <x:c r="G87" s="45" t="str">
        <x:v>LEE2022_OXA_KP</x:v>
      </x:c>
      <x:c r="H87" s="45" t="str">
        <x:v>OXA-like CR-K. pneumoniae, ATLAS 2020</x:v>
      </x:c>
      <x:c r="I87" s="102" t="n">
        <x:v>98.22625000000002</x:v>
      </x:c>
      <x:c r="J87" s="102" t="n">
        <x:v>83.82000000000001</x:v>
      </x:c>
      <x:c r="K87" s="102" t="n">
        <x:v>82.66237288135594</x:v>
      </x:c>
      <x:c r="L87" s="102" t="n">
        <x:v>-5.2924788135593275</x:v>
      </x:c>
      <x:c r="M87" s="102" t="n">
        <x:v>83.42</x:v>
      </x:c>
      <x:c r="N87" s="102" t="n">
        <x:v>-4.564999999999998</x:v>
      </x:c>
      <x:c r="O87" s="102" t="n">
        <x:v>9.62</x:v>
      </x:c>
      <x:c r="P87" s="102" t="n">
        <x:v>0</x:v>
      </x:c>
      <x:c r="Q87" s="45" t="str">
        <x:v>MODEL_INFERRED</x:v>
      </x:c>
      <x:c r="R87" s="45" t="str">
        <x:v>SCENARIO_GENERATION</x:v>
      </x:c>
      <x:c r="S87" s="45" t="str">
        <x:v>USER_REVIEW_REQUIRED</x:v>
      </x:c>
    </x:row>
    <x:row r="88">
      <x:c r="A88" s="45" t="str">
        <x:v>AVI_CL_HIGH</x:v>
      </x:c>
      <x:c r="B88" s="45" t="str">
        <x:v>AVI typical clearance +20%</x:v>
      </x:c>
      <x:c r="C88" s="45" t="str">
        <x:v>R8</x:v>
      </x:c>
      <x:c r="D88" s="45" t="str">
        <x:v>31–60</x:v>
      </x:c>
      <x:c r="E88" s="45" t="n">
        <x:v>2.5</x:v>
      </x:c>
      <x:c r="F88" s="45" t="n">
        <x:v>12</x:v>
      </x:c>
      <x:c r="G88" s="45" t="str">
        <x:v>INDIA2022_OXA48_KP</x:v>
      </x:c>
      <x:c r="H88" s="45" t="str">
        <x:v>OXA-48-like CR-K. pneumoniae, India</x:v>
      </x:c>
      <x:c r="I88" s="102" t="n">
        <x:v>96.11161764705881</x:v>
      </x:c>
      <x:c r="J88" s="102" t="n">
        <x:v>83.82</x:v>
      </x:c>
      <x:c r="K88" s="102" t="n">
        <x:v>80.775625</x:v>
      </x:c>
      <x:c r="L88" s="102" t="n">
        <x:v>-5.187757352941176</x:v>
      </x:c>
      <x:c r="M88" s="102" t="n">
        <x:v>83.42</x:v>
      </x:c>
      <x:c r="N88" s="102" t="n">
        <x:v>-4.564999999999998</x:v>
      </x:c>
      <x:c r="O88" s="102" t="n">
        <x:v>9.62</x:v>
      </x:c>
      <x:c r="P88" s="102" t="n">
        <x:v>0</x:v>
      </x:c>
      <x:c r="Q88" s="45" t="str">
        <x:v>MODEL_INFERRED</x:v>
      </x:c>
      <x:c r="R88" s="45" t="str">
        <x:v>SCENARIO_GENERATION</x:v>
      </x:c>
      <x:c r="S88" s="45" t="str">
        <x:v>USER_REVIEW_REQUIRED</x:v>
      </x:c>
    </x:row>
    <x:row r="89">
      <x:c r="A89" s="45" t="str">
        <x:v>AVI_CL_HIGH</x:v>
      </x:c>
      <x:c r="B89" s="45" t="str">
        <x:v>AVI typical clearance +20%</x:v>
      </x:c>
      <x:c r="C89" s="45" t="str">
        <x:v>R8</x:v>
      </x:c>
      <x:c r="D89" s="45" t="str">
        <x:v>31–60</x:v>
      </x:c>
      <x:c r="E89" s="45" t="n">
        <x:v>2.5</x:v>
      </x:c>
      <x:c r="F89" s="45" t="n">
        <x:v>12</x:v>
      </x:c>
      <x:c r="G89" s="45" t="str">
        <x:v>FR2024_OXA484_SERINE_ONLY</x:v>
      </x:c>
      <x:c r="H89" s="45" t="str">
        <x:v>French OXA-484 Enterobacterales, serine-only</x:v>
      </x:c>
      <x:c r="I89" s="102" t="n">
        <x:v>99.76208333333334</x:v>
      </x:c>
      <x:c r="J89" s="102" t="n">
        <x:v>83.82</x:v>
      </x:c>
      <x:c r="K89" s="102" t="n">
        <x:v>83.81333333333332</x:v>
      </x:c>
      <x:c r="L89" s="102" t="n">
        <x:v>-5.390999999999991</x:v>
      </x:c>
      <x:c r="M89" s="102" t="n">
        <x:v>83.42</x:v>
      </x:c>
      <x:c r="N89" s="102" t="n">
        <x:v>-4.564999999999998</x:v>
      </x:c>
      <x:c r="O89" s="102" t="n">
        <x:v>9.62</x:v>
      </x:c>
      <x:c r="P89" s="102" t="n">
        <x:v>0</x:v>
      </x:c>
      <x:c r="Q89" s="45" t="str">
        <x:v>MODEL_INFERRED</x:v>
      </x:c>
      <x:c r="R89" s="45" t="str">
        <x:v>SCENARIO_GENERATION</x:v>
      </x:c>
      <x:c r="S89" s="45" t="str">
        <x:v>USER_REVIEW_REQUIRED</x:v>
      </x:c>
    </x:row>
    <x:row r="90">
      <x:c r="A90" s="45" t="str">
        <x:v>AVI_CL_HIGH</x:v>
      </x:c>
      <x:c r="B90" s="45" t="str">
        <x:v>AVI typical clearance +20%</x:v>
      </x:c>
      <x:c r="C90" s="45" t="str">
        <x:v>R10</x:v>
      </x:c>
      <x:c r="D90" s="45" t="str">
        <x:v>61–90</x:v>
      </x:c>
      <x:c r="E90" s="45" t="n">
        <x:v>2.5</x:v>
      </x:c>
      <x:c r="F90" s="45" t="n">
        <x:v>8</x:v>
      </x:c>
      <x:c r="G90" s="45" t="str">
        <x:v>LEE2022_KPC_KP</x:v>
      </x:c>
      <x:c r="H90" s="45" t="str">
        <x:v>KPC-like CR-K. pneumoniae, ATLAS 2020</x:v>
      </x:c>
      <x:c r="I90" s="102" t="n">
        <x:v>98.4327308707124</x:v>
      </x:c>
      <x:c r="J90" s="102" t="n">
        <x:v>82.405</x:v>
      </x:c>
      <x:c r="K90" s="102" t="n">
        <x:v>81.8215171503958</x:v>
      </x:c>
      <x:c r="L90" s="102" t="n">
        <x:v>-5.607638522427422</x:v>
      </x:c>
      <x:c r="M90" s="102" t="n">
        <x:v>82.255</x:v>
      </x:c>
      <x:c r="N90" s="102" t="n">
        <x:v>-5.280000000000001</x:v>
      </x:c>
      <x:c r="O90" s="102" t="n">
        <x:v>10.665</x:v>
      </x:c>
      <x:c r="P90" s="102" t="n">
        <x:v>0</x:v>
      </x:c>
      <x:c r="Q90" s="45" t="str">
        <x:v>MODEL_INFERRED</x:v>
      </x:c>
      <x:c r="R90" s="45" t="str">
        <x:v>SCENARIO_GENERATION</x:v>
      </x:c>
      <x:c r="S90" s="45" t="str">
        <x:v>USER_REVIEW_REQUIRED</x:v>
      </x:c>
    </x:row>
    <x:row r="91">
      <x:c r="A91" s="45" t="str">
        <x:v>AVI_CL_HIGH</x:v>
      </x:c>
      <x:c r="B91" s="45" t="str">
        <x:v>AVI typical clearance +20%</x:v>
      </x:c>
      <x:c r="C91" s="45" t="str">
        <x:v>R10</x:v>
      </x:c>
      <x:c r="D91" s="45" t="str">
        <x:v>61–90</x:v>
      </x:c>
      <x:c r="E91" s="45" t="n">
        <x:v>2.5</x:v>
      </x:c>
      <x:c r="F91" s="45" t="n">
        <x:v>8</x:v>
      </x:c>
      <x:c r="G91" s="45" t="str">
        <x:v>LEE2022_OXA_KP</x:v>
      </x:c>
      <x:c r="H91" s="45" t="str">
        <x:v>OXA-like CR-K. pneumoniae, ATLAS 2020</x:v>
      </x:c>
      <x:c r="I91" s="102" t="n">
        <x:v>98.30724576271186</x:v>
      </x:c>
      <x:c r="J91" s="102" t="n">
        <x:v>82.40499999999999</x:v>
      </x:c>
      <x:c r="K91" s="102" t="n">
        <x:v>81.29006355932202</x:v>
      </x:c>
      <x:c r="L91" s="102" t="n">
        <x:v>-5.626970338983071</x:v>
      </x:c>
      <x:c r="M91" s="102" t="n">
        <x:v>82.255</x:v>
      </x:c>
      <x:c r="N91" s="102" t="n">
        <x:v>-5.280000000000001</x:v>
      </x:c>
      <x:c r="O91" s="102" t="n">
        <x:v>10.665</x:v>
      </x:c>
      <x:c r="P91" s="102" t="n">
        <x:v>0</x:v>
      </x:c>
      <x:c r="Q91" s="45" t="str">
        <x:v>MODEL_INFERRED</x:v>
      </x:c>
      <x:c r="R91" s="45" t="str">
        <x:v>SCENARIO_GENERATION</x:v>
      </x:c>
      <x:c r="S91" s="45" t="str">
        <x:v>USER_REVIEW_REQUIRED</x:v>
      </x:c>
    </x:row>
    <x:row r="92">
      <x:c r="A92" s="45" t="str">
        <x:v>AVI_CL_HIGH</x:v>
      </x:c>
      <x:c r="B92" s="45" t="str">
        <x:v>AVI typical clearance +20%</x:v>
      </x:c>
      <x:c r="C92" s="45" t="str">
        <x:v>R10</x:v>
      </x:c>
      <x:c r="D92" s="45" t="str">
        <x:v>61–90</x:v>
      </x:c>
      <x:c r="E92" s="45" t="n">
        <x:v>2.5</x:v>
      </x:c>
      <x:c r="F92" s="45" t="n">
        <x:v>8</x:v>
      </x:c>
      <x:c r="G92" s="45" t="str">
        <x:v>INDIA2022_OXA48_KP</x:v>
      </x:c>
      <x:c r="H92" s="45" t="str">
        <x:v>OXA-48-like CR-K. pneumoniae, India</x:v>
      </x:c>
      <x:c r="I92" s="102" t="n">
        <x:v>96.16680147058821</x:v>
      </x:c>
      <x:c r="J92" s="102" t="n">
        <x:v>82.405</x:v>
      </x:c>
      <x:c r="K92" s="102" t="n">
        <x:v>79.42547794117647</x:v>
      </x:c>
      <x:c r="L92" s="102" t="n">
        <x:v>-5.514117647058825</x:v>
      </x:c>
      <x:c r="M92" s="102" t="n">
        <x:v>82.255</x:v>
      </x:c>
      <x:c r="N92" s="102" t="n">
        <x:v>-5.280000000000001</x:v>
      </x:c>
      <x:c r="O92" s="102" t="n">
        <x:v>10.665</x:v>
      </x:c>
      <x:c r="P92" s="102" t="n">
        <x:v>0</x:v>
      </x:c>
      <x:c r="Q92" s="45" t="str">
        <x:v>MODEL_INFERRED</x:v>
      </x:c>
      <x:c r="R92" s="45" t="str">
        <x:v>SCENARIO_GENERATION</x:v>
      </x:c>
      <x:c r="S92" s="45" t="str">
        <x:v>USER_REVIEW_REQUIRED</x:v>
      </x:c>
    </x:row>
    <x:row r="93">
      <x:c r="A93" s="45" t="str">
        <x:v>AVI_CL_HIGH</x:v>
      </x:c>
      <x:c r="B93" s="45" t="str">
        <x:v>AVI typical clearance +20%</x:v>
      </x:c>
      <x:c r="C93" s="45" t="str">
        <x:v>R10</x:v>
      </x:c>
      <x:c r="D93" s="45" t="str">
        <x:v>61–90</x:v>
      </x:c>
      <x:c r="E93" s="45" t="n">
        <x:v>2.5</x:v>
      </x:c>
      <x:c r="F93" s="45" t="n">
        <x:v>8</x:v>
      </x:c>
      <x:c r="G93" s="45" t="str">
        <x:v>FR2024_OXA484_SERINE_ONLY</x:v>
      </x:c>
      <x:c r="H93" s="45" t="str">
        <x:v>French OXA-484 Enterobacterales, serine-only</x:v>
      </x:c>
      <x:c r="I93" s="102" t="n">
        <x:v>99.80858333333335</x:v>
      </x:c>
      <x:c r="J93" s="102" t="n">
        <x:v>82.405</x:v>
      </x:c>
      <x:c r="K93" s="102" t="n">
        <x:v>82.4025</x:v>
      </x:c>
      <x:c r="L93" s="102" t="n">
        <x:v>-5.72741666666667</x:v>
      </x:c>
      <x:c r="M93" s="102" t="n">
        <x:v>82.255</x:v>
      </x:c>
      <x:c r="N93" s="102" t="n">
        <x:v>-5.280000000000001</x:v>
      </x:c>
      <x:c r="O93" s="102" t="n">
        <x:v>10.665</x:v>
      </x:c>
      <x:c r="P93" s="102" t="n">
        <x:v>0</x:v>
      </x:c>
      <x:c r="Q93" s="45" t="str">
        <x:v>MODEL_INFERRED</x:v>
      </x:c>
      <x:c r="R93" s="45" t="str">
        <x:v>SCENARIO_GENERATION</x:v>
      </x:c>
      <x:c r="S93" s="45" t="str">
        <x:v>USER_REVIEW_REQUIRED</x:v>
      </x:c>
    </x:row>
    <x:row r="94">
      <x:c r="A94" s="45" t="str">
        <x:v>AVI_CL_HIGH</x:v>
      </x:c>
      <x:c r="B94" s="45" t="str">
        <x:v>AVI typical clearance +20%</x:v>
      </x:c>
      <x:c r="C94" s="45" t="str">
        <x:v>R12</x:v>
      </x:c>
      <x:c r="D94" s="45" t="str">
        <x:v>91–120</x:v>
      </x:c>
      <x:c r="E94" s="45" t="n">
        <x:v>2.5</x:v>
      </x:c>
      <x:c r="F94" s="45" t="n">
        <x:v>6</x:v>
      </x:c>
      <x:c r="G94" s="45" t="str">
        <x:v>LEE2022_KPC_KP</x:v>
      </x:c>
      <x:c r="H94" s="45" t="str">
        <x:v>KPC-like CR-K. pneumoniae, ATLAS 2020</x:v>
      </x:c>
      <x:c r="I94" s="102" t="n">
        <x:v>98.59763852242745</x:v>
      </x:c>
      <x:c r="J94" s="102" t="n">
        <x:v>81.88499999999999</x:v>
      </x:c>
      <x:c r="K94" s="102" t="n">
        <x:v>81.3546437994723</x:v>
      </x:c>
      <x:c r="L94" s="102" t="n">
        <x:v>-6.136081794195249</x:v>
      </x:c>
      <x:c r="M94" s="102" t="n">
        <x:v>81.8</x:v>
      </x:c>
      <x:c r="N94" s="102" t="n">
        <x:v>-5.960000000000008</x:v>
      </x:c>
      <x:c r="O94" s="102" t="n">
        <x:v>11.82</x:v>
      </x:c>
      <x:c r="P94" s="102" t="n">
        <x:v>0</x:v>
      </x:c>
      <x:c r="Q94" s="45" t="str">
        <x:v>MODEL_INFERRED</x:v>
      </x:c>
      <x:c r="R94" s="45" t="str">
        <x:v>SCENARIO_GENERATION</x:v>
      </x:c>
      <x:c r="S94" s="45" t="str">
        <x:v>USER_REVIEW_REQUIRED</x:v>
      </x:c>
    </x:row>
    <x:row r="95">
      <x:c r="A95" s="45" t="str">
        <x:v>AVI_CL_HIGH</x:v>
      </x:c>
      <x:c r="B95" s="45" t="str">
        <x:v>AVI typical clearance +20%</x:v>
      </x:c>
      <x:c r="C95" s="45" t="str">
        <x:v>R12</x:v>
      </x:c>
      <x:c r="D95" s="45" t="str">
        <x:v>91–120</x:v>
      </x:c>
      <x:c r="E95" s="45" t="n">
        <x:v>2.5</x:v>
      </x:c>
      <x:c r="F95" s="45" t="n">
        <x:v>6</x:v>
      </x:c>
      <x:c r="G95" s="45" t="str">
        <x:v>LEE2022_OXA_KP</x:v>
      </x:c>
      <x:c r="H95" s="45" t="str">
        <x:v>OXA-like CR-K. pneumoniae, ATLAS 2020</x:v>
      </x:c>
      <x:c r="I95" s="102" t="n">
        <x:v>98.37855932203391</x:v>
      </x:c>
      <x:c r="J95" s="102" t="n">
        <x:v>81.88499999999999</x:v>
      </x:c>
      <x:c r="K95" s="102" t="n">
        <x:v>80.79597457627116</x:v>
      </x:c>
      <x:c r="L95" s="102" t="n">
        <x:v>-6.143495762711893</x:v>
      </x:c>
      <x:c r="M95" s="102" t="n">
        <x:v>81.8</x:v>
      </x:c>
      <x:c r="N95" s="102" t="n">
        <x:v>-5.960000000000008</x:v>
      </x:c>
      <x:c r="O95" s="102" t="n">
        <x:v>11.82</x:v>
      </x:c>
      <x:c r="P95" s="102" t="n">
        <x:v>0</x:v>
      </x:c>
      <x:c r="Q95" s="45" t="str">
        <x:v>MODEL_INFERRED</x:v>
      </x:c>
      <x:c r="R95" s="45" t="str">
        <x:v>SCENARIO_GENERATION</x:v>
      </x:c>
      <x:c r="S95" s="45" t="str">
        <x:v>USER_REVIEW_REQUIRED</x:v>
      </x:c>
    </x:row>
    <x:row r="96">
      <x:c r="A96" s="45" t="str">
        <x:v>AVI_CL_HIGH</x:v>
      </x:c>
      <x:c r="B96" s="45" t="str">
        <x:v>AVI typical clearance +20%</x:v>
      </x:c>
      <x:c r="C96" s="45" t="str">
        <x:v>R12</x:v>
      </x:c>
      <x:c r="D96" s="45" t="str">
        <x:v>91–120</x:v>
      </x:c>
      <x:c r="E96" s="45" t="n">
        <x:v>2.5</x:v>
      </x:c>
      <x:c r="F96" s="45" t="n">
        <x:v>6</x:v>
      </x:c>
      <x:c r="G96" s="45" t="str">
        <x:v>INDIA2022_OXA48_KP</x:v>
      </x:c>
      <x:c r="H96" s="45" t="str">
        <x:v>OXA-48-like CR-K. pneumoniae, India</x:v>
      </x:c>
      <x:c r="I96" s="102" t="n">
        <x:v>96.21154411764707</x:v>
      </x:c>
      <x:c r="J96" s="102" t="n">
        <x:v>81.885</x:v>
      </x:c>
      <x:c r="K96" s="102" t="n">
        <x:v>78.9320588235294</x:v>
      </x:c>
      <x:c r="L96" s="102" t="n">
        <x:v>-6.0185294117647175</x:v>
      </x:c>
      <x:c r="M96" s="102" t="n">
        <x:v>81.8</x:v>
      </x:c>
      <x:c r="N96" s="102" t="n">
        <x:v>-5.960000000000008</x:v>
      </x:c>
      <x:c r="O96" s="102" t="n">
        <x:v>11.82</x:v>
      </x:c>
      <x:c r="P96" s="102" t="n">
        <x:v>0</x:v>
      </x:c>
      <x:c r="Q96" s="45" t="str">
        <x:v>MODEL_INFERRED</x:v>
      </x:c>
      <x:c r="R96" s="45" t="str">
        <x:v>SCENARIO_GENERATION</x:v>
      </x:c>
      <x:c r="S96" s="45" t="str">
        <x:v>USER_REVIEW_REQUIRED</x:v>
      </x:c>
    </x:row>
    <x:row r="97">
      <x:c r="A97" s="45" t="str">
        <x:v>AVI_CL_HIGH</x:v>
      </x:c>
      <x:c r="B97" s="45" t="str">
        <x:v>AVI typical clearance +20%</x:v>
      </x:c>
      <x:c r="C97" s="45" t="str">
        <x:v>R12</x:v>
      </x:c>
      <x:c r="D97" s="45" t="str">
        <x:v>91–120</x:v>
      </x:c>
      <x:c r="E97" s="45" t="n">
        <x:v>2.5</x:v>
      </x:c>
      <x:c r="F97" s="45" t="n">
        <x:v>6</x:v>
      </x:c>
      <x:c r="G97" s="45" t="str">
        <x:v>FR2024_OXA484_SERINE_ONLY</x:v>
      </x:c>
      <x:c r="H97" s="45" t="str">
        <x:v>French OXA-484 Enterobacterales, serine-only</x:v>
      </x:c>
      <x:c r="I97" s="102" t="n">
        <x:v>99.84516666666667</x:v>
      </x:c>
      <x:c r="J97" s="102" t="n">
        <x:v>81.88499999999999</x:v>
      </x:c>
      <x:c r="K97" s="102" t="n">
        <x:v>81.88358333333332</x:v>
      </x:c>
      <x:c r="L97" s="102" t="n">
        <x:v>-6.25008333333335</x:v>
      </x:c>
      <x:c r="M97" s="102" t="n">
        <x:v>81.8</x:v>
      </x:c>
      <x:c r="N97" s="102" t="n">
        <x:v>-5.960000000000008</x:v>
      </x:c>
      <x:c r="O97" s="102" t="n">
        <x:v>11.82</x:v>
      </x:c>
      <x:c r="P97" s="102" t="n">
        <x:v>0</x:v>
      </x:c>
      <x:c r="Q97" s="45" t="str">
        <x:v>MODEL_INFERRED</x:v>
      </x:c>
      <x:c r="R97" s="45" t="str">
        <x:v>SCENARIO_GENERATION</x:v>
      </x:c>
      <x:c r="S97" s="45" t="str">
        <x:v>USER_REVIEW_REQUIRED</x:v>
      </x:c>
    </x:row>
    <x:row r="98">
      <x:c r="A98" s="45" t="str">
        <x:v>AVI_CL_HIGH</x:v>
      </x:c>
      <x:c r="B98" s="45" t="str">
        <x:v>AVI typical clearance +20%</x:v>
      </x:c>
      <x:c r="C98" s="45" t="str">
        <x:v>R13</x:v>
      </x:c>
      <x:c r="D98" s="45" t="str">
        <x:v>121–150</x:v>
      </x:c>
      <x:c r="E98" s="45" t="n">
        <x:v>2.5</x:v>
      </x:c>
      <x:c r="F98" s="45" t="n">
        <x:v>6</x:v>
      </x:c>
      <x:c r="G98" s="45" t="str">
        <x:v>LEE2022_KPC_KP</x:v>
      </x:c>
      <x:c r="H98" s="45" t="str">
        <x:v>KPC-like CR-K. pneumoniae, ATLAS 2020</x:v>
      </x:c>
      <x:c r="I98" s="102" t="n">
        <x:v>98.02172823218997</x:v>
      </x:c>
      <x:c r="J98" s="102" t="n">
        <x:v>72.21000000000001</x:v>
      </x:c>
      <x:c r="K98" s="102" t="n">
        <x:v>71.6961741424802</x:v>
      </x:c>
      <x:c r="L98" s="102" t="n">
        <x:v>-8.040976253298155</x:v>
      </x:c>
      <x:c r="M98" s="102" t="n">
        <x:v>72.13000000000001</x:v>
      </x:c>
      <x:c r="N98" s="102" t="n">
        <x:v>-7.884999999999991</x:v>
      </x:c>
      <x:c r="O98" s="102" t="n">
        <x:v>7.045</x:v>
      </x:c>
      <x:c r="P98" s="102" t="n">
        <x:v>0</x:v>
      </x:c>
      <x:c r="Q98" s="45" t="str">
        <x:v>MODEL_INFERRED</x:v>
      </x:c>
      <x:c r="R98" s="45" t="str">
        <x:v>SCENARIO_GENERATION</x:v>
      </x:c>
      <x:c r="S98" s="45" t="str">
        <x:v>USER_REVIEW_REQUIRED</x:v>
      </x:c>
    </x:row>
    <x:row r="99">
      <x:c r="A99" s="45" t="str">
        <x:v>AVI_CL_HIGH</x:v>
      </x:c>
      <x:c r="B99" s="45" t="str">
        <x:v>AVI typical clearance +20%</x:v>
      </x:c>
      <x:c r="C99" s="45" t="str">
        <x:v>R13</x:v>
      </x:c>
      <x:c r="D99" s="45" t="str">
        <x:v>121–150</x:v>
      </x:c>
      <x:c r="E99" s="45" t="n">
        <x:v>2.5</x:v>
      </x:c>
      <x:c r="F99" s="45" t="n">
        <x:v>6</x:v>
      </x:c>
      <x:c r="G99" s="45" t="str">
        <x:v>LEE2022_OXA_KP</x:v>
      </x:c>
      <x:c r="H99" s="45" t="str">
        <x:v>OXA-like CR-K. pneumoniae, ATLAS 2020</x:v>
      </x:c>
      <x:c r="I99" s="102" t="n">
        <x:v>98.12555084745763</x:v>
      </x:c>
      <x:c r="J99" s="102" t="n">
        <x:v>72.21000000000001</x:v>
      </x:c>
      <x:c r="K99" s="102" t="n">
        <x:v>71.22915254237287</x:v>
      </x:c>
      <x:c r="L99" s="102" t="n">
        <x:v>-8.045995762711883</x:v>
      </x:c>
      <x:c r="M99" s="102" t="n">
        <x:v>72.13000000000001</x:v>
      </x:c>
      <x:c r="N99" s="102" t="n">
        <x:v>-7.884999999999991</x:v>
      </x:c>
      <x:c r="O99" s="102" t="n">
        <x:v>7.045</x:v>
      </x:c>
      <x:c r="P99" s="102" t="n">
        <x:v>0</x:v>
      </x:c>
      <x:c r="Q99" s="45" t="str">
        <x:v>MODEL_INFERRED</x:v>
      </x:c>
      <x:c r="R99" s="45" t="str">
        <x:v>SCENARIO_GENERATION</x:v>
      </x:c>
      <x:c r="S99" s="45" t="str">
        <x:v>USER_REVIEW_REQUIRED</x:v>
      </x:c>
    </x:row>
    <x:row r="100">
      <x:c r="A100" s="45" t="str">
        <x:v>AVI_CL_HIGH</x:v>
      </x:c>
      <x:c r="B100" s="45" t="str">
        <x:v>AVI typical clearance +20%</x:v>
      </x:c>
      <x:c r="C100" s="45" t="str">
        <x:v>R13</x:v>
      </x:c>
      <x:c r="D100" s="45" t="str">
        <x:v>121–150</x:v>
      </x:c>
      <x:c r="E100" s="45" t="n">
        <x:v>2.5</x:v>
      </x:c>
      <x:c r="F100" s="45" t="n">
        <x:v>6</x:v>
      </x:c>
      <x:c r="G100" s="45" t="str">
        <x:v>INDIA2022_OXA48_KP</x:v>
      </x:c>
      <x:c r="H100" s="45" t="str">
        <x:v>OXA-48-like CR-K. pneumoniae, India</x:v>
      </x:c>
      <x:c r="I100" s="102" t="n">
        <x:v>96.03632352941177</x:v>
      </x:c>
      <x:c r="J100" s="102" t="n">
        <x:v>72.21000000000001</x:v>
      </x:c>
      <x:c r="K100" s="102" t="n">
        <x:v>69.58080882352942</x:v>
      </x:c>
      <x:c r="L100" s="102" t="n">
        <x:v>-7.8821691176470665</x:v>
      </x:c>
      <x:c r="M100" s="102" t="n">
        <x:v>72.13000000000001</x:v>
      </x:c>
      <x:c r="N100" s="102" t="n">
        <x:v>-7.884999999999991</x:v>
      </x:c>
      <x:c r="O100" s="102" t="n">
        <x:v>7.045</x:v>
      </x:c>
      <x:c r="P100" s="102" t="n">
        <x:v>0</x:v>
      </x:c>
      <x:c r="Q100" s="45" t="str">
        <x:v>MODEL_INFERRED</x:v>
      </x:c>
      <x:c r="R100" s="45" t="str">
        <x:v>SCENARIO_GENERATION</x:v>
      </x:c>
      <x:c r="S100" s="45" t="str">
        <x:v>USER_REVIEW_REQUIRED</x:v>
      </x:c>
    </x:row>
    <x:row r="101">
      <x:c r="A101" s="45" t="str">
        <x:v>AVI_CL_HIGH</x:v>
      </x:c>
      <x:c r="B101" s="45" t="str">
        <x:v>AVI typical clearance +20%</x:v>
      </x:c>
      <x:c r="C101" s="45" t="str">
        <x:v>R13</x:v>
      </x:c>
      <x:c r="D101" s="45" t="str">
        <x:v>121–150</x:v>
      </x:c>
      <x:c r="E101" s="45" t="n">
        <x:v>2.5</x:v>
      </x:c>
      <x:c r="F101" s="45" t="n">
        <x:v>6</x:v>
      </x:c>
      <x:c r="G101" s="45" t="str">
        <x:v>FR2024_OXA484_SERINE_ONLY</x:v>
      </x:c>
      <x:c r="H101" s="45" t="str">
        <x:v>French OXA-484 Enterobacterales, serine-only</x:v>
      </x:c>
      <x:c r="I101" s="102" t="n">
        <x:v>99.71316666666667</x:v>
      </x:c>
      <x:c r="J101" s="102" t="n">
        <x:v>72.21</x:v>
      </x:c>
      <x:c r="K101" s="102" t="n">
        <x:v>72.20866666666666</x:v>
      </x:c>
      <x:c r="L101" s="102" t="n">
        <x:v>-8.18491666666668</x:v>
      </x:c>
      <x:c r="M101" s="102" t="n">
        <x:v>72.13000000000001</x:v>
      </x:c>
      <x:c r="N101" s="102" t="n">
        <x:v>-7.884999999999991</x:v>
      </x:c>
      <x:c r="O101" s="102" t="n">
        <x:v>7.045</x:v>
      </x:c>
      <x:c r="P101" s="102" t="n">
        <x:v>0</x:v>
      </x:c>
      <x:c r="Q101" s="45" t="str">
        <x:v>MODEL_INFERRED</x:v>
      </x:c>
      <x:c r="R101" s="45" t="str">
        <x:v>SCENARIO_GENERATION</x:v>
      </x:c>
      <x:c r="S101" s="45" t="str">
        <x:v>USER_REVIEW_REQUIRED</x:v>
      </x:c>
    </x:row>
    <x:row r="102">
      <x:c r="A102" s="45" t="str">
        <x:v>IIV_LOW</x:v>
      </x:c>
      <x:c r="B102" s="45" t="str">
        <x:v>Both IIV SDs −20%</x:v>
      </x:c>
      <x:c r="C102" s="45" t="str">
        <x:v>R1</x:v>
      </x:c>
      <x:c r="D102" s="45" t="str">
        <x:v>0–30</x:v>
      </x:c>
      <x:c r="E102" s="45" t="n">
        <x:v>0.625</x:v>
      </x:c>
      <x:c r="F102" s="45" t="n">
        <x:v>12</x:v>
      </x:c>
      <x:c r="G102" s="45" t="str">
        <x:v>LEE2022_KPC_KP</x:v>
      </x:c>
      <x:c r="H102" s="45" t="str">
        <x:v>KPC-like CR-K. pneumoniae, ATLAS 2020</x:v>
      </x:c>
      <x:c r="I102" s="102" t="n">
        <x:v>94.82230870712402</x:v>
      </x:c>
      <x:c r="J102" s="102" t="n">
        <x:v>76.63499999999999</x:v>
      </x:c>
      <x:c r="K102" s="102" t="n">
        <x:v>75.13470976253299</x:v>
      </x:c>
      <x:c r="L102" s="102" t="n">
        <x:v>2.3305804749340524</x:v>
      </x:c>
      <x:c r="M102" s="102" t="n">
        <x:v>68.62</x:v>
      </x:c>
      <x:c r="N102" s="102" t="n">
        <x:v>2.1950000000000074</x:v>
      </x:c>
      <x:c r="O102" s="102" t="n">
        <x:v>8.035</x:v>
      </x:c>
      <x:c r="P102" s="102" t="n">
        <x:v>-1.3849999999999998</x:v>
      </x:c>
      <x:c r="Q102" s="45" t="str">
        <x:v>MODEL_INFERRED</x:v>
      </x:c>
      <x:c r="R102" s="45" t="str">
        <x:v>SCENARIO_GENERATION</x:v>
      </x:c>
      <x:c r="S102" s="45" t="str">
        <x:v>USER_REVIEW_REQUIRED</x:v>
      </x:c>
    </x:row>
    <x:row r="103">
      <x:c r="A103" s="45" t="str">
        <x:v>IIV_LOW</x:v>
      </x:c>
      <x:c r="B103" s="45" t="str">
        <x:v>Both IIV SDs −20%</x:v>
      </x:c>
      <x:c r="C103" s="45" t="str">
        <x:v>R1</x:v>
      </x:c>
      <x:c r="D103" s="45" t="str">
        <x:v>0–30</x:v>
      </x:c>
      <x:c r="E103" s="45" t="n">
        <x:v>0.625</x:v>
      </x:c>
      <x:c r="F103" s="45" t="n">
        <x:v>12</x:v>
      </x:c>
      <x:c r="G103" s="45" t="str">
        <x:v>LEE2022_OXA_KP</x:v>
      </x:c>
      <x:c r="H103" s="45" t="str">
        <x:v>OXA-like CR-K. pneumoniae, ATLAS 2020</x:v>
      </x:c>
      <x:c r="I103" s="102" t="n">
        <x:v>96.54555084745765</x:v>
      </x:c>
      <x:c r="J103" s="102" t="n">
        <x:v>76.63499999999999</x:v>
      </x:c>
      <x:c r="K103" s="102" t="n">
        <x:v>75.30745762711865</x:v>
      </x:c>
      <x:c r="L103" s="102" t="n">
        <x:v>2.3544491525423865</x:v>
      </x:c>
      <x:c r="M103" s="102" t="n">
        <x:v>68.62</x:v>
      </x:c>
      <x:c r="N103" s="102" t="n">
        <x:v>2.1950000000000074</x:v>
      </x:c>
      <x:c r="O103" s="102" t="n">
        <x:v>8.035</x:v>
      </x:c>
      <x:c r="P103" s="102" t="n">
        <x:v>-1.3849999999999998</x:v>
      </x:c>
      <x:c r="Q103" s="45" t="str">
        <x:v>MODEL_INFERRED</x:v>
      </x:c>
      <x:c r="R103" s="45" t="str">
        <x:v>SCENARIO_GENERATION</x:v>
      </x:c>
      <x:c r="S103" s="45" t="str">
        <x:v>USER_REVIEW_REQUIRED</x:v>
      </x:c>
    </x:row>
    <x:row r="104">
      <x:c r="A104" s="45" t="str">
        <x:v>IIV_LOW</x:v>
      </x:c>
      <x:c r="B104" s="45" t="str">
        <x:v>Both IIV SDs −20%</x:v>
      </x:c>
      <x:c r="C104" s="45" t="str">
        <x:v>R1</x:v>
      </x:c>
      <x:c r="D104" s="45" t="str">
        <x:v>0–30</x:v>
      </x:c>
      <x:c r="E104" s="45" t="n">
        <x:v>0.625</x:v>
      </x:c>
      <x:c r="F104" s="45" t="n">
        <x:v>12</x:v>
      </x:c>
      <x:c r="G104" s="45" t="str">
        <x:v>INDIA2022_OXA48_KP</x:v>
      </x:c>
      <x:c r="H104" s="45" t="str">
        <x:v>OXA-48-like CR-K. pneumoniae, India</x:v>
      </x:c>
      <x:c r="I104" s="102" t="n">
        <x:v>95.10669117647058</x:v>
      </x:c>
      <x:c r="J104" s="102" t="n">
        <x:v>76.63499999999998</x:v>
      </x:c>
      <x:c r="K104" s="102" t="n">
        <x:v>73.74687499999997</x:v>
      </x:c>
      <x:c r="L104" s="102" t="n">
        <x:v>2.3045955882352587</x:v>
      </x:c>
      <x:c r="M104" s="102" t="n">
        <x:v>68.62</x:v>
      </x:c>
      <x:c r="N104" s="102" t="n">
        <x:v>2.1950000000000074</x:v>
      </x:c>
      <x:c r="O104" s="102" t="n">
        <x:v>8.035</x:v>
      </x:c>
      <x:c r="P104" s="102" t="n">
        <x:v>-1.3849999999999998</x:v>
      </x:c>
      <x:c r="Q104" s="45" t="str">
        <x:v>MODEL_INFERRED</x:v>
      </x:c>
      <x:c r="R104" s="45" t="str">
        <x:v>SCENARIO_GENERATION</x:v>
      </x:c>
      <x:c r="S104" s="45" t="str">
        <x:v>USER_REVIEW_REQUIRED</x:v>
      </x:c>
    </x:row>
    <x:row r="105">
      <x:c r="A105" s="45" t="str">
        <x:v>IIV_LOW</x:v>
      </x:c>
      <x:c r="B105" s="45" t="str">
        <x:v>Both IIV SDs −20%</x:v>
      </x:c>
      <x:c r="C105" s="45" t="str">
        <x:v>R1</x:v>
      </x:c>
      <x:c r="D105" s="45" t="str">
        <x:v>0–30</x:v>
      </x:c>
      <x:c r="E105" s="45" t="n">
        <x:v>0.625</x:v>
      </x:c>
      <x:c r="F105" s="45" t="n">
        <x:v>12</x:v>
      </x:c>
      <x:c r="G105" s="45" t="str">
        <x:v>FR2024_OXA484_SERINE_ONLY</x:v>
      </x:c>
      <x:c r="H105" s="45" t="str">
        <x:v>French OXA-484 Enterobacterales, serine-only</x:v>
      </x:c>
      <x:c r="I105" s="102" t="n">
        <x:v>98.69575</x:v>
      </x:c>
      <x:c r="J105" s="102" t="n">
        <x:v>76.63499999999998</x:v>
      </x:c>
      <x:c r="K105" s="102" t="n">
        <x:v>76.50141666666664</x:v>
      </x:c>
      <x:c r="L105" s="102" t="n">
        <x:v>2.4120833333332996</x:v>
      </x:c>
      <x:c r="M105" s="102" t="n">
        <x:v>68.62</x:v>
      </x:c>
      <x:c r="N105" s="102" t="n">
        <x:v>2.1950000000000074</x:v>
      </x:c>
      <x:c r="O105" s="102" t="n">
        <x:v>8.035</x:v>
      </x:c>
      <x:c r="P105" s="102" t="n">
        <x:v>-1.3849999999999998</x:v>
      </x:c>
      <x:c r="Q105" s="45" t="str">
        <x:v>MODEL_INFERRED</x:v>
      </x:c>
      <x:c r="R105" s="45" t="str">
        <x:v>SCENARIO_GENERATION</x:v>
      </x:c>
      <x:c r="S105" s="45" t="str">
        <x:v>USER_REVIEW_REQUIRED</x:v>
      </x:c>
    </x:row>
    <x:row r="106">
      <x:c r="A106" s="45" t="str">
        <x:v>IIV_LOW</x:v>
      </x:c>
      <x:c r="B106" s="45" t="str">
        <x:v>Both IIV SDs −20%</x:v>
      </x:c>
      <x:c r="C106" s="45" t="str">
        <x:v>R8</x:v>
      </x:c>
      <x:c r="D106" s="45" t="str">
        <x:v>31–60</x:v>
      </x:c>
      <x:c r="E106" s="45" t="n">
        <x:v>2.5</x:v>
      </x:c>
      <x:c r="F106" s="45" t="n">
        <x:v>12</x:v>
      </x:c>
      <x:c r="G106" s="45" t="str">
        <x:v>LEE2022_KPC_KP</x:v>
      </x:c>
      <x:c r="H106" s="45" t="str">
        <x:v>KPC-like CR-K. pneumoniae, ATLAS 2020</x:v>
      </x:c>
      <x:c r="I106" s="102" t="n">
        <x:v>98.74441952506595</x:v>
      </x:c>
      <x:c r="J106" s="102" t="n">
        <x:v>93.82499999999999</x:v>
      </x:c>
      <x:c r="K106" s="102" t="n">
        <x:v>92.9925857519789</x:v>
      </x:c>
      <x:c r="L106" s="102" t="n">
        <x:v>4.579762532981533</x:v>
      </x:c>
      <x:c r="M106" s="102" t="n">
        <x:v>93.05499999999999</x:v>
      </x:c>
      <x:c r="N106" s="102" t="n">
        <x:v>5.069999999999993</x:v>
      </x:c>
      <x:c r="O106" s="102" t="n">
        <x:v>5.36</x:v>
      </x:c>
      <x:c r="P106" s="102" t="n">
        <x:v>-4.259999999999999</x:v>
      </x:c>
      <x:c r="Q106" s="45" t="str">
        <x:v>MODEL_INFERRED</x:v>
      </x:c>
      <x:c r="R106" s="45" t="str">
        <x:v>SCENARIO_GENERATION</x:v>
      </x:c>
      <x:c r="S106" s="45" t="str">
        <x:v>USER_REVIEW_REQUIRED</x:v>
      </x:c>
    </x:row>
    <x:row r="107">
      <x:c r="A107" s="45" t="str">
        <x:v>IIV_LOW</x:v>
      </x:c>
      <x:c r="B107" s="45" t="str">
        <x:v>Both IIV SDs −20%</x:v>
      </x:c>
      <x:c r="C107" s="45" t="str">
        <x:v>R8</x:v>
      </x:c>
      <x:c r="D107" s="45" t="str">
        <x:v>31–60</x:v>
      </x:c>
      <x:c r="E107" s="45" t="n">
        <x:v>2.5</x:v>
      </x:c>
      <x:c r="F107" s="45" t="n">
        <x:v>12</x:v>
      </x:c>
      <x:c r="G107" s="45" t="str">
        <x:v>LEE2022_OXA_KP</x:v>
      </x:c>
      <x:c r="H107" s="45" t="str">
        <x:v>OXA-like CR-K. pneumoniae, ATLAS 2020</x:v>
      </x:c>
      <x:c r="I107" s="102" t="n">
        <x:v>98.44843220338984</x:v>
      </x:c>
      <x:c r="J107" s="102" t="n">
        <x:v>93.82500000000002</x:v>
      </x:c>
      <x:c r="K107" s="102" t="n">
        <x:v>92.4898093220339</x:v>
      </x:c>
      <x:c r="L107" s="102" t="n">
        <x:v>4.534957627118644</x:v>
      </x:c>
      <x:c r="M107" s="102" t="n">
        <x:v>93.05499999999999</x:v>
      </x:c>
      <x:c r="N107" s="102" t="n">
        <x:v>5.069999999999993</x:v>
      </x:c>
      <x:c r="O107" s="102" t="n">
        <x:v>5.36</x:v>
      </x:c>
      <x:c r="P107" s="102" t="n">
        <x:v>-4.259999999999999</x:v>
      </x:c>
      <x:c r="Q107" s="45" t="str">
        <x:v>MODEL_INFERRED</x:v>
      </x:c>
      <x:c r="R107" s="45" t="str">
        <x:v>SCENARIO_GENERATION</x:v>
      </x:c>
      <x:c r="S107" s="45" t="str">
        <x:v>USER_REVIEW_REQUIRED</x:v>
      </x:c>
    </x:row>
    <x:row r="108">
      <x:c r="A108" s="45" t="str">
        <x:v>IIV_LOW</x:v>
      </x:c>
      <x:c r="B108" s="45" t="str">
        <x:v>Both IIV SDs −20%</x:v>
      </x:c>
      <x:c r="C108" s="45" t="str">
        <x:v>R8</x:v>
      </x:c>
      <x:c r="D108" s="45" t="str">
        <x:v>31–60</x:v>
      </x:c>
      <x:c r="E108" s="45" t="n">
        <x:v>2.5</x:v>
      </x:c>
      <x:c r="F108" s="45" t="n">
        <x:v>12</x:v>
      </x:c>
      <x:c r="G108" s="45" t="str">
        <x:v>INDIA2022_OXA48_KP</x:v>
      </x:c>
      <x:c r="H108" s="45" t="str">
        <x:v>OXA-48-like CR-K. pneumoniae, India</x:v>
      </x:c>
      <x:c r="I108" s="102" t="n">
        <x:v>96.23055147058824</x:v>
      </x:c>
      <x:c r="J108" s="102" t="n">
        <x:v>93.82499999999997</x:v>
      </x:c>
      <x:c r="K108" s="102" t="n">
        <x:v>90.37180147058822</x:v>
      </x:c>
      <x:c r="L108" s="102" t="n">
        <x:v>4.408419117647043</x:v>
      </x:c>
      <x:c r="M108" s="102" t="n">
        <x:v>93.05499999999999</x:v>
      </x:c>
      <x:c r="N108" s="102" t="n">
        <x:v>5.069999999999993</x:v>
      </x:c>
      <x:c r="O108" s="102" t="n">
        <x:v>5.36</x:v>
      </x:c>
      <x:c r="P108" s="102" t="n">
        <x:v>-4.259999999999999</x:v>
      </x:c>
      <x:c r="Q108" s="45" t="str">
        <x:v>MODEL_INFERRED</x:v>
      </x:c>
      <x:c r="R108" s="45" t="str">
        <x:v>SCENARIO_GENERATION</x:v>
      </x:c>
      <x:c r="S108" s="45" t="str">
        <x:v>USER_REVIEW_REQUIRED</x:v>
      </x:c>
    </x:row>
    <x:row r="109">
      <x:c r="A109" s="45" t="str">
        <x:v>IIV_LOW</x:v>
      </x:c>
      <x:c r="B109" s="45" t="str">
        <x:v>Both IIV SDs −20%</x:v>
      </x:c>
      <x:c r="C109" s="45" t="str">
        <x:v>R8</x:v>
      </x:c>
      <x:c r="D109" s="45" t="str">
        <x:v>31–60</x:v>
      </x:c>
      <x:c r="E109" s="45" t="n">
        <x:v>2.5</x:v>
      </x:c>
      <x:c r="F109" s="45" t="n">
        <x:v>12</x:v>
      </x:c>
      <x:c r="G109" s="45" t="str">
        <x:v>FR2024_OXA484_SERINE_ONLY</x:v>
      </x:c>
      <x:c r="H109" s="45" t="str">
        <x:v>French OXA-484 Enterobacterales, serine-only</x:v>
      </x:c>
      <x:c r="I109" s="102" t="n">
        <x:v>99.91275000000002</x:v>
      </x:c>
      <x:c r="J109" s="102" t="n">
        <x:v>93.825</x:v>
      </x:c>
      <x:c r="K109" s="102" t="n">
        <x:v>93.81216666666667</x:v>
      </x:c>
      <x:c r="L109" s="102" t="n">
        <x:v>4.60783333333336</x:v>
      </x:c>
      <x:c r="M109" s="102" t="n">
        <x:v>93.05499999999999</x:v>
      </x:c>
      <x:c r="N109" s="102" t="n">
        <x:v>5.069999999999993</x:v>
      </x:c>
      <x:c r="O109" s="102" t="n">
        <x:v>5.36</x:v>
      </x:c>
      <x:c r="P109" s="102" t="n">
        <x:v>-4.259999999999999</x:v>
      </x:c>
      <x:c r="Q109" s="45" t="str">
        <x:v>MODEL_INFERRED</x:v>
      </x:c>
      <x:c r="R109" s="45" t="str">
        <x:v>SCENARIO_GENERATION</x:v>
      </x:c>
      <x:c r="S109" s="45" t="str">
        <x:v>USER_REVIEW_REQUIRED</x:v>
      </x:c>
    </x:row>
    <x:row r="110">
      <x:c r="A110" s="45" t="str">
        <x:v>IIV_LOW</x:v>
      </x:c>
      <x:c r="B110" s="45" t="str">
        <x:v>Both IIV SDs −20%</x:v>
      </x:c>
      <x:c r="C110" s="45" t="str">
        <x:v>R10</x:v>
      </x:c>
      <x:c r="D110" s="45" t="str">
        <x:v>61–90</x:v>
      </x:c>
      <x:c r="E110" s="45" t="n">
        <x:v>2.5</x:v>
      </x:c>
      <x:c r="F110" s="45" t="n">
        <x:v>8</x:v>
      </x:c>
      <x:c r="G110" s="45" t="str">
        <x:v>LEE2022_KPC_KP</x:v>
      </x:c>
      <x:c r="H110" s="45" t="str">
        <x:v>KPC-like CR-K. pneumoniae, ATLAS 2020</x:v>
      </x:c>
      <x:c r="I110" s="102" t="n">
        <x:v>98.88410290237466</x:v>
      </x:c>
      <x:c r="J110" s="102" t="n">
        <x:v>93.02499999999999</x:v>
      </x:c>
      <x:c r="K110" s="102" t="n">
        <x:v>92.29047493403695</x:v>
      </x:c>
      <x:c r="L110" s="102" t="n">
        <x:v>4.861319261213723</x:v>
      </x:c>
      <x:c r="M110" s="102" t="n">
        <x:v>92.78</x:v>
      </x:c>
      <x:c r="N110" s="102" t="n">
        <x:v>5.2450000000000045</x:v>
      </x:c>
      <x:c r="O110" s="102" t="n">
        <x:v>6.0600000000000005</x:v>
      </x:c>
      <x:c r="P110" s="102" t="n">
        <x:v>-4.604999999999999</x:v>
      </x:c>
      <x:c r="Q110" s="45" t="str">
        <x:v>MODEL_INFERRED</x:v>
      </x:c>
      <x:c r="R110" s="45" t="str">
        <x:v>SCENARIO_GENERATION</x:v>
      </x:c>
      <x:c r="S110" s="45" t="str">
        <x:v>USER_REVIEW_REQUIRED</x:v>
      </x:c>
    </x:row>
    <x:row r="111">
      <x:c r="A111" s="45" t="str">
        <x:v>IIV_LOW</x:v>
      </x:c>
      <x:c r="B111" s="45" t="str">
        <x:v>Both IIV SDs −20%</x:v>
      </x:c>
      <x:c r="C111" s="45" t="str">
        <x:v>R10</x:v>
      </x:c>
      <x:c r="D111" s="45" t="str">
        <x:v>61–90</x:v>
      </x:c>
      <x:c r="E111" s="45" t="n">
        <x:v>2.5</x:v>
      </x:c>
      <x:c r="F111" s="45" t="n">
        <x:v>8</x:v>
      </x:c>
      <x:c r="G111" s="45" t="str">
        <x:v>LEE2022_OXA_KP</x:v>
      </x:c>
      <x:c r="H111" s="45" t="str">
        <x:v>OXA-like CR-K. pneumoniae, ATLAS 2020</x:v>
      </x:c>
      <x:c r="I111" s="102" t="n">
        <x:v>98.49745762711866</x:v>
      </x:c>
      <x:c r="J111" s="102" t="n">
        <x:v>93.025</x:v>
      </x:c>
      <x:c r="K111" s="102" t="n">
        <x:v>91.73207627118643</x:v>
      </x:c>
      <x:c r="L111" s="102" t="n">
        <x:v>4.8150423728813365</x:v>
      </x:c>
      <x:c r="M111" s="102" t="n">
        <x:v>92.78</x:v>
      </x:c>
      <x:c r="N111" s="102" t="n">
        <x:v>5.2450000000000045</x:v>
      </x:c>
      <x:c r="O111" s="102" t="n">
        <x:v>6.0600000000000005</x:v>
      </x:c>
      <x:c r="P111" s="102" t="n">
        <x:v>-4.604999999999999</x:v>
      </x:c>
      <x:c r="Q111" s="45" t="str">
        <x:v>MODEL_INFERRED</x:v>
      </x:c>
      <x:c r="R111" s="45" t="str">
        <x:v>SCENARIO_GENERATION</x:v>
      </x:c>
      <x:c r="S111" s="45" t="str">
        <x:v>USER_REVIEW_REQUIRED</x:v>
      </x:c>
    </x:row>
    <x:row r="112">
      <x:c r="A112" s="45" t="str">
        <x:v>IIV_LOW</x:v>
      </x:c>
      <x:c r="B112" s="45" t="str">
        <x:v>Both IIV SDs −20%</x:v>
      </x:c>
      <x:c r="C112" s="45" t="str">
        <x:v>R10</x:v>
      </x:c>
      <x:c r="D112" s="45" t="str">
        <x:v>61–90</x:v>
      </x:c>
      <x:c r="E112" s="45" t="n">
        <x:v>2.5</x:v>
      </x:c>
      <x:c r="F112" s="45" t="n">
        <x:v>8</x:v>
      </x:c>
      <x:c r="G112" s="45" t="str">
        <x:v>INDIA2022_OXA48_KP</x:v>
      </x:c>
      <x:c r="H112" s="45" t="str">
        <x:v>OXA-48-like CR-K. pneumoniae, India</x:v>
      </x:c>
      <x:c r="I112" s="102" t="n">
        <x:v>96.26088235294118</x:v>
      </x:c>
      <x:c r="J112" s="102" t="n">
        <x:v>93.025</x:v>
      </x:c>
      <x:c r="K112" s="102" t="n">
        <x:v>89.61610294117648</x:v>
      </x:c>
      <x:c r="L112" s="102" t="n">
        <x:v>4.6765073529411865</x:v>
      </x:c>
      <x:c r="M112" s="102" t="n">
        <x:v>92.78</x:v>
      </x:c>
      <x:c r="N112" s="102" t="n">
        <x:v>5.2450000000000045</x:v>
      </x:c>
      <x:c r="O112" s="102" t="n">
        <x:v>6.0600000000000005</x:v>
      </x:c>
      <x:c r="P112" s="102" t="n">
        <x:v>-4.604999999999999</x:v>
      </x:c>
      <x:c r="Q112" s="45" t="str">
        <x:v>MODEL_INFERRED</x:v>
      </x:c>
      <x:c r="R112" s="45" t="str">
        <x:v>SCENARIO_GENERATION</x:v>
      </x:c>
      <x:c r="S112" s="45" t="str">
        <x:v>USER_REVIEW_REQUIRED</x:v>
      </x:c>
    </x:row>
    <x:row r="113">
      <x:c r="A113" s="45" t="str">
        <x:v>IIV_LOW</x:v>
      </x:c>
      <x:c r="B113" s="45" t="str">
        <x:v>Both IIV SDs −20%</x:v>
      </x:c>
      <x:c r="C113" s="45" t="str">
        <x:v>R10</x:v>
      </x:c>
      <x:c r="D113" s="45" t="str">
        <x:v>61–90</x:v>
      </x:c>
      <x:c r="E113" s="45" t="n">
        <x:v>2.5</x:v>
      </x:c>
      <x:c r="F113" s="45" t="n">
        <x:v>8</x:v>
      </x:c>
      <x:c r="G113" s="45" t="str">
        <x:v>FR2024_OXA484_SERINE_ONLY</x:v>
      </x:c>
      <x:c r="H113" s="45" t="str">
        <x:v>French OXA-484 Enterobacterales, serine-only</x:v>
      </x:c>
      <x:c r="I113" s="102" t="n">
        <x:v>99.93516666666667</x:v>
      </x:c>
      <x:c r="J113" s="102" t="n">
        <x:v>93.025</x:v>
      </x:c>
      <x:c r="K113" s="102" t="n">
        <x:v>93.02091666666668</x:v>
      </x:c>
      <x:c r="L113" s="102" t="n">
        <x:v>4.891000000000005</x:v>
      </x:c>
      <x:c r="M113" s="102" t="n">
        <x:v>92.78</x:v>
      </x:c>
      <x:c r="N113" s="102" t="n">
        <x:v>5.2450000000000045</x:v>
      </x:c>
      <x:c r="O113" s="102" t="n">
        <x:v>6.0600000000000005</x:v>
      </x:c>
      <x:c r="P113" s="102" t="n">
        <x:v>-4.604999999999999</x:v>
      </x:c>
      <x:c r="Q113" s="45" t="str">
        <x:v>MODEL_INFERRED</x:v>
      </x:c>
      <x:c r="R113" s="45" t="str">
        <x:v>SCENARIO_GENERATION</x:v>
      </x:c>
      <x:c r="S113" s="45" t="str">
        <x:v>USER_REVIEW_REQUIRED</x:v>
      </x:c>
    </x:row>
    <x:row r="114">
      <x:c r="A114" s="45" t="str">
        <x:v>IIV_LOW</x:v>
      </x:c>
      <x:c r="B114" s="45" t="str">
        <x:v>Both IIV SDs −20%</x:v>
      </x:c>
      <x:c r="C114" s="45" t="str">
        <x:v>R12</x:v>
      </x:c>
      <x:c r="D114" s="45" t="str">
        <x:v>91–120</x:v>
      </x:c>
      <x:c r="E114" s="45" t="n">
        <x:v>2.5</x:v>
      </x:c>
      <x:c r="F114" s="45" t="n">
        <x:v>6</x:v>
      </x:c>
      <x:c r="G114" s="45" t="str">
        <x:v>LEE2022_KPC_KP</x:v>
      </x:c>
      <x:c r="H114" s="45" t="str">
        <x:v>KPC-like CR-K. pneumoniae, ATLAS 2020</x:v>
      </x:c>
      <x:c r="I114" s="102" t="n">
        <x:v>99.01861477572558</x:v>
      </x:c>
      <x:c r="J114" s="102" t="n">
        <x:v>93.01499999999999</x:v>
      </x:c>
      <x:c r="K114" s="102" t="n">
        <x:v>92.3403957783641</x:v>
      </x:c>
      <x:c r="L114" s="102" t="n">
        <x:v>4.849670184696549</x:v>
      </x:c>
      <x:c r="M114" s="102" t="n">
        <x:v>92.89500000000001</x:v>
      </x:c>
      <x:c r="N114" s="102" t="n">
        <x:v>5.135000000000005</x:v>
      </x:c>
      <x:c r="O114" s="102" t="n">
        <x:v>7.1499999999999995</x:v>
      </x:c>
      <x:c r="P114" s="102" t="n">
        <x:v>-4.670000000000001</x:v>
      </x:c>
      <x:c r="Q114" s="45" t="str">
        <x:v>MODEL_INFERRED</x:v>
      </x:c>
      <x:c r="R114" s="45" t="str">
        <x:v>SCENARIO_GENERATION</x:v>
      </x:c>
      <x:c r="S114" s="45" t="str">
        <x:v>USER_REVIEW_REQUIRED</x:v>
      </x:c>
    </x:row>
    <x:row r="115">
      <x:c r="A115" s="45" t="str">
        <x:v>IIV_LOW</x:v>
      </x:c>
      <x:c r="B115" s="45" t="str">
        <x:v>Both IIV SDs −20%</x:v>
      </x:c>
      <x:c r="C115" s="45" t="str">
        <x:v>R12</x:v>
      </x:c>
      <x:c r="D115" s="45" t="str">
        <x:v>91–120</x:v>
      </x:c>
      <x:c r="E115" s="45" t="n">
        <x:v>2.5</x:v>
      </x:c>
      <x:c r="F115" s="45" t="n">
        <x:v>6</x:v>
      </x:c>
      <x:c r="G115" s="45" t="str">
        <x:v>LEE2022_OXA_KP</x:v>
      </x:c>
      <x:c r="H115" s="45" t="str">
        <x:v>OXA-like CR-K. pneumoniae, ATLAS 2020</x:v>
      </x:c>
      <x:c r="I115" s="102" t="n">
        <x:v>98.54735169491528</x:v>
      </x:c>
      <x:c r="J115" s="102" t="n">
        <x:v>93.015</x:v>
      </x:c>
      <x:c r="K115" s="102" t="n">
        <x:v>91.74372881355934</x:v>
      </x:c>
      <x:c r="L115" s="102" t="n">
        <x:v>4.804258474576287</x:v>
      </x:c>
      <x:c r="M115" s="102" t="n">
        <x:v>92.89500000000001</x:v>
      </x:c>
      <x:c r="N115" s="102" t="n">
        <x:v>5.135000000000005</x:v>
      </x:c>
      <x:c r="O115" s="102" t="n">
        <x:v>7.1499999999999995</x:v>
      </x:c>
      <x:c r="P115" s="102" t="n">
        <x:v>-4.670000000000001</x:v>
      </x:c>
      <x:c r="Q115" s="45" t="str">
        <x:v>MODEL_INFERRED</x:v>
      </x:c>
      <x:c r="R115" s="45" t="str">
        <x:v>SCENARIO_GENERATION</x:v>
      </x:c>
      <x:c r="S115" s="45" t="str">
        <x:v>USER_REVIEW_REQUIRED</x:v>
      </x:c>
    </x:row>
    <x:row r="116">
      <x:c r="A116" s="45" t="str">
        <x:v>IIV_LOW</x:v>
      </x:c>
      <x:c r="B116" s="45" t="str">
        <x:v>Both IIV SDs −20%</x:v>
      </x:c>
      <x:c r="C116" s="45" t="str">
        <x:v>R12</x:v>
      </x:c>
      <x:c r="D116" s="45" t="str">
        <x:v>91–120</x:v>
      </x:c>
      <x:c r="E116" s="45" t="n">
        <x:v>2.5</x:v>
      </x:c>
      <x:c r="F116" s="45" t="n">
        <x:v>6</x:v>
      </x:c>
      <x:c r="G116" s="45" t="str">
        <x:v>INDIA2022_OXA48_KP</x:v>
      </x:c>
      <x:c r="H116" s="45" t="str">
        <x:v>OXA-48-like CR-K. pneumoniae, India</x:v>
      </x:c>
      <x:c r="I116" s="102" t="n">
        <x:v>96.2879411764706</x:v>
      </x:c>
      <x:c r="J116" s="102" t="n">
        <x:v>93.01499999999999</x:v>
      </x:c>
      <x:c r="K116" s="102" t="n">
        <x:v>89.6122426470588</x:v>
      </x:c>
      <x:c r="L116" s="102" t="n">
        <x:v>4.661654411764687</x:v>
      </x:c>
      <x:c r="M116" s="102" t="n">
        <x:v>92.89500000000001</x:v>
      </x:c>
      <x:c r="N116" s="102" t="n">
        <x:v>5.135000000000005</x:v>
      </x:c>
      <x:c r="O116" s="102" t="n">
        <x:v>7.1499999999999995</x:v>
      </x:c>
      <x:c r="P116" s="102" t="n">
        <x:v>-4.670000000000001</x:v>
      </x:c>
      <x:c r="Q116" s="45" t="str">
        <x:v>MODEL_INFERRED</x:v>
      </x:c>
      <x:c r="R116" s="45" t="str">
        <x:v>SCENARIO_GENERATION</x:v>
      </x:c>
      <x:c r="S116" s="45" t="str">
        <x:v>USER_REVIEW_REQUIRED</x:v>
      </x:c>
    </x:row>
    <x:row r="117">
      <x:c r="A117" s="45" t="str">
        <x:v>IIV_LOW</x:v>
      </x:c>
      <x:c r="B117" s="45" t="str">
        <x:v>Both IIV SDs −20%</x:v>
      </x:c>
      <x:c r="C117" s="45" t="str">
        <x:v>R12</x:v>
      </x:c>
      <x:c r="D117" s="45" t="str">
        <x:v>91–120</x:v>
      </x:c>
      <x:c r="E117" s="45" t="n">
        <x:v>2.5</x:v>
      </x:c>
      <x:c r="F117" s="45" t="n">
        <x:v>6</x:v>
      </x:c>
      <x:c r="G117" s="45" t="str">
        <x:v>FR2024_OXA484_SERINE_ONLY</x:v>
      </x:c>
      <x:c r="H117" s="45" t="str">
        <x:v>French OXA-484 Enterobacterales, serine-only</x:v>
      </x:c>
      <x:c r="I117" s="102" t="n">
        <x:v>99.95633333333333</x:v>
      </x:c>
      <x:c r="J117" s="102" t="n">
        <x:v>93.01500000000001</x:v>
      </x:c>
      <x:c r="K117" s="102" t="n">
        <x:v>93.013</x:v>
      </x:c>
      <x:c r="L117" s="102" t="n">
        <x:v>4.879333333333335</x:v>
      </x:c>
      <x:c r="M117" s="102" t="n">
        <x:v>92.89500000000001</x:v>
      </x:c>
      <x:c r="N117" s="102" t="n">
        <x:v>5.135000000000005</x:v>
      </x:c>
      <x:c r="O117" s="102" t="n">
        <x:v>7.1499999999999995</x:v>
      </x:c>
      <x:c r="P117" s="102" t="n">
        <x:v>-4.670000000000001</x:v>
      </x:c>
      <x:c r="Q117" s="45" t="str">
        <x:v>MODEL_INFERRED</x:v>
      </x:c>
      <x:c r="R117" s="45" t="str">
        <x:v>SCENARIO_GENERATION</x:v>
      </x:c>
      <x:c r="S117" s="45" t="str">
        <x:v>USER_REVIEW_REQUIRED</x:v>
      </x:c>
    </x:row>
    <x:row r="118">
      <x:c r="A118" s="45" t="str">
        <x:v>IIV_LOW</x:v>
      </x:c>
      <x:c r="B118" s="45" t="str">
        <x:v>Both IIV SDs −20%</x:v>
      </x:c>
      <x:c r="C118" s="45" t="str">
        <x:v>R13</x:v>
      </x:c>
      <x:c r="D118" s="45" t="str">
        <x:v>121–150</x:v>
      </x:c>
      <x:c r="E118" s="45" t="n">
        <x:v>2.5</x:v>
      </x:c>
      <x:c r="F118" s="45" t="n">
        <x:v>6</x:v>
      </x:c>
      <x:c r="G118" s="45" t="str">
        <x:v>LEE2022_KPC_KP</x:v>
      </x:c>
      <x:c r="H118" s="45" t="str">
        <x:v>KPC-like CR-K. pneumoniae, ATLAS 2020</x:v>
      </x:c>
      <x:c r="I118" s="102" t="n">
        <x:v>98.56893139841691</x:v>
      </x:c>
      <x:c r="J118" s="102" t="n">
        <x:v>85.88500000000002</x:v>
      </x:c>
      <x:c r="K118" s="102" t="n">
        <x:v>85.16320580474937</x:v>
      </x:c>
      <x:c r="L118" s="102" t="n">
        <x:v>5.42605540897101</x:v>
      </x:c>
      <x:c r="M118" s="102" t="n">
        <x:v>85.76</x:v>
      </x:c>
      <x:c r="N118" s="102" t="n">
        <x:v>5.7450000000000045</x:v>
      </x:c>
      <x:c r="O118" s="102" t="n">
        <x:v>3.2199999999999998</x:v>
      </x:c>
      <x:c r="P118" s="102" t="n">
        <x:v>-3.825</x:v>
      </x:c>
      <x:c r="Q118" s="45" t="str">
        <x:v>MODEL_INFERRED</x:v>
      </x:c>
      <x:c r="R118" s="45" t="str">
        <x:v>SCENARIO_GENERATION</x:v>
      </x:c>
      <x:c r="S118" s="45" t="str">
        <x:v>USER_REVIEW_REQUIRED</x:v>
      </x:c>
    </x:row>
    <x:row r="119">
      <x:c r="A119" s="45" t="str">
        <x:v>IIV_LOW</x:v>
      </x:c>
      <x:c r="B119" s="45" t="str">
        <x:v>Both IIV SDs −20%</x:v>
      </x:c>
      <x:c r="C119" s="45" t="str">
        <x:v>R13</x:v>
      </x:c>
      <x:c r="D119" s="45" t="str">
        <x:v>121–150</x:v>
      </x:c>
      <x:c r="E119" s="45" t="n">
        <x:v>2.5</x:v>
      </x:c>
      <x:c r="F119" s="45" t="n">
        <x:v>6</x:v>
      </x:c>
      <x:c r="G119" s="45" t="str">
        <x:v>LEE2022_OXA_KP</x:v>
      </x:c>
      <x:c r="H119" s="45" t="str">
        <x:v>OXA-like CR-K. pneumoniae, ATLAS 2020</x:v>
      </x:c>
      <x:c r="I119" s="102" t="n">
        <x:v>98.38523305084748</x:v>
      </x:c>
      <x:c r="J119" s="102" t="n">
        <x:v>85.885</x:v>
      </x:c>
      <x:c r="K119" s="102" t="n">
        <x:v>84.67610169491526</x:v>
      </x:c>
      <x:c r="L119" s="102" t="n">
        <x:v>5.400953389830505</x:v>
      </x:c>
      <x:c r="M119" s="102" t="n">
        <x:v>85.76</x:v>
      </x:c>
      <x:c r="N119" s="102" t="n">
        <x:v>5.7450000000000045</x:v>
      </x:c>
      <x:c r="O119" s="102" t="n">
        <x:v>3.2199999999999998</x:v>
      </x:c>
      <x:c r="P119" s="102" t="n">
        <x:v>-3.825</x:v>
      </x:c>
      <x:c r="Q119" s="45" t="str">
        <x:v>MODEL_INFERRED</x:v>
      </x:c>
      <x:c r="R119" s="45" t="str">
        <x:v>SCENARIO_GENERATION</x:v>
      </x:c>
      <x:c r="S119" s="45" t="str">
        <x:v>USER_REVIEW_REQUIRED</x:v>
      </x:c>
    </x:row>
    <x:row r="120">
      <x:c r="A120" s="45" t="str">
        <x:v>IIV_LOW</x:v>
      </x:c>
      <x:c r="B120" s="45" t="str">
        <x:v>Both IIV SDs −20%</x:v>
      </x:c>
      <x:c r="C120" s="45" t="str">
        <x:v>R13</x:v>
      </x:c>
      <x:c r="D120" s="45" t="str">
        <x:v>121–150</x:v>
      </x:c>
      <x:c r="E120" s="45" t="n">
        <x:v>2.5</x:v>
      </x:c>
      <x:c r="F120" s="45" t="n">
        <x:v>6</x:v>
      </x:c>
      <x:c r="G120" s="45" t="str">
        <x:v>INDIA2022_OXA48_KP</x:v>
      </x:c>
      <x:c r="H120" s="45" t="str">
        <x:v>OXA-48-like CR-K. pneumoniae, India</x:v>
      </x:c>
      <x:c r="I120" s="102" t="n">
        <x:v>96.19466911764707</x:v>
      </x:c>
      <x:c r="J120" s="102" t="n">
        <x:v>85.88499999999999</x:v>
      </x:c>
      <x:c r="K120" s="102" t="n">
        <x:v>82.73316176470588</x:v>
      </x:c>
      <x:c r="L120" s="102" t="n">
        <x:v>5.270183823529393</x:v>
      </x:c>
      <x:c r="M120" s="102" t="n">
        <x:v>85.76</x:v>
      </x:c>
      <x:c r="N120" s="102" t="n">
        <x:v>5.7450000000000045</x:v>
      </x:c>
      <x:c r="O120" s="102" t="n">
        <x:v>3.2199999999999998</x:v>
      </x:c>
      <x:c r="P120" s="102" t="n">
        <x:v>-3.825</x:v>
      </x:c>
      <x:c r="Q120" s="45" t="str">
        <x:v>MODEL_INFERRED</x:v>
      </x:c>
      <x:c r="R120" s="45" t="str">
        <x:v>SCENARIO_GENERATION</x:v>
      </x:c>
      <x:c r="S120" s="45" t="str">
        <x:v>USER_REVIEW_REQUIRED</x:v>
      </x:c>
    </x:row>
    <x:row r="121">
      <x:c r="A121" s="45" t="str">
        <x:v>IIV_LOW</x:v>
      </x:c>
      <x:c r="B121" s="45" t="str">
        <x:v>Both IIV SDs −20%</x:v>
      </x:c>
      <x:c r="C121" s="45" t="str">
        <x:v>R13</x:v>
      </x:c>
      <x:c r="D121" s="45" t="str">
        <x:v>121–150</x:v>
      </x:c>
      <x:c r="E121" s="45" t="n">
        <x:v>2.5</x:v>
      </x:c>
      <x:c r="F121" s="45" t="n">
        <x:v>6</x:v>
      </x:c>
      <x:c r="G121" s="45" t="str">
        <x:v>FR2024_OXA484_SERINE_ONLY</x:v>
      </x:c>
      <x:c r="H121" s="45" t="str">
        <x:v>French OXA-484 Enterobacterales, serine-only</x:v>
      </x:c>
      <x:c r="I121" s="102" t="n">
        <x:v>99.88758333333334</x:v>
      </x:c>
      <x:c r="J121" s="102" t="n">
        <x:v>85.885</x:v>
      </x:c>
      <x:c r="K121" s="102" t="n">
        <x:v>85.88291666666667</x:v>
      </x:c>
      <x:c r="L121" s="102" t="n">
        <x:v>5.4893333333333345</x:v>
      </x:c>
      <x:c r="M121" s="102" t="n">
        <x:v>85.76</x:v>
      </x:c>
      <x:c r="N121" s="102" t="n">
        <x:v>5.7450000000000045</x:v>
      </x:c>
      <x:c r="O121" s="102" t="n">
        <x:v>3.2199999999999998</x:v>
      </x:c>
      <x:c r="P121" s="102" t="n">
        <x:v>-3.825</x:v>
      </x:c>
      <x:c r="Q121" s="45" t="str">
        <x:v>MODEL_INFERRED</x:v>
      </x:c>
      <x:c r="R121" s="45" t="str">
        <x:v>SCENARIO_GENERATION</x:v>
      </x:c>
      <x:c r="S121" s="45" t="str">
        <x:v>USER_REVIEW_REQUIRED</x:v>
      </x:c>
    </x:row>
    <x:row r="122">
      <x:c r="A122" s="45" t="str">
        <x:v>IIV_HIGH</x:v>
      </x:c>
      <x:c r="B122" s="45" t="str">
        <x:v>Both IIV SDs +20%</x:v>
      </x:c>
      <x:c r="C122" s="45" t="str">
        <x:v>R1</x:v>
      </x:c>
      <x:c r="D122" s="45" t="str">
        <x:v>0–30</x:v>
      </x:c>
      <x:c r="E122" s="45" t="n">
        <x:v>0.625</x:v>
      </x:c>
      <x:c r="F122" s="45" t="n">
        <x:v>12</x:v>
      </x:c>
      <x:c r="G122" s="45" t="str">
        <x:v>LEE2022_KPC_KP</x:v>
      </x:c>
      <x:c r="H122" s="45" t="str">
        <x:v>KPC-like CR-K. pneumoniae, ATLAS 2020</x:v>
      </x:c>
      <x:c r="I122" s="102" t="n">
        <x:v>92.27108179419525</x:v>
      </x:c>
      <x:c r="J122" s="102" t="n">
        <x:v>72.13000000000002</x:v>
      </x:c>
      <x:c r="K122" s="102" t="n">
        <x:v>70.78600263852243</x:v>
      </x:c>
      <x:c r="L122" s="102" t="n">
        <x:v>-2.018126649076507</x:v>
      </x:c>
      <x:c r="M122" s="102" t="n">
        <x:v>64.645</x:v>
      </x:c>
      <x:c r="N122" s="102" t="n">
        <x:v>-1.7800000000000011</x:v>
      </x:c>
      <x:c r="O122" s="102" t="n">
        <x:v>10.895000000000001</x:v>
      </x:c>
      <x:c r="P122" s="102" t="n">
        <x:v>1.4750000000000014</x:v>
      </x:c>
      <x:c r="Q122" s="45" t="str">
        <x:v>MODEL_INFERRED</x:v>
      </x:c>
      <x:c r="R122" s="45" t="str">
        <x:v>SCENARIO_GENERATION</x:v>
      </x:c>
      <x:c r="S122" s="45" t="str">
        <x:v>USER_REVIEW_REQUIRED</x:v>
      </x:c>
    </x:row>
    <x:row r="123">
      <x:c r="A123" s="45" t="str">
        <x:v>IIV_HIGH</x:v>
      </x:c>
      <x:c r="B123" s="45" t="str">
        <x:v>Both IIV SDs +20%</x:v>
      </x:c>
      <x:c r="C123" s="45" t="str">
        <x:v>R1</x:v>
      </x:c>
      <x:c r="D123" s="45" t="str">
        <x:v>0–30</x:v>
      </x:c>
      <x:c r="E123" s="45" t="n">
        <x:v>0.625</x:v>
      </x:c>
      <x:c r="F123" s="45" t="n">
        <x:v>12</x:v>
      </x:c>
      <x:c r="G123" s="45" t="str">
        <x:v>LEE2022_OXA_KP</x:v>
      </x:c>
      <x:c r="H123" s="45" t="str">
        <x:v>OXA-like CR-K. pneumoniae, ATLAS 2020</x:v>
      </x:c>
      <x:c r="I123" s="102" t="n">
        <x:v>94.26120762711867</x:v>
      </x:c>
      <x:c r="J123" s="102" t="n">
        <x:v>72.13000000000002</x:v>
      </x:c>
      <x:c r="K123" s="102" t="n">
        <x:v>70.9092372881356</x:v>
      </x:c>
      <x:c r="L123" s="102" t="n">
        <x:v>-2.043771186440665</x:v>
      </x:c>
      <x:c r="M123" s="102" t="n">
        <x:v>64.645</x:v>
      </x:c>
      <x:c r="N123" s="102" t="n">
        <x:v>-1.7800000000000011</x:v>
      </x:c>
      <x:c r="O123" s="102" t="n">
        <x:v>10.895000000000001</x:v>
      </x:c>
      <x:c r="P123" s="102" t="n">
        <x:v>1.4750000000000014</x:v>
      </x:c>
      <x:c r="Q123" s="45" t="str">
        <x:v>MODEL_INFERRED</x:v>
      </x:c>
      <x:c r="R123" s="45" t="str">
        <x:v>SCENARIO_GENERATION</x:v>
      </x:c>
      <x:c r="S123" s="45" t="str">
        <x:v>USER_REVIEW_REQUIRED</x:v>
      </x:c>
    </x:row>
    <x:row r="124">
      <x:c r="A124" s="45" t="str">
        <x:v>IIV_HIGH</x:v>
      </x:c>
      <x:c r="B124" s="45" t="str">
        <x:v>Both IIV SDs +20%</x:v>
      </x:c>
      <x:c r="C124" s="45" t="str">
        <x:v>R1</x:v>
      </x:c>
      <x:c r="D124" s="45" t="str">
        <x:v>0–30</x:v>
      </x:c>
      <x:c r="E124" s="45" t="n">
        <x:v>0.625</x:v>
      </x:c>
      <x:c r="F124" s="45" t="n">
        <x:v>12</x:v>
      </x:c>
      <x:c r="G124" s="45" t="str">
        <x:v>INDIA2022_OXA48_KP</x:v>
      </x:c>
      <x:c r="H124" s="45" t="str">
        <x:v>OXA-48-like CR-K. pneumoniae, India</x:v>
      </x:c>
      <x:c r="I124" s="102" t="n">
        <x:v>93.45926470588235</x:v>
      </x:c>
      <x:c r="J124" s="102" t="n">
        <x:v>72.13000000000002</x:v>
      </x:c>
      <x:c r="K124" s="102" t="n">
        <x:v>69.45073529411765</x:v>
      </x:c>
      <x:c r="L124" s="102" t="n">
        <x:v>-1.9915441176470665</x:v>
      </x:c>
      <x:c r="M124" s="102" t="n">
        <x:v>64.645</x:v>
      </x:c>
      <x:c r="N124" s="102" t="n">
        <x:v>-1.7800000000000011</x:v>
      </x:c>
      <x:c r="O124" s="102" t="n">
        <x:v>10.895000000000001</x:v>
      </x:c>
      <x:c r="P124" s="102" t="n">
        <x:v>1.4750000000000014</x:v>
      </x:c>
      <x:c r="Q124" s="45" t="str">
        <x:v>MODEL_INFERRED</x:v>
      </x:c>
      <x:c r="R124" s="45" t="str">
        <x:v>SCENARIO_GENERATION</x:v>
      </x:c>
      <x:c r="S124" s="45" t="str">
        <x:v>USER_REVIEW_REQUIRED</x:v>
      </x:c>
    </x:row>
    <x:row r="125">
      <x:c r="A125" s="45" t="str">
        <x:v>IIV_HIGH</x:v>
      </x:c>
      <x:c r="B125" s="45" t="str">
        <x:v>Both IIV SDs +20%</x:v>
      </x:c>
      <x:c r="C125" s="45" t="str">
        <x:v>R1</x:v>
      </x:c>
      <x:c r="D125" s="45" t="str">
        <x:v>0–30</x:v>
      </x:c>
      <x:c r="E125" s="45" t="n">
        <x:v>0.625</x:v>
      </x:c>
      <x:c r="F125" s="45" t="n">
        <x:v>12</x:v>
      </x:c>
      <x:c r="G125" s="45" t="str">
        <x:v>FR2024_OXA484_SERINE_ONLY</x:v>
      </x:c>
      <x:c r="H125" s="45" t="str">
        <x:v>French OXA-484 Enterobacterales, serine-only</x:v>
      </x:c>
      <x:c r="I125" s="102" t="n">
        <x:v>97.27325000000002</x:v>
      </x:c>
      <x:c r="J125" s="102" t="n">
        <x:v>72.13000000000002</x:v>
      </x:c>
      <x:c r="K125" s="102" t="n">
        <x:v>71.9955</x:v>
      </x:c>
      <x:c r="L125" s="102" t="n">
        <x:v>-2.093833333333336</x:v>
      </x:c>
      <x:c r="M125" s="102" t="n">
        <x:v>64.645</x:v>
      </x:c>
      <x:c r="N125" s="102" t="n">
        <x:v>-1.7800000000000011</x:v>
      </x:c>
      <x:c r="O125" s="102" t="n">
        <x:v>10.895000000000001</x:v>
      </x:c>
      <x:c r="P125" s="102" t="n">
        <x:v>1.4750000000000014</x:v>
      </x:c>
      <x:c r="Q125" s="45" t="str">
        <x:v>MODEL_INFERRED</x:v>
      </x:c>
      <x:c r="R125" s="45" t="str">
        <x:v>SCENARIO_GENERATION</x:v>
      </x:c>
      <x:c r="S125" s="45" t="str">
        <x:v>USER_REVIEW_REQUIRED</x:v>
      </x:c>
    </x:row>
    <x:row r="126">
      <x:c r="A126" s="45" t="str">
        <x:v>IIV_HIGH</x:v>
      </x:c>
      <x:c r="B126" s="45" t="str">
        <x:v>Both IIV SDs +20%</x:v>
      </x:c>
      <x:c r="C126" s="45" t="str">
        <x:v>R8</x:v>
      </x:c>
      <x:c r="D126" s="45" t="str">
        <x:v>31–60</x:v>
      </x:c>
      <x:c r="E126" s="45" t="n">
        <x:v>2.5</x:v>
      </x:c>
      <x:c r="F126" s="45" t="n">
        <x:v>12</x:v>
      </x:c>
      <x:c r="G126" s="45" t="str">
        <x:v>LEE2022_KPC_KP</x:v>
      </x:c>
      <x:c r="H126" s="45" t="str">
        <x:v>KPC-like CR-K. pneumoniae, ATLAS 2020</x:v>
      </x:c>
      <x:c r="I126" s="102" t="n">
        <x:v>97.5084432717678</x:v>
      </x:c>
      <x:c r="J126" s="102" t="n">
        <x:v>85.20000000000003</x:v>
      </x:c>
      <x:c r="K126" s="102" t="n">
        <x:v>84.38430079155673</x:v>
      </x:c>
      <x:c r="L126" s="102" t="n">
        <x:v>-4.028522427440635</x:v>
      </x:c>
      <x:c r="M126" s="102" t="n">
        <x:v>83.275</x:v>
      </x:c>
      <x:c r="N126" s="102" t="n">
        <x:v>-4.709999999999994</x:v>
      </x:c>
      <x:c r="O126" s="102" t="n">
        <x:v>13.96</x:v>
      </x:c>
      <x:c r="P126" s="102" t="n">
        <x:v>4.340000000000002</x:v>
      </x:c>
      <x:c r="Q126" s="45" t="str">
        <x:v>MODEL_INFERRED</x:v>
      </x:c>
      <x:c r="R126" s="45" t="str">
        <x:v>SCENARIO_GENERATION</x:v>
      </x:c>
      <x:c r="S126" s="45" t="str">
        <x:v>USER_REVIEW_REQUIRED</x:v>
      </x:c>
    </x:row>
    <x:row r="127">
      <x:c r="A127" s="45" t="str">
        <x:v>IIV_HIGH</x:v>
      </x:c>
      <x:c r="B127" s="45" t="str">
        <x:v>Both IIV SDs +20%</x:v>
      </x:c>
      <x:c r="C127" s="45" t="str">
        <x:v>R8</x:v>
      </x:c>
      <x:c r="D127" s="45" t="str">
        <x:v>31–60</x:v>
      </x:c>
      <x:c r="E127" s="45" t="n">
        <x:v>2.5</x:v>
      </x:c>
      <x:c r="F127" s="45" t="n">
        <x:v>12</x:v>
      </x:c>
      <x:c r="G127" s="45" t="str">
        <x:v>LEE2022_OXA_KP</x:v>
      </x:c>
      <x:c r="H127" s="45" t="str">
        <x:v>OXA-like CR-K. pneumoniae, ATLAS 2020</x:v>
      </x:c>
      <x:c r="I127" s="102" t="n">
        <x:v>97.8071186440678</x:v>
      </x:c>
      <x:c r="J127" s="102" t="n">
        <x:v>85.2</x:v>
      </x:c>
      <x:c r="K127" s="102" t="n">
        <x:v>83.98773305084745</x:v>
      </x:c>
      <x:c r="L127" s="102" t="n">
        <x:v>-3.96711864406781</x:v>
      </x:c>
      <x:c r="M127" s="102" t="n">
        <x:v>83.275</x:v>
      </x:c>
      <x:c r="N127" s="102" t="n">
        <x:v>-4.709999999999994</x:v>
      </x:c>
      <x:c r="O127" s="102" t="n">
        <x:v>13.96</x:v>
      </x:c>
      <x:c r="P127" s="102" t="n">
        <x:v>4.340000000000002</x:v>
      </x:c>
      <x:c r="Q127" s="45" t="str">
        <x:v>MODEL_INFERRED</x:v>
      </x:c>
      <x:c r="R127" s="45" t="str">
        <x:v>SCENARIO_GENERATION</x:v>
      </x:c>
      <x:c r="S127" s="45" t="str">
        <x:v>USER_REVIEW_REQUIRED</x:v>
      </x:c>
    </x:row>
    <x:row r="128">
      <x:c r="A128" s="45" t="str">
        <x:v>IIV_HIGH</x:v>
      </x:c>
      <x:c r="B128" s="45" t="str">
        <x:v>Both IIV SDs +20%</x:v>
      </x:c>
      <x:c r="C128" s="45" t="str">
        <x:v>R8</x:v>
      </x:c>
      <x:c r="D128" s="45" t="str">
        <x:v>31–60</x:v>
      </x:c>
      <x:c r="E128" s="45" t="n">
        <x:v>2.5</x:v>
      </x:c>
      <x:c r="F128" s="45" t="n">
        <x:v>12</x:v>
      </x:c>
      <x:c r="G128" s="45" t="str">
        <x:v>INDIA2022_OXA48_KP</x:v>
      </x:c>
      <x:c r="H128" s="45" t="str">
        <x:v>OXA-48-like CR-K. pneumoniae, India</x:v>
      </x:c>
      <x:c r="I128" s="102" t="n">
        <x:v>95.87007352941177</x:v>
      </x:c>
      <x:c r="J128" s="102" t="n">
        <x:v>85.19999999999999</x:v>
      </x:c>
      <x:c r="K128" s="102" t="n">
        <x:v>82.12055147058824</x:v>
      </x:c>
      <x:c r="L128" s="102" t="n">
        <x:v>-3.842830882352942</x:v>
      </x:c>
      <x:c r="M128" s="102" t="n">
        <x:v>83.275</x:v>
      </x:c>
      <x:c r="N128" s="102" t="n">
        <x:v>-4.709999999999994</x:v>
      </x:c>
      <x:c r="O128" s="102" t="n">
        <x:v>13.96</x:v>
      </x:c>
      <x:c r="P128" s="102" t="n">
        <x:v>4.340000000000002</x:v>
      </x:c>
      <x:c r="Q128" s="45" t="str">
        <x:v>MODEL_INFERRED</x:v>
      </x:c>
      <x:c r="R128" s="45" t="str">
        <x:v>SCENARIO_GENERATION</x:v>
      </x:c>
      <x:c r="S128" s="45" t="str">
        <x:v>USER_REVIEW_REQUIRED</x:v>
      </x:c>
    </x:row>
    <x:row r="129">
      <x:c r="A129" s="45" t="str">
        <x:v>IIV_HIGH</x:v>
      </x:c>
      <x:c r="B129" s="45" t="str">
        <x:v>Both IIV SDs +20%</x:v>
      </x:c>
      <x:c r="C129" s="45" t="str">
        <x:v>R8</x:v>
      </x:c>
      <x:c r="D129" s="45" t="str">
        <x:v>31–60</x:v>
      </x:c>
      <x:c r="E129" s="45" t="n">
        <x:v>2.5</x:v>
      </x:c>
      <x:c r="F129" s="45" t="n">
        <x:v>12</x:v>
      </x:c>
      <x:c r="G129" s="45" t="str">
        <x:v>FR2024_OXA484_SERINE_ONLY</x:v>
      </x:c>
      <x:c r="H129" s="45" t="str">
        <x:v>French OXA-484 Enterobacterales, serine-only</x:v>
      </x:c>
      <x:c r="I129" s="102" t="n">
        <x:v>99.48233333333333</x:v>
      </x:c>
      <x:c r="J129" s="102" t="n">
        <x:v>85.2</x:v>
      </x:c>
      <x:c r="K129" s="102" t="n">
        <x:v>85.16791666666667</x:v>
      </x:c>
      <x:c r="L129" s="102" t="n">
        <x:v>-4.036416666666639</x:v>
      </x:c>
      <x:c r="M129" s="102" t="n">
        <x:v>83.275</x:v>
      </x:c>
      <x:c r="N129" s="102" t="n">
        <x:v>-4.709999999999994</x:v>
      </x:c>
      <x:c r="O129" s="102" t="n">
        <x:v>13.96</x:v>
      </x:c>
      <x:c r="P129" s="102" t="n">
        <x:v>4.340000000000002</x:v>
      </x:c>
      <x:c r="Q129" s="45" t="str">
        <x:v>MODEL_INFERRED</x:v>
      </x:c>
      <x:c r="R129" s="45" t="str">
        <x:v>SCENARIO_GENERATION</x:v>
      </x:c>
      <x:c r="S129" s="45" t="str">
        <x:v>USER_REVIEW_REQUIRED</x:v>
      </x:c>
    </x:row>
    <x:row r="130">
      <x:c r="A130" s="45" t="str">
        <x:v>IIV_HIGH</x:v>
      </x:c>
      <x:c r="B130" s="45" t="str">
        <x:v>Both IIV SDs +20%</x:v>
      </x:c>
      <x:c r="C130" s="45" t="str">
        <x:v>R10</x:v>
      </x:c>
      <x:c r="D130" s="45" t="str">
        <x:v>61–90</x:v>
      </x:c>
      <x:c r="E130" s="45" t="n">
        <x:v>2.5</x:v>
      </x:c>
      <x:c r="F130" s="45" t="n">
        <x:v>8</x:v>
      </x:c>
      <x:c r="G130" s="45" t="str">
        <x:v>LEE2022_KPC_KP</x:v>
      </x:c>
      <x:c r="H130" s="45" t="str">
        <x:v>KPC-like CR-K. pneumoniae, ATLAS 2020</x:v>
      </x:c>
      <x:c r="I130" s="102" t="n">
        <x:v>97.73121372031662</x:v>
      </x:c>
      <x:c r="J130" s="102" t="n">
        <x:v>83.96500000000002</x:v>
      </x:c>
      <x:c r="K130" s="102" t="n">
        <x:v>83.25122691292874</x:v>
      </x:c>
      <x:c r="L130" s="102" t="n">
        <x:v>-4.177928759894485</x:v>
      </x:c>
      <x:c r="M130" s="102" t="n">
        <x:v>82.69</x:v>
      </x:c>
      <x:c r="N130" s="102" t="n">
        <x:v>-4.844999999999999</x:v>
      </x:c>
      <x:c r="O130" s="102" t="n">
        <x:v>14.99</x:v>
      </x:c>
      <x:c r="P130" s="102" t="n">
        <x:v>4.325000000000001</x:v>
      </x:c>
      <x:c r="Q130" s="45" t="str">
        <x:v>MODEL_INFERRED</x:v>
      </x:c>
      <x:c r="R130" s="45" t="str">
        <x:v>SCENARIO_GENERATION</x:v>
      </x:c>
      <x:c r="S130" s="45" t="str">
        <x:v>USER_REVIEW_REQUIRED</x:v>
      </x:c>
    </x:row>
    <x:row r="131">
      <x:c r="A131" s="45" t="str">
        <x:v>IIV_HIGH</x:v>
      </x:c>
      <x:c r="B131" s="45" t="str">
        <x:v>Both IIV SDs +20%</x:v>
      </x:c>
      <x:c r="C131" s="45" t="str">
        <x:v>R10</x:v>
      </x:c>
      <x:c r="D131" s="45" t="str">
        <x:v>61–90</x:v>
      </x:c>
      <x:c r="E131" s="45" t="n">
        <x:v>2.5</x:v>
      </x:c>
      <x:c r="F131" s="45" t="n">
        <x:v>8</x:v>
      </x:c>
      <x:c r="G131" s="45" t="str">
        <x:v>LEE2022_OXA_KP</x:v>
      </x:c>
      <x:c r="H131" s="45" t="str">
        <x:v>OXA-like CR-K. pneumoniae, ATLAS 2020</x:v>
      </x:c>
      <x:c r="I131" s="102" t="n">
        <x:v>97.92122881355931</x:v>
      </x:c>
      <x:c r="J131" s="102" t="n">
        <x:v>83.96500000000002</x:v>
      </x:c>
      <x:c r="K131" s="102" t="n">
        <x:v>82.80264830508476</x:v>
      </x:c>
      <x:c r="L131" s="102" t="n">
        <x:v>-4.114385593220334</x:v>
      </x:c>
      <x:c r="M131" s="102" t="n">
        <x:v>82.69</x:v>
      </x:c>
      <x:c r="N131" s="102" t="n">
        <x:v>-4.844999999999999</x:v>
      </x:c>
      <x:c r="O131" s="102" t="n">
        <x:v>14.99</x:v>
      </x:c>
      <x:c r="P131" s="102" t="n">
        <x:v>4.325000000000001</x:v>
      </x:c>
      <x:c r="Q131" s="45" t="str">
        <x:v>MODEL_INFERRED</x:v>
      </x:c>
      <x:c r="R131" s="45" t="str">
        <x:v>SCENARIO_GENERATION</x:v>
      </x:c>
      <x:c r="S131" s="45" t="str">
        <x:v>USER_REVIEW_REQUIRED</x:v>
      </x:c>
    </x:row>
    <x:row r="132">
      <x:c r="A132" s="45" t="str">
        <x:v>IIV_HIGH</x:v>
      </x:c>
      <x:c r="B132" s="45" t="str">
        <x:v>Both IIV SDs +20%</x:v>
      </x:c>
      <x:c r="C132" s="45" t="str">
        <x:v>R10</x:v>
      </x:c>
      <x:c r="D132" s="45" t="str">
        <x:v>61–90</x:v>
      </x:c>
      <x:c r="E132" s="45" t="n">
        <x:v>2.5</x:v>
      </x:c>
      <x:c r="F132" s="45" t="n">
        <x:v>8</x:v>
      </x:c>
      <x:c r="G132" s="45" t="str">
        <x:v>INDIA2022_OXA48_KP</x:v>
      </x:c>
      <x:c r="H132" s="45" t="str">
        <x:v>OXA-48-like CR-K. pneumoniae, India</x:v>
      </x:c>
      <x:c r="I132" s="102" t="n">
        <x:v>95.95128676470588</x:v>
      </x:c>
      <x:c r="J132" s="102" t="n">
        <x:v>83.96500000000002</x:v>
      </x:c>
      <x:c r="K132" s="102" t="n">
        <x:v>80.9569117647059</x:v>
      </x:c>
      <x:c r="L132" s="102" t="n">
        <x:v>-3.982683823529399</x:v>
      </x:c>
      <x:c r="M132" s="102" t="n">
        <x:v>82.69</x:v>
      </x:c>
      <x:c r="N132" s="102" t="n">
        <x:v>-4.844999999999999</x:v>
      </x:c>
      <x:c r="O132" s="102" t="n">
        <x:v>14.99</x:v>
      </x:c>
      <x:c r="P132" s="102" t="n">
        <x:v>4.325000000000001</x:v>
      </x:c>
      <x:c r="Q132" s="45" t="str">
        <x:v>MODEL_INFERRED</x:v>
      </x:c>
      <x:c r="R132" s="45" t="str">
        <x:v>SCENARIO_GENERATION</x:v>
      </x:c>
      <x:c r="S132" s="45" t="str">
        <x:v>USER_REVIEW_REQUIRED</x:v>
      </x:c>
    </x:row>
    <x:row r="133">
      <x:c r="A133" s="45" t="str">
        <x:v>IIV_HIGH</x:v>
      </x:c>
      <x:c r="B133" s="45" t="str">
        <x:v>Both IIV SDs +20%</x:v>
      </x:c>
      <x:c r="C133" s="45" t="str">
        <x:v>R10</x:v>
      </x:c>
      <x:c r="D133" s="45" t="str">
        <x:v>61–90</x:v>
      </x:c>
      <x:c r="E133" s="45" t="n">
        <x:v>2.5</x:v>
      </x:c>
      <x:c r="F133" s="45" t="n">
        <x:v>8</x:v>
      </x:c>
      <x:c r="G133" s="45" t="str">
        <x:v>FR2024_OXA484_SERINE_ONLY</x:v>
      </x:c>
      <x:c r="H133" s="45" t="str">
        <x:v>French OXA-484 Enterobacterales, serine-only</x:v>
      </x:c>
      <x:c r="I133" s="102" t="n">
        <x:v>99.54991666666668</x:v>
      </x:c>
      <x:c r="J133" s="102" t="n">
        <x:v>83.965</x:v>
      </x:c>
      <x:c r="K133" s="102" t="n">
        <x:v>83.94375000000001</x:v>
      </x:c>
      <x:c r="L133" s="102" t="n">
        <x:v>-4.186166666666665</x:v>
      </x:c>
      <x:c r="M133" s="102" t="n">
        <x:v>82.69</x:v>
      </x:c>
      <x:c r="N133" s="102" t="n">
        <x:v>-4.844999999999999</x:v>
      </x:c>
      <x:c r="O133" s="102" t="n">
        <x:v>14.99</x:v>
      </x:c>
      <x:c r="P133" s="102" t="n">
        <x:v>4.325000000000001</x:v>
      </x:c>
      <x:c r="Q133" s="45" t="str">
        <x:v>MODEL_INFERRED</x:v>
      </x:c>
      <x:c r="R133" s="45" t="str">
        <x:v>SCENARIO_GENERATION</x:v>
      </x:c>
      <x:c r="S133" s="45" t="str">
        <x:v>USER_REVIEW_REQUIRED</x:v>
      </x:c>
    </x:row>
    <x:row r="134">
      <x:c r="A134" s="45" t="str">
        <x:v>IIV_HIGH</x:v>
      </x:c>
      <x:c r="B134" s="45" t="str">
        <x:v>Both IIV SDs +20%</x:v>
      </x:c>
      <x:c r="C134" s="45" t="str">
        <x:v>R12</x:v>
      </x:c>
      <x:c r="D134" s="45" t="str">
        <x:v>91–120</x:v>
      </x:c>
      <x:c r="E134" s="45" t="n">
        <x:v>2.5</x:v>
      </x:c>
      <x:c r="F134" s="45" t="n">
        <x:v>6</x:v>
      </x:c>
      <x:c r="G134" s="45" t="str">
        <x:v>LEE2022_KPC_KP</x:v>
      </x:c>
      <x:c r="H134" s="45" t="str">
        <x:v>KPC-like CR-K. pneumoniae, ATLAS 2020</x:v>
      </x:c>
      <x:c r="I134" s="102" t="n">
        <x:v>98.03038258575197</x:v>
      </x:c>
      <x:c r="J134" s="102" t="n">
        <x:v>83.69</x:v>
      </x:c>
      <x:c r="K134" s="102" t="n">
        <x:v>83.06534300791556</x:v>
      </x:c>
      <x:c r="L134" s="102" t="n">
        <x:v>-4.42538258575199</x:v>
      </x:c>
      <x:c r="M134" s="102" t="n">
        <x:v>83.005</x:v>
      </x:c>
      <x:c r="N134" s="102" t="n">
        <x:v>-4.75500000000001</x:v>
      </x:c>
      <x:c r="O134" s="102" t="n">
        <x:v>16.259999999999998</x:v>
      </x:c>
      <x:c r="P134" s="102" t="n">
        <x:v>4.439999999999998</x:v>
      </x:c>
      <x:c r="Q134" s="45" t="str">
        <x:v>MODEL_INFERRED</x:v>
      </x:c>
      <x:c r="R134" s="45" t="str">
        <x:v>SCENARIO_GENERATION</x:v>
      </x:c>
      <x:c r="S134" s="45" t="str">
        <x:v>USER_REVIEW_REQUIRED</x:v>
      </x:c>
    </x:row>
    <x:row r="135">
      <x:c r="A135" s="45" t="str">
        <x:v>IIV_HIGH</x:v>
      </x:c>
      <x:c r="B135" s="45" t="str">
        <x:v>Both IIV SDs +20%</x:v>
      </x:c>
      <x:c r="C135" s="45" t="str">
        <x:v>R12</x:v>
      </x:c>
      <x:c r="D135" s="45" t="str">
        <x:v>91–120</x:v>
      </x:c>
      <x:c r="E135" s="45" t="n">
        <x:v>2.5</x:v>
      </x:c>
      <x:c r="F135" s="45" t="n">
        <x:v>6</x:v>
      </x:c>
      <x:c r="G135" s="45" t="str">
        <x:v>LEE2022_OXA_KP</x:v>
      </x:c>
      <x:c r="H135" s="45" t="str">
        <x:v>OXA-like CR-K. pneumoniae, ATLAS 2020</x:v>
      </x:c>
      <x:c r="I135" s="102" t="n">
        <x:v>98.09271186440678</x:v>
      </x:c>
      <x:c r="J135" s="102" t="n">
        <x:v>83.69000000000001</x:v>
      </x:c>
      <x:c r="K135" s="102" t="n">
        <x:v>82.56313559322035</x:v>
      </x:c>
      <x:c r="L135" s="102" t="n">
        <x:v>-4.376334745762705</x:v>
      </x:c>
      <x:c r="M135" s="102" t="n">
        <x:v>83.005</x:v>
      </x:c>
      <x:c r="N135" s="102" t="n">
        <x:v>-4.75500000000001</x:v>
      </x:c>
      <x:c r="O135" s="102" t="n">
        <x:v>16.259999999999998</x:v>
      </x:c>
      <x:c r="P135" s="102" t="n">
        <x:v>4.439999999999998</x:v>
      </x:c>
      <x:c r="Q135" s="45" t="str">
        <x:v>MODEL_INFERRED</x:v>
      </x:c>
      <x:c r="R135" s="45" t="str">
        <x:v>SCENARIO_GENERATION</x:v>
      </x:c>
      <x:c r="S135" s="45" t="str">
        <x:v>USER_REVIEW_REQUIRED</x:v>
      </x:c>
    </x:row>
    <x:row r="136">
      <x:c r="A136" s="45" t="str">
        <x:v>IIV_HIGH</x:v>
      </x:c>
      <x:c r="B136" s="45" t="str">
        <x:v>Both IIV SDs +20%</x:v>
      </x:c>
      <x:c r="C136" s="45" t="str">
        <x:v>R12</x:v>
      </x:c>
      <x:c r="D136" s="45" t="str">
        <x:v>91–120</x:v>
      </x:c>
      <x:c r="E136" s="45" t="n">
        <x:v>2.5</x:v>
      </x:c>
      <x:c r="F136" s="45" t="n">
        <x:v>6</x:v>
      </x:c>
      <x:c r="G136" s="45" t="str">
        <x:v>INDIA2022_OXA48_KP</x:v>
      </x:c>
      <x:c r="H136" s="45" t="str">
        <x:v>OXA-48-like CR-K. pneumoniae, India</x:v>
      </x:c>
      <x:c r="I136" s="102" t="n">
        <x:v>96.06882352941177</x:v>
      </x:c>
      <x:c r="J136" s="102" t="n">
        <x:v>83.69</x:v>
      </x:c>
      <x:c r="K136" s="102" t="n">
        <x:v>80.71669117647059</x:v>
      </x:c>
      <x:c r="L136" s="102" t="n">
        <x:v>-4.23389705882353</x:v>
      </x:c>
      <x:c r="M136" s="102" t="n">
        <x:v>83.005</x:v>
      </x:c>
      <x:c r="N136" s="102" t="n">
        <x:v>-4.75500000000001</x:v>
      </x:c>
      <x:c r="O136" s="102" t="n">
        <x:v>16.259999999999998</x:v>
      </x:c>
      <x:c r="P136" s="102" t="n">
        <x:v>4.439999999999998</x:v>
      </x:c>
      <x:c r="Q136" s="45" t="str">
        <x:v>MODEL_INFERRED</x:v>
      </x:c>
      <x:c r="R136" s="45" t="str">
        <x:v>SCENARIO_GENERATION</x:v>
      </x:c>
      <x:c r="S136" s="45" t="str">
        <x:v>USER_REVIEW_REQUIRED</x:v>
      </x:c>
    </x:row>
    <x:row r="137">
      <x:c r="A137" s="45" t="str">
        <x:v>IIV_HIGH</x:v>
      </x:c>
      <x:c r="B137" s="45" t="str">
        <x:v>Both IIV SDs +20%</x:v>
      </x:c>
      <x:c r="C137" s="45" t="str">
        <x:v>R12</x:v>
      </x:c>
      <x:c r="D137" s="45" t="str">
        <x:v>91–120</x:v>
      </x:c>
      <x:c r="E137" s="45" t="n">
        <x:v>2.5</x:v>
      </x:c>
      <x:c r="F137" s="45" t="n">
        <x:v>6</x:v>
      </x:c>
      <x:c r="G137" s="45" t="str">
        <x:v>FR2024_OXA484_SERINE_ONLY</x:v>
      </x:c>
      <x:c r="H137" s="45" t="str">
        <x:v>French OXA-484 Enterobacterales, serine-only</x:v>
      </x:c>
      <x:c r="I137" s="102" t="n">
        <x:v>99.65158333333333</x:v>
      </x:c>
      <x:c r="J137" s="102" t="n">
        <x:v>83.69000000000001</x:v>
      </x:c>
      <x:c r="K137" s="102" t="n">
        <x:v>83.67858333333334</x:v>
      </x:c>
      <x:c r="L137" s="102" t="n">
        <x:v>-4.455083333333334</x:v>
      </x:c>
      <x:c r="M137" s="102" t="n">
        <x:v>83.005</x:v>
      </x:c>
      <x:c r="N137" s="102" t="n">
        <x:v>-4.75500000000001</x:v>
      </x:c>
      <x:c r="O137" s="102" t="n">
        <x:v>16.259999999999998</x:v>
      </x:c>
      <x:c r="P137" s="102" t="n">
        <x:v>4.439999999999998</x:v>
      </x:c>
      <x:c r="Q137" s="45" t="str">
        <x:v>MODEL_INFERRED</x:v>
      </x:c>
      <x:c r="R137" s="45" t="str">
        <x:v>SCENARIO_GENERATION</x:v>
      </x:c>
      <x:c r="S137" s="45" t="str">
        <x:v>USER_REVIEW_REQUIRED</x:v>
      </x:c>
    </x:row>
    <x:row r="138">
      <x:c r="A138" s="45" t="str">
        <x:v>IIV_HIGH</x:v>
      </x:c>
      <x:c r="B138" s="45" t="str">
        <x:v>Both IIV SDs +20%</x:v>
      </x:c>
      <x:c r="C138" s="45" t="str">
        <x:v>R13</x:v>
      </x:c>
      <x:c r="D138" s="45" t="str">
        <x:v>121–150</x:v>
      </x:c>
      <x:c r="E138" s="45" t="n">
        <x:v>2.5</x:v>
      </x:c>
      <x:c r="F138" s="45" t="n">
        <x:v>6</x:v>
      </x:c>
      <x:c r="G138" s="45" t="str">
        <x:v>LEE2022_KPC_KP</x:v>
      </x:c>
      <x:c r="H138" s="45" t="str">
        <x:v>KPC-like CR-K. pneumoniae, ATLAS 2020</x:v>
      </x:c>
      <x:c r="I138" s="102" t="n">
        <x:v>97.19365435356201</x:v>
      </x:c>
      <x:c r="J138" s="102" t="n">
        <x:v>76.105</x:v>
      </x:c>
      <x:c r="K138" s="102" t="n">
        <x:v>75.47427440633246</x:v>
      </x:c>
      <x:c r="L138" s="102" t="n">
        <x:v>-4.262875989445902</x:v>
      </x:c>
      <x:c r="M138" s="102" t="n">
        <x:v>75.32</x:v>
      </x:c>
      <x:c r="N138" s="102" t="n">
        <x:v>-4.695000000000007</x:v>
      </x:c>
      <x:c r="O138" s="102" t="n">
        <x:v>11.225</x:v>
      </x:c>
      <x:c r="P138" s="102" t="n">
        <x:v>4.18</x:v>
      </x:c>
      <x:c r="Q138" s="45" t="str">
        <x:v>MODEL_INFERRED</x:v>
      </x:c>
      <x:c r="R138" s="45" t="str">
        <x:v>SCENARIO_GENERATION</x:v>
      </x:c>
      <x:c r="S138" s="45" t="str">
        <x:v>USER_REVIEW_REQUIRED</x:v>
      </x:c>
    </x:row>
    <x:row r="139">
      <x:c r="A139" s="45" t="str">
        <x:v>IIV_HIGH</x:v>
      </x:c>
      <x:c r="B139" s="45" t="str">
        <x:v>Both IIV SDs +20%</x:v>
      </x:c>
      <x:c r="C139" s="45" t="str">
        <x:v>R13</x:v>
      </x:c>
      <x:c r="D139" s="45" t="str">
        <x:v>121–150</x:v>
      </x:c>
      <x:c r="E139" s="45" t="n">
        <x:v>2.5</x:v>
      </x:c>
      <x:c r="F139" s="45" t="n">
        <x:v>6</x:v>
      </x:c>
      <x:c r="G139" s="45" t="str">
        <x:v>LEE2022_OXA_KP</x:v>
      </x:c>
      <x:c r="H139" s="45" t="str">
        <x:v>OXA-like CR-K. pneumoniae, ATLAS 2020</x:v>
      </x:c>
      <x:c r="I139" s="102" t="n">
        <x:v>97.63305084745762</x:v>
      </x:c>
      <x:c r="J139" s="102" t="n">
        <x:v>76.10500000000002</x:v>
      </x:c>
      <x:c r="K139" s="102" t="n">
        <x:v>75.05095338983051</x:v>
      </x:c>
      <x:c r="L139" s="102" t="n">
        <x:v>-4.224194915254245</x:v>
      </x:c>
      <x:c r="M139" s="102" t="n">
        <x:v>75.32</x:v>
      </x:c>
      <x:c r="N139" s="102" t="n">
        <x:v>-4.695000000000007</x:v>
      </x:c>
      <x:c r="O139" s="102" t="n">
        <x:v>11.225</x:v>
      </x:c>
      <x:c r="P139" s="102" t="n">
        <x:v>4.18</x:v>
      </x:c>
      <x:c r="Q139" s="45" t="str">
        <x:v>MODEL_INFERRED</x:v>
      </x:c>
      <x:c r="R139" s="45" t="str">
        <x:v>SCENARIO_GENERATION</x:v>
      </x:c>
      <x:c r="S139" s="45" t="str">
        <x:v>USER_REVIEW_REQUIRED</x:v>
      </x:c>
    </x:row>
    <x:row r="140">
      <x:c r="A140" s="45" t="str">
        <x:v>IIV_HIGH</x:v>
      </x:c>
      <x:c r="B140" s="45" t="str">
        <x:v>Both IIV SDs +20%</x:v>
      </x:c>
      <x:c r="C140" s="45" t="str">
        <x:v>R13</x:v>
      </x:c>
      <x:c r="D140" s="45" t="str">
        <x:v>121–150</x:v>
      </x:c>
      <x:c r="E140" s="45" t="n">
        <x:v>2.5</x:v>
      </x:c>
      <x:c r="F140" s="45" t="n">
        <x:v>6</x:v>
      </x:c>
      <x:c r="G140" s="45" t="str">
        <x:v>INDIA2022_OXA48_KP</x:v>
      </x:c>
      <x:c r="H140" s="45" t="str">
        <x:v>OXA-48-like CR-K. pneumoniae, India</x:v>
      </x:c>
      <x:c r="I140" s="102" t="n">
        <x:v>95.74216911764707</x:v>
      </x:c>
      <x:c r="J140" s="102" t="n">
        <x:v>76.10499999999999</x:v>
      </x:c>
      <x:c r="K140" s="102" t="n">
        <x:v>73.36183823529412</x:v>
      </x:c>
      <x:c r="L140" s="102" t="n">
        <x:v>-4.101139705882375</x:v>
      </x:c>
      <x:c r="M140" s="102" t="n">
        <x:v>75.32</x:v>
      </x:c>
      <x:c r="N140" s="102" t="n">
        <x:v>-4.695000000000007</x:v>
      </x:c>
      <x:c r="O140" s="102" t="n">
        <x:v>11.225</x:v>
      </x:c>
      <x:c r="P140" s="102" t="n">
        <x:v>4.18</x:v>
      </x:c>
      <x:c r="Q140" s="45" t="str">
        <x:v>MODEL_INFERRED</x:v>
      </x:c>
      <x:c r="R140" s="45" t="str">
        <x:v>SCENARIO_GENERATION</x:v>
      </x:c>
      <x:c r="S140" s="45" t="str">
        <x:v>USER_REVIEW_REQUIRED</x:v>
      </x:c>
    </x:row>
    <x:row r="141">
      <x:c r="A141" s="45" t="str">
        <x:v>IIV_HIGH</x:v>
      </x:c>
      <x:c r="B141" s="45" t="str">
        <x:v>Both IIV SDs +20%</x:v>
      </x:c>
      <x:c r="C141" s="45" t="str">
        <x:v>R13</x:v>
      </x:c>
      <x:c r="D141" s="45" t="str">
        <x:v>121–150</x:v>
      </x:c>
      <x:c r="E141" s="45" t="n">
        <x:v>2.5</x:v>
      </x:c>
      <x:c r="F141" s="45" t="n">
        <x:v>6</x:v>
      </x:c>
      <x:c r="G141" s="45" t="str">
        <x:v>FR2024_OXA484_SERINE_ONLY</x:v>
      </x:c>
      <x:c r="H141" s="45" t="str">
        <x:v>French OXA-484 Enterobacterales, serine-only</x:v>
      </x:c>
      <x:c r="I141" s="102" t="n">
        <x:v>99.38308333333333</x:v>
      </x:c>
      <x:c r="J141" s="102" t="n">
        <x:v>76.105</x:v>
      </x:c>
      <x:c r="K141" s="102" t="n">
        <x:v>76.09191666666668</x:v>
      </x:c>
      <x:c r="L141" s="102" t="n">
        <x:v>-4.301666666666662</x:v>
      </x:c>
      <x:c r="M141" s="102" t="n">
        <x:v>75.32</x:v>
      </x:c>
      <x:c r="N141" s="102" t="n">
        <x:v>-4.695000000000007</x:v>
      </x:c>
      <x:c r="O141" s="102" t="n">
        <x:v>11.225</x:v>
      </x:c>
      <x:c r="P141" s="102" t="n">
        <x:v>4.18</x:v>
      </x:c>
      <x:c r="Q141" s="45" t="str">
        <x:v>MODEL_INFERRED</x:v>
      </x:c>
      <x:c r="R141" s="45" t="str">
        <x:v>SCENARIO_GENERATION</x:v>
      </x:c>
      <x:c r="S141" s="45" t="str">
        <x:v>USER_REVIEW_REQUIRED</x:v>
      </x:c>
    </x:row>
    <x:row r="142">
      <x:c r="A142" s="45" t="str">
        <x:v>RHO_050</x:v>
      </x:c>
      <x:c r="B142" s="45" t="str">
        <x:v>Random-effect correlation = 0.50</x:v>
      </x:c>
      <x:c r="C142" s="45" t="str">
        <x:v>R1</x:v>
      </x:c>
      <x:c r="D142" s="45" t="str">
        <x:v>0–30</x:v>
      </x:c>
      <x:c r="E142" s="45" t="n">
        <x:v>0.625</x:v>
      </x:c>
      <x:c r="F142" s="45" t="n">
        <x:v>12</x:v>
      </x:c>
      <x:c r="G142" s="45" t="str">
        <x:v>LEE2022_KPC_KP</x:v>
      </x:c>
      <x:c r="H142" s="45" t="str">
        <x:v>KPC-like CR-K. pneumoniae, ATLAS 2020</x:v>
      </x:c>
      <x:c r="I142" s="102" t="n">
        <x:v>93.65485488126649</x:v>
      </x:c>
      <x:c r="J142" s="102" t="n">
        <x:v>74.59999999999998</x:v>
      </x:c>
      <x:c r="K142" s="102" t="n">
        <x:v>71.98555408970977</x:v>
      </x:c>
      <x:c r="L142" s="102" t="n">
        <x:v>-0.8185751978891744</x:v>
      </x:c>
      <x:c r="M142" s="102" t="n">
        <x:v>59.675</x:v>
      </x:c>
      <x:c r="N142" s="102" t="n">
        <x:v>-6.75</x:v>
      </x:c>
      <x:c r="O142" s="102" t="n">
        <x:v>9.42</x:v>
      </x:c>
      <x:c r="P142" s="102" t="n">
        <x:v>0</x:v>
      </x:c>
      <x:c r="Q142" s="45" t="str">
        <x:v>MODEL_INFERRED</x:v>
      </x:c>
      <x:c r="R142" s="45" t="str">
        <x:v>SCENARIO_GENERATION</x:v>
      </x:c>
      <x:c r="S142" s="45" t="str">
        <x:v>USER_REVIEW_REQUIRED</x:v>
      </x:c>
    </x:row>
    <x:row r="143">
      <x:c r="A143" s="45" t="str">
        <x:v>RHO_050</x:v>
      </x:c>
      <x:c r="B143" s="45" t="str">
        <x:v>Random-effect correlation = 0.50</x:v>
      </x:c>
      <x:c r="C143" s="45" t="str">
        <x:v>R1</x:v>
      </x:c>
      <x:c r="D143" s="45" t="str">
        <x:v>0–30</x:v>
      </x:c>
      <x:c r="E143" s="45" t="n">
        <x:v>0.625</x:v>
      </x:c>
      <x:c r="F143" s="45" t="n">
        <x:v>12</x:v>
      </x:c>
      <x:c r="G143" s="45" t="str">
        <x:v>LEE2022_OXA_KP</x:v>
      </x:c>
      <x:c r="H143" s="45" t="str">
        <x:v>OXA-like CR-K. pneumoniae, ATLAS 2020</x:v>
      </x:c>
      <x:c r="I143" s="102" t="n">
        <x:v>95.5652966101695</x:v>
      </x:c>
      <x:c r="J143" s="102" t="n">
        <x:v>74.60000000000001</x:v>
      </x:c>
      <x:c r="K143" s="102" t="n">
        <x:v>72.66811440677965</x:v>
      </x:c>
      <x:c r="L143" s="102" t="n">
        <x:v>-0.2848940677966141</x:v>
      </x:c>
      <x:c r="M143" s="102" t="n">
        <x:v>59.675</x:v>
      </x:c>
      <x:c r="N143" s="102" t="n">
        <x:v>-6.75</x:v>
      </x:c>
      <x:c r="O143" s="102" t="n">
        <x:v>9.42</x:v>
      </x:c>
      <x:c r="P143" s="102" t="n">
        <x:v>0</x:v>
      </x:c>
      <x:c r="Q143" s="45" t="str">
        <x:v>MODEL_INFERRED</x:v>
      </x:c>
      <x:c r="R143" s="45" t="str">
        <x:v>SCENARIO_GENERATION</x:v>
      </x:c>
      <x:c r="S143" s="45" t="str">
        <x:v>USER_REVIEW_REQUIRED</x:v>
      </x:c>
    </x:row>
    <x:row r="144">
      <x:c r="A144" s="45" t="str">
        <x:v>RHO_050</x:v>
      </x:c>
      <x:c r="B144" s="45" t="str">
        <x:v>Random-effect correlation = 0.50</x:v>
      </x:c>
      <x:c r="C144" s="45" t="str">
        <x:v>R1</x:v>
      </x:c>
      <x:c r="D144" s="45" t="str">
        <x:v>0–30</x:v>
      </x:c>
      <x:c r="E144" s="45" t="n">
        <x:v>0.625</x:v>
      </x:c>
      <x:c r="F144" s="45" t="n">
        <x:v>12</x:v>
      </x:c>
      <x:c r="G144" s="45" t="str">
        <x:v>INDIA2022_OXA48_KP</x:v>
      </x:c>
      <x:c r="H144" s="45" t="str">
        <x:v>OXA-48-like CR-K. pneumoniae, India</x:v>
      </x:c>
      <x:c r="I144" s="102" t="n">
        <x:v>94.45033088235294</x:v>
      </x:c>
      <x:c r="J144" s="102" t="n">
        <x:v>74.6</x:v>
      </x:c>
      <x:c r="K144" s="102" t="n">
        <x:v>71.38654411764705</x:v>
      </x:c>
      <x:c r="L144" s="102" t="n">
        <x:v>-0.05573529411766742</x:v>
      </x:c>
      <x:c r="M144" s="102" t="n">
        <x:v>59.675</x:v>
      </x:c>
      <x:c r="N144" s="102" t="n">
        <x:v>-6.75</x:v>
      </x:c>
      <x:c r="O144" s="102" t="n">
        <x:v>9.42</x:v>
      </x:c>
      <x:c r="P144" s="102" t="n">
        <x:v>0</x:v>
      </x:c>
      <x:c r="Q144" s="45" t="str">
        <x:v>MODEL_INFERRED</x:v>
      </x:c>
      <x:c r="R144" s="45" t="str">
        <x:v>SCENARIO_GENERATION</x:v>
      </x:c>
      <x:c r="S144" s="45" t="str">
        <x:v>USER_REVIEW_REQUIRED</x:v>
      </x:c>
    </x:row>
    <x:row r="145">
      <x:c r="A145" s="45" t="str">
        <x:v>RHO_050</x:v>
      </x:c>
      <x:c r="B145" s="45" t="str">
        <x:v>Random-effect correlation = 0.50</x:v>
      </x:c>
      <x:c r="C145" s="45" t="str">
        <x:v>R1</x:v>
      </x:c>
      <x:c r="D145" s="45" t="str">
        <x:v>0–30</x:v>
      </x:c>
      <x:c r="E145" s="45" t="n">
        <x:v>0.625</x:v>
      </x:c>
      <x:c r="F145" s="45" t="n">
        <x:v>12</x:v>
      </x:c>
      <x:c r="G145" s="45" t="str">
        <x:v>FR2024_OXA484_SERINE_ONLY</x:v>
      </x:c>
      <x:c r="H145" s="45" t="str">
        <x:v>French OXA-484 Enterobacterales, serine-only</x:v>
      </x:c>
      <x:c r="I145" s="102" t="n">
        <x:v>98.06408333333334</x:v>
      </x:c>
      <x:c r="J145" s="102" t="n">
        <x:v>74.60000000000001</x:v>
      </x:c>
      <x:c r="K145" s="102" t="n">
        <x:v>74.026</x:v>
      </x:c>
      <x:c r="L145" s="102" t="n">
        <x:v>-0.06333333333334679</x:v>
      </x:c>
      <x:c r="M145" s="102" t="n">
        <x:v>59.675</x:v>
      </x:c>
      <x:c r="N145" s="102" t="n">
        <x:v>-6.75</x:v>
      </x:c>
      <x:c r="O145" s="102" t="n">
        <x:v>9.42</x:v>
      </x:c>
      <x:c r="P145" s="102" t="n">
        <x:v>0</x:v>
      </x:c>
      <x:c r="Q145" s="45" t="str">
        <x:v>MODEL_INFERRED</x:v>
      </x:c>
      <x:c r="R145" s="45" t="str">
        <x:v>SCENARIO_GENERATION</x:v>
      </x:c>
      <x:c r="S145" s="45" t="str">
        <x:v>USER_REVIEW_REQUIRED</x:v>
      </x:c>
    </x:row>
    <x:row r="146">
      <x:c r="A146" s="45" t="str">
        <x:v>RHO_050</x:v>
      </x:c>
      <x:c r="B146" s="45" t="str">
        <x:v>Random-effect correlation = 0.50</x:v>
      </x:c>
      <x:c r="C146" s="45" t="str">
        <x:v>R8</x:v>
      </x:c>
      <x:c r="D146" s="45" t="str">
        <x:v>31–60</x:v>
      </x:c>
      <x:c r="E146" s="45" t="n">
        <x:v>2.5</x:v>
      </x:c>
      <x:c r="F146" s="45" t="n">
        <x:v>12</x:v>
      </x:c>
      <x:c r="G146" s="45" t="str">
        <x:v>LEE2022_KPC_KP</x:v>
      </x:c>
      <x:c r="H146" s="45" t="str">
        <x:v>KPC-like CR-K. pneumoniae, ATLAS 2020</x:v>
      </x:c>
      <x:c r="I146" s="102" t="n">
        <x:v>98.2425857519789</x:v>
      </x:c>
      <x:c r="J146" s="102" t="n">
        <x:v>89.47</x:v>
      </x:c>
      <x:c r="K146" s="102" t="n">
        <x:v>88.20558047493402</x:v>
      </x:c>
      <x:c r="L146" s="102" t="n">
        <x:v>-0.2072427440633362</x:v>
      </x:c>
      <x:c r="M146" s="102" t="n">
        <x:v>84.21</x:v>
      </x:c>
      <x:c r="N146" s="102" t="n">
        <x:v>-3.7750000000000057</x:v>
      </x:c>
      <x:c r="O146" s="102" t="n">
        <x:v>9.62</x:v>
      </x:c>
      <x:c r="P146" s="102" t="n">
        <x:v>0</x:v>
      </x:c>
      <x:c r="Q146" s="45" t="str">
        <x:v>MODEL_INFERRED</x:v>
      </x:c>
      <x:c r="R146" s="45" t="str">
        <x:v>SCENARIO_GENERATION</x:v>
      </x:c>
      <x:c r="S146" s="45" t="str">
        <x:v>USER_REVIEW_REQUIRED</x:v>
      </x:c>
    </x:row>
    <x:row r="147">
      <x:c r="A147" s="45" t="str">
        <x:v>RHO_050</x:v>
      </x:c>
      <x:c r="B147" s="45" t="str">
        <x:v>Random-effect correlation = 0.50</x:v>
      </x:c>
      <x:c r="C147" s="45" t="str">
        <x:v>R8</x:v>
      </x:c>
      <x:c r="D147" s="45" t="str">
        <x:v>31–60</x:v>
      </x:c>
      <x:c r="E147" s="45" t="n">
        <x:v>2.5</x:v>
      </x:c>
      <x:c r="F147" s="45" t="n">
        <x:v>12</x:v>
      </x:c>
      <x:c r="G147" s="45" t="str">
        <x:v>LEE2022_OXA_KP</x:v>
      </x:c>
      <x:c r="H147" s="45" t="str">
        <x:v>OXA-like CR-K. pneumoniae, ATLAS 2020</x:v>
      </x:c>
      <x:c r="I147" s="102" t="n">
        <x:v>98.22625000000002</x:v>
      </x:c>
      <x:c r="J147" s="102" t="n">
        <x:v>89.47</x:v>
      </x:c>
      <x:c r="K147" s="102" t="n">
        <x:v>88.0188559322034</x:v>
      </x:c>
      <x:c r="L147" s="102" t="n">
        <x:v>0.0640042372881311</x:v>
      </x:c>
      <x:c r="M147" s="102" t="n">
        <x:v>84.21</x:v>
      </x:c>
      <x:c r="N147" s="102" t="n">
        <x:v>-3.7750000000000057</x:v>
      </x:c>
      <x:c r="O147" s="102" t="n">
        <x:v>9.62</x:v>
      </x:c>
      <x:c r="P147" s="102" t="n">
        <x:v>0</x:v>
      </x:c>
      <x:c r="Q147" s="45" t="str">
        <x:v>MODEL_INFERRED</x:v>
      </x:c>
      <x:c r="R147" s="45" t="str">
        <x:v>SCENARIO_GENERATION</x:v>
      </x:c>
      <x:c r="S147" s="45" t="str">
        <x:v>USER_REVIEW_REQUIRED</x:v>
      </x:c>
    </x:row>
    <x:row r="148">
      <x:c r="A148" s="45" t="str">
        <x:v>RHO_050</x:v>
      </x:c>
      <x:c r="B148" s="45" t="str">
        <x:v>Random-effect correlation = 0.50</x:v>
      </x:c>
      <x:c r="C148" s="45" t="str">
        <x:v>R8</x:v>
      </x:c>
      <x:c r="D148" s="45" t="str">
        <x:v>31–60</x:v>
      </x:c>
      <x:c r="E148" s="45" t="n">
        <x:v>2.5</x:v>
      </x:c>
      <x:c r="F148" s="45" t="n">
        <x:v>12</x:v>
      </x:c>
      <x:c r="G148" s="45" t="str">
        <x:v>INDIA2022_OXA48_KP</x:v>
      </x:c>
      <x:c r="H148" s="45" t="str">
        <x:v>OXA-48-like CR-K. pneumoniae, India</x:v>
      </x:c>
      <x:c r="I148" s="102" t="n">
        <x:v>96.11161764705881</x:v>
      </x:c>
      <x:c r="J148" s="102" t="n">
        <x:v>89.47</x:v>
      </x:c>
      <x:c r="K148" s="102" t="n">
        <x:v>86.07753676470588</x:v>
      </x:c>
      <x:c r="L148" s="102" t="n">
        <x:v>0.11415441176470154</x:v>
      </x:c>
      <x:c r="M148" s="102" t="n">
        <x:v>84.21</x:v>
      </x:c>
      <x:c r="N148" s="102" t="n">
        <x:v>-3.7750000000000057</x:v>
      </x:c>
      <x:c r="O148" s="102" t="n">
        <x:v>9.62</x:v>
      </x:c>
      <x:c r="P148" s="102" t="n">
        <x:v>0</x:v>
      </x:c>
      <x:c r="Q148" s="45" t="str">
        <x:v>MODEL_INFERRED</x:v>
      </x:c>
      <x:c r="R148" s="45" t="str">
        <x:v>SCENARIO_GENERATION</x:v>
      </x:c>
      <x:c r="S148" s="45" t="str">
        <x:v>USER_REVIEW_REQUIRED</x:v>
      </x:c>
    </x:row>
    <x:row r="149">
      <x:c r="A149" s="45" t="str">
        <x:v>RHO_050</x:v>
      </x:c>
      <x:c r="B149" s="45" t="str">
        <x:v>Random-effect correlation = 0.50</x:v>
      </x:c>
      <x:c r="C149" s="45" t="str">
        <x:v>R8</x:v>
      </x:c>
      <x:c r="D149" s="45" t="str">
        <x:v>31–60</x:v>
      </x:c>
      <x:c r="E149" s="45" t="n">
        <x:v>2.5</x:v>
      </x:c>
      <x:c r="F149" s="45" t="n">
        <x:v>12</x:v>
      </x:c>
      <x:c r="G149" s="45" t="str">
        <x:v>FR2024_OXA484_SERINE_ONLY</x:v>
      </x:c>
      <x:c r="H149" s="45" t="str">
        <x:v>French OXA-484 Enterobacterales, serine-only</x:v>
      </x:c>
      <x:c r="I149" s="102" t="n">
        <x:v>99.76208333333334</x:v>
      </x:c>
      <x:c r="J149" s="102" t="n">
        <x:v>89.47000000000001</x:v>
      </x:c>
      <x:c r="K149" s="102" t="n">
        <x:v>89.33733333333333</x:v>
      </x:c>
      <x:c r="L149" s="102" t="n">
        <x:v>0.133000000000024</x:v>
      </x:c>
      <x:c r="M149" s="102" t="n">
        <x:v>84.21</x:v>
      </x:c>
      <x:c r="N149" s="102" t="n">
        <x:v>-3.7750000000000057</x:v>
      </x:c>
      <x:c r="O149" s="102" t="n">
        <x:v>9.62</x:v>
      </x:c>
      <x:c r="P149" s="102" t="n">
        <x:v>0</x:v>
      </x:c>
      <x:c r="Q149" s="45" t="str">
        <x:v>MODEL_INFERRED</x:v>
      </x:c>
      <x:c r="R149" s="45" t="str">
        <x:v>SCENARIO_GENERATION</x:v>
      </x:c>
      <x:c r="S149" s="45" t="str">
        <x:v>USER_REVIEW_REQUIRED</x:v>
      </x:c>
    </x:row>
    <x:row r="150">
      <x:c r="A150" s="45" t="str">
        <x:v>RHO_050</x:v>
      </x:c>
      <x:c r="B150" s="45" t="str">
        <x:v>Random-effect correlation = 0.50</x:v>
      </x:c>
      <x:c r="C150" s="45" t="str">
        <x:v>R10</x:v>
      </x:c>
      <x:c r="D150" s="45" t="str">
        <x:v>61–90</x:v>
      </x:c>
      <x:c r="E150" s="45" t="n">
        <x:v>2.5</x:v>
      </x:c>
      <x:c r="F150" s="45" t="n">
        <x:v>8</x:v>
      </x:c>
      <x:c r="G150" s="45" t="str">
        <x:v>LEE2022_KPC_KP</x:v>
      </x:c>
      <x:c r="H150" s="45" t="str">
        <x:v>KPC-like CR-K. pneumoniae, ATLAS 2020</x:v>
      </x:c>
      <x:c r="I150" s="102" t="n">
        <x:v>98.4327308707124</x:v>
      </x:c>
      <x:c r="J150" s="102" t="n">
        <x:v>88.52499999999999</x:v>
      </x:c>
      <x:c r="K150" s="102" t="n">
        <x:v>87.43160949868076</x:v>
      </x:c>
      <x:c r="L150" s="102" t="n">
        <x:v>0.0024538258575290683</x:v>
      </x:c>
      <x:c r="M150" s="102" t="n">
        <x:v>84.5</x:v>
      </x:c>
      <x:c r="N150" s="102" t="n">
        <x:v>-3.0349999999999966</x:v>
      </x:c>
      <x:c r="O150" s="102" t="n">
        <x:v>10.665</x:v>
      </x:c>
      <x:c r="P150" s="102" t="n">
        <x:v>0</x:v>
      </x:c>
      <x:c r="Q150" s="45" t="str">
        <x:v>MODEL_INFERRED</x:v>
      </x:c>
      <x:c r="R150" s="45" t="str">
        <x:v>SCENARIO_GENERATION</x:v>
      </x:c>
      <x:c r="S150" s="45" t="str">
        <x:v>USER_REVIEW_REQUIRED</x:v>
      </x:c>
    </x:row>
    <x:row r="151">
      <x:c r="A151" s="45" t="str">
        <x:v>RHO_050</x:v>
      </x:c>
      <x:c r="B151" s="45" t="str">
        <x:v>Random-effect correlation = 0.50</x:v>
      </x:c>
      <x:c r="C151" s="45" t="str">
        <x:v>R10</x:v>
      </x:c>
      <x:c r="D151" s="45" t="str">
        <x:v>61–90</x:v>
      </x:c>
      <x:c r="E151" s="45" t="n">
        <x:v>2.5</x:v>
      </x:c>
      <x:c r="F151" s="45" t="n">
        <x:v>8</x:v>
      </x:c>
      <x:c r="G151" s="45" t="str">
        <x:v>LEE2022_OXA_KP</x:v>
      </x:c>
      <x:c r="H151" s="45" t="str">
        <x:v>OXA-like CR-K. pneumoniae, ATLAS 2020</x:v>
      </x:c>
      <x:c r="I151" s="102" t="n">
        <x:v>98.30724576271186</x:v>
      </x:c>
      <x:c r="J151" s="102" t="n">
        <x:v>88.525</x:v>
      </x:c>
      <x:c r="K151" s="102" t="n">
        <x:v>87.15245762711861</x:v>
      </x:c>
      <x:c r="L151" s="102" t="n">
        <x:v>0.23542372881351525</x:v>
      </x:c>
      <x:c r="M151" s="102" t="n">
        <x:v>84.5</x:v>
      </x:c>
      <x:c r="N151" s="102" t="n">
        <x:v>-3.0349999999999966</x:v>
      </x:c>
      <x:c r="O151" s="102" t="n">
        <x:v>10.665</x:v>
      </x:c>
      <x:c r="P151" s="102" t="n">
        <x:v>0</x:v>
      </x:c>
      <x:c r="Q151" s="45" t="str">
        <x:v>MODEL_INFERRED</x:v>
      </x:c>
      <x:c r="R151" s="45" t="str">
        <x:v>SCENARIO_GENERATION</x:v>
      </x:c>
      <x:c r="S151" s="45" t="str">
        <x:v>USER_REVIEW_REQUIRED</x:v>
      </x:c>
    </x:row>
    <x:row r="152">
      <x:c r="A152" s="45" t="str">
        <x:v>RHO_050</x:v>
      </x:c>
      <x:c r="B152" s="45" t="str">
        <x:v>Random-effect correlation = 0.50</x:v>
      </x:c>
      <x:c r="C152" s="45" t="str">
        <x:v>R10</x:v>
      </x:c>
      <x:c r="D152" s="45" t="str">
        <x:v>61–90</x:v>
      </x:c>
      <x:c r="E152" s="45" t="n">
        <x:v>2.5</x:v>
      </x:c>
      <x:c r="F152" s="45" t="n">
        <x:v>8</x:v>
      </x:c>
      <x:c r="G152" s="45" t="str">
        <x:v>INDIA2022_OXA48_KP</x:v>
      </x:c>
      <x:c r="H152" s="45" t="str">
        <x:v>OXA-48-like CR-K. pneumoniae, India</x:v>
      </x:c>
      <x:c r="I152" s="102" t="n">
        <x:v>96.16680147058821</x:v>
      </x:c>
      <x:c r="J152" s="102" t="n">
        <x:v>88.52499999999999</x:v>
      </x:c>
      <x:c r="K152" s="102" t="n">
        <x:v>85.21231617647057</x:v>
      </x:c>
      <x:c r="L152" s="102" t="n">
        <x:v>0.27272058823527345</x:v>
      </x:c>
      <x:c r="M152" s="102" t="n">
        <x:v>84.5</x:v>
      </x:c>
      <x:c r="N152" s="102" t="n">
        <x:v>-3.0349999999999966</x:v>
      </x:c>
      <x:c r="O152" s="102" t="n">
        <x:v>10.665</x:v>
      </x:c>
      <x:c r="P152" s="102" t="n">
        <x:v>0</x:v>
      </x:c>
      <x:c r="Q152" s="45" t="str">
        <x:v>MODEL_INFERRED</x:v>
      </x:c>
      <x:c r="R152" s="45" t="str">
        <x:v>SCENARIO_GENERATION</x:v>
      </x:c>
      <x:c r="S152" s="45" t="str">
        <x:v>USER_REVIEW_REQUIRED</x:v>
      </x:c>
    </x:row>
    <x:row r="153">
      <x:c r="A153" s="45" t="str">
        <x:v>RHO_050</x:v>
      </x:c>
      <x:c r="B153" s="45" t="str">
        <x:v>Random-effect correlation = 0.50</x:v>
      </x:c>
      <x:c r="C153" s="45" t="str">
        <x:v>R10</x:v>
      </x:c>
      <x:c r="D153" s="45" t="str">
        <x:v>61–90</x:v>
      </x:c>
      <x:c r="E153" s="45" t="n">
        <x:v>2.5</x:v>
      </x:c>
      <x:c r="F153" s="45" t="n">
        <x:v>8</x:v>
      </x:c>
      <x:c r="G153" s="45" t="str">
        <x:v>FR2024_OXA484_SERINE_ONLY</x:v>
      </x:c>
      <x:c r="H153" s="45" t="str">
        <x:v>French OXA-484 Enterobacterales, serine-only</x:v>
      </x:c>
      <x:c r="I153" s="102" t="n">
        <x:v>99.80858333333335</x:v>
      </x:c>
      <x:c r="J153" s="102" t="n">
        <x:v>88.52499999999999</x:v>
      </x:c>
      <x:c r="K153" s="102" t="n">
        <x:v>88.42716666666666</x:v>
      </x:c>
      <x:c r="L153" s="102" t="n">
        <x:v>0.29724999999999113</x:v>
      </x:c>
      <x:c r="M153" s="102" t="n">
        <x:v>84.5</x:v>
      </x:c>
      <x:c r="N153" s="102" t="n">
        <x:v>-3.0349999999999966</x:v>
      </x:c>
      <x:c r="O153" s="102" t="n">
        <x:v>10.665</x:v>
      </x:c>
      <x:c r="P153" s="102" t="n">
        <x:v>0</x:v>
      </x:c>
      <x:c r="Q153" s="45" t="str">
        <x:v>MODEL_INFERRED</x:v>
      </x:c>
      <x:c r="R153" s="45" t="str">
        <x:v>SCENARIO_GENERATION</x:v>
      </x:c>
      <x:c r="S153" s="45" t="str">
        <x:v>USER_REVIEW_REQUIRED</x:v>
      </x:c>
    </x:row>
    <x:row r="154">
      <x:c r="A154" s="45" t="str">
        <x:v>RHO_050</x:v>
      </x:c>
      <x:c r="B154" s="45" t="str">
        <x:v>Random-effect correlation = 0.50</x:v>
      </x:c>
      <x:c r="C154" s="45" t="str">
        <x:v>R12</x:v>
      </x:c>
      <x:c r="D154" s="45" t="str">
        <x:v>91–120</x:v>
      </x:c>
      <x:c r="E154" s="45" t="n">
        <x:v>2.5</x:v>
      </x:c>
      <x:c r="F154" s="45" t="n">
        <x:v>6</x:v>
      </x:c>
      <x:c r="G154" s="45" t="str">
        <x:v>LEE2022_KPC_KP</x:v>
      </x:c>
      <x:c r="H154" s="45" t="str">
        <x:v>KPC-like CR-K. pneumoniae, ATLAS 2020</x:v>
      </x:c>
      <x:c r="I154" s="102" t="n">
        <x:v>98.59763852242745</x:v>
      </x:c>
      <x:c r="J154" s="102" t="n">
        <x:v>87.74499999999998</x:v>
      </x:c>
      <x:c r="K154" s="102" t="n">
        <x:v>86.77585751978891</x:v>
      </x:c>
      <x:c r="L154" s="102" t="n">
        <x:v>-0.7148680738786339</x:v>
      </x:c>
      <x:c r="M154" s="102" t="n">
        <x:v>84.375</x:v>
      </x:c>
      <x:c r="N154" s="102" t="n">
        <x:v>-3.385000000000005</x:v>
      </x:c>
      <x:c r="O154" s="102" t="n">
        <x:v>11.82</x:v>
      </x:c>
      <x:c r="P154" s="102" t="n">
        <x:v>0</x:v>
      </x:c>
      <x:c r="Q154" s="45" t="str">
        <x:v>MODEL_INFERRED</x:v>
      </x:c>
      <x:c r="R154" s="45" t="str">
        <x:v>SCENARIO_GENERATION</x:v>
      </x:c>
      <x:c r="S154" s="45" t="str">
        <x:v>USER_REVIEW_REQUIRED</x:v>
      </x:c>
    </x:row>
    <x:row r="155">
      <x:c r="A155" s="45" t="str">
        <x:v>RHO_050</x:v>
      </x:c>
      <x:c r="B155" s="45" t="str">
        <x:v>Random-effect correlation = 0.50</x:v>
      </x:c>
      <x:c r="C155" s="45" t="str">
        <x:v>R12</x:v>
      </x:c>
      <x:c r="D155" s="45" t="str">
        <x:v>91–120</x:v>
      </x:c>
      <x:c r="E155" s="45" t="n">
        <x:v>2.5</x:v>
      </x:c>
      <x:c r="F155" s="45" t="n">
        <x:v>6</x:v>
      </x:c>
      <x:c r="G155" s="45" t="str">
        <x:v>LEE2022_OXA_KP</x:v>
      </x:c>
      <x:c r="H155" s="45" t="str">
        <x:v>OXA-like CR-K. pneumoniae, ATLAS 2020</x:v>
      </x:c>
      <x:c r="I155" s="102" t="n">
        <x:v>98.37855932203391</x:v>
      </x:c>
      <x:c r="J155" s="102" t="n">
        <x:v>87.74499999999999</x:v>
      </x:c>
      <x:c r="K155" s="102" t="n">
        <x:v>86.43459745762712</x:v>
      </x:c>
      <x:c r="L155" s="102" t="n">
        <x:v>-0.5048728813559364</x:v>
      </x:c>
      <x:c r="M155" s="102" t="n">
        <x:v>84.375</x:v>
      </x:c>
      <x:c r="N155" s="102" t="n">
        <x:v>-3.385000000000005</x:v>
      </x:c>
      <x:c r="O155" s="102" t="n">
        <x:v>11.82</x:v>
      </x:c>
      <x:c r="P155" s="102" t="n">
        <x:v>0</x:v>
      </x:c>
      <x:c r="Q155" s="45" t="str">
        <x:v>MODEL_INFERRED</x:v>
      </x:c>
      <x:c r="R155" s="45" t="str">
        <x:v>SCENARIO_GENERATION</x:v>
      </x:c>
      <x:c r="S155" s="45" t="str">
        <x:v>USER_REVIEW_REQUIRED</x:v>
      </x:c>
    </x:row>
    <x:row r="156">
      <x:c r="A156" s="45" t="str">
        <x:v>RHO_050</x:v>
      </x:c>
      <x:c r="B156" s="45" t="str">
        <x:v>Random-effect correlation = 0.50</x:v>
      </x:c>
      <x:c r="C156" s="45" t="str">
        <x:v>R12</x:v>
      </x:c>
      <x:c r="D156" s="45" t="str">
        <x:v>91–120</x:v>
      </x:c>
      <x:c r="E156" s="45" t="n">
        <x:v>2.5</x:v>
      </x:c>
      <x:c r="F156" s="45" t="n">
        <x:v>6</x:v>
      </x:c>
      <x:c r="G156" s="45" t="str">
        <x:v>INDIA2022_OXA48_KP</x:v>
      </x:c>
      <x:c r="H156" s="45" t="str">
        <x:v>OXA-48-like CR-K. pneumoniae, India</x:v>
      </x:c>
      <x:c r="I156" s="102" t="n">
        <x:v>96.21154411764707</x:v>
      </x:c>
      <x:c r="J156" s="102" t="n">
        <x:v>87.74499999999999</x:v>
      </x:c>
      <x:c r="K156" s="102" t="n">
        <x:v>84.49172794117646</x:v>
      </x:c>
      <x:c r="L156" s="102" t="n">
        <x:v>-0.45886029411765605</x:v>
      </x:c>
      <x:c r="M156" s="102" t="n">
        <x:v>84.375</x:v>
      </x:c>
      <x:c r="N156" s="102" t="n">
        <x:v>-3.385000000000005</x:v>
      </x:c>
      <x:c r="O156" s="102" t="n">
        <x:v>11.82</x:v>
      </x:c>
      <x:c r="P156" s="102" t="n">
        <x:v>0</x:v>
      </x:c>
      <x:c r="Q156" s="45" t="str">
        <x:v>MODEL_INFERRED</x:v>
      </x:c>
      <x:c r="R156" s="45" t="str">
        <x:v>SCENARIO_GENERATION</x:v>
      </x:c>
      <x:c r="S156" s="45" t="str">
        <x:v>USER_REVIEW_REQUIRED</x:v>
      </x:c>
    </x:row>
    <x:row r="157">
      <x:c r="A157" s="45" t="str">
        <x:v>RHO_050</x:v>
      </x:c>
      <x:c r="B157" s="45" t="str">
        <x:v>Random-effect correlation = 0.50</x:v>
      </x:c>
      <x:c r="C157" s="45" t="str">
        <x:v>R12</x:v>
      </x:c>
      <x:c r="D157" s="45" t="str">
        <x:v>91–120</x:v>
      </x:c>
      <x:c r="E157" s="45" t="n">
        <x:v>2.5</x:v>
      </x:c>
      <x:c r="F157" s="45" t="n">
        <x:v>6</x:v>
      </x:c>
      <x:c r="G157" s="45" t="str">
        <x:v>FR2024_OXA484_SERINE_ONLY</x:v>
      </x:c>
      <x:c r="H157" s="45" t="str">
        <x:v>French OXA-484 Enterobacterales, serine-only</x:v>
      </x:c>
      <x:c r="I157" s="102" t="n">
        <x:v>99.84516666666667</x:v>
      </x:c>
      <x:c r="J157" s="102" t="n">
        <x:v>87.74499999999999</x:v>
      </x:c>
      <x:c r="K157" s="102" t="n">
        <x:v>87.67233333333333</x:v>
      </x:c>
      <x:c r="L157" s="102" t="n">
        <x:v>-0.4613333333333429</x:v>
      </x:c>
      <x:c r="M157" s="102" t="n">
        <x:v>84.375</x:v>
      </x:c>
      <x:c r="N157" s="102" t="n">
        <x:v>-3.385000000000005</x:v>
      </x:c>
      <x:c r="O157" s="102" t="n">
        <x:v>11.82</x:v>
      </x:c>
      <x:c r="P157" s="102" t="n">
        <x:v>0</x:v>
      </x:c>
      <x:c r="Q157" s="45" t="str">
        <x:v>MODEL_INFERRED</x:v>
      </x:c>
      <x:c r="R157" s="45" t="str">
        <x:v>SCENARIO_GENERATION</x:v>
      </x:c>
      <x:c r="S157" s="45" t="str">
        <x:v>USER_REVIEW_REQUIRED</x:v>
      </x:c>
    </x:row>
    <x:row r="158">
      <x:c r="A158" s="45" t="str">
        <x:v>RHO_050</x:v>
      </x:c>
      <x:c r="B158" s="45" t="str">
        <x:v>Random-effect correlation = 0.50</x:v>
      </x:c>
      <x:c r="C158" s="45" t="str">
        <x:v>R13</x:v>
      </x:c>
      <x:c r="D158" s="45" t="str">
        <x:v>121–150</x:v>
      </x:c>
      <x:c r="E158" s="45" t="n">
        <x:v>2.5</x:v>
      </x:c>
      <x:c r="F158" s="45" t="n">
        <x:v>6</x:v>
      </x:c>
      <x:c r="G158" s="45" t="str">
        <x:v>LEE2022_KPC_KP</x:v>
      </x:c>
      <x:c r="H158" s="45" t="str">
        <x:v>KPC-like CR-K. pneumoniae, ATLAS 2020</x:v>
      </x:c>
      <x:c r="I158" s="102" t="n">
        <x:v>98.02172823218997</x:v>
      </x:c>
      <x:c r="J158" s="102" t="n">
        <x:v>80.60999999999999</x:v>
      </x:c>
      <x:c r="K158" s="102" t="n">
        <x:v>79.45488126649076</x:v>
      </x:c>
      <x:c r="L158" s="102" t="n">
        <x:v>-0.28226912928759873</x:v>
      </x:c>
      <x:c r="M158" s="102" t="n">
        <x:v>75.805</x:v>
      </x:c>
      <x:c r="N158" s="102" t="n">
        <x:v>-4.209999999999994</x:v>
      </x:c>
      <x:c r="O158" s="102" t="n">
        <x:v>7.045</x:v>
      </x:c>
      <x:c r="P158" s="102" t="n">
        <x:v>0</x:v>
      </x:c>
      <x:c r="Q158" s="45" t="str">
        <x:v>MODEL_INFERRED</x:v>
      </x:c>
      <x:c r="R158" s="45" t="str">
        <x:v>SCENARIO_GENERATION</x:v>
      </x:c>
      <x:c r="S158" s="45" t="str">
        <x:v>USER_REVIEW_REQUIRED</x:v>
      </x:c>
    </x:row>
    <x:row r="159">
      <x:c r="A159" s="45" t="str">
        <x:v>RHO_050</x:v>
      </x:c>
      <x:c r="B159" s="45" t="str">
        <x:v>Random-effect correlation = 0.50</x:v>
      </x:c>
      <x:c r="C159" s="45" t="str">
        <x:v>R13</x:v>
      </x:c>
      <x:c r="D159" s="45" t="str">
        <x:v>121–150</x:v>
      </x:c>
      <x:c r="E159" s="45" t="n">
        <x:v>2.5</x:v>
      </x:c>
      <x:c r="F159" s="45" t="n">
        <x:v>6</x:v>
      </x:c>
      <x:c r="G159" s="45" t="str">
        <x:v>LEE2022_OXA_KP</x:v>
      </x:c>
      <x:c r="H159" s="45" t="str">
        <x:v>OXA-like CR-K. pneumoniae, ATLAS 2020</x:v>
      </x:c>
      <x:c r="I159" s="102" t="n">
        <x:v>98.12555084745763</x:v>
      </x:c>
      <x:c r="J159" s="102" t="n">
        <x:v>80.60999999999999</x:v>
      </x:c>
      <x:c r="K159" s="102" t="n">
        <x:v>79.30004237288134</x:v>
      </x:c>
      <x:c r="L159" s="102" t="n">
        <x:v>0.024894067796580543</x:v>
      </x:c>
      <x:c r="M159" s="102" t="n">
        <x:v>75.805</x:v>
      </x:c>
      <x:c r="N159" s="102" t="n">
        <x:v>-4.209999999999994</x:v>
      </x:c>
      <x:c r="O159" s="102" t="n">
        <x:v>7.045</x:v>
      </x:c>
      <x:c r="P159" s="102" t="n">
        <x:v>0</x:v>
      </x:c>
      <x:c r="Q159" s="45" t="str">
        <x:v>MODEL_INFERRED</x:v>
      </x:c>
      <x:c r="R159" s="45" t="str">
        <x:v>SCENARIO_GENERATION</x:v>
      </x:c>
      <x:c r="S159" s="45" t="str">
        <x:v>USER_REVIEW_REQUIRED</x:v>
      </x:c>
    </x:row>
    <x:row r="160">
      <x:c r="A160" s="45" t="str">
        <x:v>RHO_050</x:v>
      </x:c>
      <x:c r="B160" s="45" t="str">
        <x:v>Random-effect correlation = 0.50</x:v>
      </x:c>
      <x:c r="C160" s="45" t="str">
        <x:v>R13</x:v>
      </x:c>
      <x:c r="D160" s="45" t="str">
        <x:v>121–150</x:v>
      </x:c>
      <x:c r="E160" s="45" t="n">
        <x:v>2.5</x:v>
      </x:c>
      <x:c r="F160" s="45" t="n">
        <x:v>6</x:v>
      </x:c>
      <x:c r="G160" s="45" t="str">
        <x:v>INDIA2022_OXA48_KP</x:v>
      </x:c>
      <x:c r="H160" s="45" t="str">
        <x:v>OXA-48-like CR-K. pneumoniae, India</x:v>
      </x:c>
      <x:c r="I160" s="102" t="n">
        <x:v>96.03632352941177</x:v>
      </x:c>
      <x:c r="J160" s="102" t="n">
        <x:v>80.61</x:v>
      </x:c>
      <x:c r="K160" s="102" t="n">
        <x:v>77.54279411764705</x:v>
      </x:c>
      <x:c r="L160" s="102" t="n">
        <x:v>0.07981617647055828</x:v>
      </x:c>
      <x:c r="M160" s="102" t="n">
        <x:v>75.805</x:v>
      </x:c>
      <x:c r="N160" s="102" t="n">
        <x:v>-4.209999999999994</x:v>
      </x:c>
      <x:c r="O160" s="102" t="n">
        <x:v>7.045</x:v>
      </x:c>
      <x:c r="P160" s="102" t="n">
        <x:v>0</x:v>
      </x:c>
      <x:c r="Q160" s="45" t="str">
        <x:v>MODEL_INFERRED</x:v>
      </x:c>
      <x:c r="R160" s="45" t="str">
        <x:v>SCENARIO_GENERATION</x:v>
      </x:c>
      <x:c r="S160" s="45" t="str">
        <x:v>USER_REVIEW_REQUIRED</x:v>
      </x:c>
    </x:row>
    <x:row r="161">
      <x:c r="A161" s="45" t="str">
        <x:v>RHO_050</x:v>
      </x:c>
      <x:c r="B161" s="45" t="str">
        <x:v>Random-effect correlation = 0.50</x:v>
      </x:c>
      <x:c r="C161" s="45" t="str">
        <x:v>R13</x:v>
      </x:c>
      <x:c r="D161" s="45" t="str">
        <x:v>121–150</x:v>
      </x:c>
      <x:c r="E161" s="45" t="n">
        <x:v>2.5</x:v>
      </x:c>
      <x:c r="F161" s="45" t="n">
        <x:v>6</x:v>
      </x:c>
      <x:c r="G161" s="45" t="str">
        <x:v>FR2024_OXA484_SERINE_ONLY</x:v>
      </x:c>
      <x:c r="H161" s="45" t="str">
        <x:v>French OXA-484 Enterobacterales, serine-only</x:v>
      </x:c>
      <x:c r="I161" s="102" t="n">
        <x:v>99.71316666666667</x:v>
      </x:c>
      <x:c r="J161" s="102" t="n">
        <x:v>80.61</x:v>
      </x:c>
      <x:c r="K161" s="102" t="n">
        <x:v>80.49616666666667</x:v>
      </x:c>
      <x:c r="L161" s="102" t="n">
        <x:v>0.10258333333332814</x:v>
      </x:c>
      <x:c r="M161" s="102" t="n">
        <x:v>75.805</x:v>
      </x:c>
      <x:c r="N161" s="102" t="n">
        <x:v>-4.209999999999994</x:v>
      </x:c>
      <x:c r="O161" s="102" t="n">
        <x:v>7.045</x:v>
      </x:c>
      <x:c r="P161" s="102" t="n">
        <x:v>0</x:v>
      </x:c>
      <x:c r="Q161" s="45" t="str">
        <x:v>MODEL_INFERRED</x:v>
      </x:c>
      <x:c r="R161" s="45" t="str">
        <x:v>SCENARIO_GENERATION</x:v>
      </x:c>
      <x:c r="S161" s="45" t="str">
        <x:v>USER_REVIEW_REQUIRED</x:v>
      </x:c>
    </x:row>
    <x:row r="162">
      <x:c r="A162" s="45" t="str">
        <x:v>RHO_000</x:v>
      </x:c>
      <x:c r="B162" s="45" t="str">
        <x:v>Random-effect correlation = 0</x:v>
      </x:c>
      <x:c r="C162" s="45" t="str">
        <x:v>R1</x:v>
      </x:c>
      <x:c r="D162" s="45" t="str">
        <x:v>0–30</x:v>
      </x:c>
      <x:c r="E162" s="45" t="n">
        <x:v>0.625</x:v>
      </x:c>
      <x:c r="F162" s="45" t="n">
        <x:v>12</x:v>
      </x:c>
      <x:c r="G162" s="45" t="str">
        <x:v>LEE2022_KPC_KP</x:v>
      </x:c>
      <x:c r="H162" s="45" t="str">
        <x:v>KPC-like CR-K. pneumoniae, ATLAS 2020</x:v>
      </x:c>
      <x:c r="I162" s="102" t="n">
        <x:v>93.65485488126649</x:v>
      </x:c>
      <x:c r="J162" s="102" t="n">
        <x:v>74.42499999999998</x:v>
      </x:c>
      <x:c r="K162" s="102" t="n">
        <x:v>70.55718997361477</x:v>
      </x:c>
      <x:c r="L162" s="102" t="n">
        <x:v>-2.2469393139841713</x:v>
      </x:c>
      <x:c r="M162" s="102" t="n">
        <x:v>54.574999999999996</x:v>
      </x:c>
      <x:c r="N162" s="102" t="n">
        <x:v>-11.850000000000001</x:v>
      </x:c>
      <x:c r="O162" s="102" t="n">
        <x:v>9.42</x:v>
      </x:c>
      <x:c r="P162" s="102" t="n">
        <x:v>0</x:v>
      </x:c>
      <x:c r="Q162" s="45" t="str">
        <x:v>MODEL_INFERRED</x:v>
      </x:c>
      <x:c r="R162" s="45" t="str">
        <x:v>SCENARIO_GENERATION</x:v>
      </x:c>
      <x:c r="S162" s="45" t="str">
        <x:v>USER_REVIEW_REQUIRED</x:v>
      </x:c>
    </x:row>
    <x:row r="163">
      <x:c r="A163" s="45" t="str">
        <x:v>RHO_000</x:v>
      </x:c>
      <x:c r="B163" s="45" t="str">
        <x:v>Random-effect correlation = 0</x:v>
      </x:c>
      <x:c r="C163" s="45" t="str">
        <x:v>R1</x:v>
      </x:c>
      <x:c r="D163" s="45" t="str">
        <x:v>0–30</x:v>
      </x:c>
      <x:c r="E163" s="45" t="n">
        <x:v>0.625</x:v>
      </x:c>
      <x:c r="F163" s="45" t="n">
        <x:v>12</x:v>
      </x:c>
      <x:c r="G163" s="45" t="str">
        <x:v>LEE2022_OXA_KP</x:v>
      </x:c>
      <x:c r="H163" s="45" t="str">
        <x:v>OXA-like CR-K. pneumoniae, ATLAS 2020</x:v>
      </x:c>
      <x:c r="I163" s="102" t="n">
        <x:v>95.5652966101695</x:v>
      </x:c>
      <x:c r="J163" s="102" t="n">
        <x:v>74.425</x:v>
      </x:c>
      <x:c r="K163" s="102" t="n">
        <x:v>71.64817796610168</x:v>
      </x:c>
      <x:c r="L163" s="102" t="n">
        <x:v>-1.3048305084745806</x:v>
      </x:c>
      <x:c r="M163" s="102" t="n">
        <x:v>54.574999999999996</x:v>
      </x:c>
      <x:c r="N163" s="102" t="n">
        <x:v>-11.850000000000001</x:v>
      </x:c>
      <x:c r="O163" s="102" t="n">
        <x:v>9.42</x:v>
      </x:c>
      <x:c r="P163" s="102" t="n">
        <x:v>0</x:v>
      </x:c>
      <x:c r="Q163" s="45" t="str">
        <x:v>MODEL_INFERRED</x:v>
      </x:c>
      <x:c r="R163" s="45" t="str">
        <x:v>SCENARIO_GENERATION</x:v>
      </x:c>
      <x:c r="S163" s="45" t="str">
        <x:v>USER_REVIEW_REQUIRED</x:v>
      </x:c>
    </x:row>
    <x:row r="164">
      <x:c r="A164" s="45" t="str">
        <x:v>RHO_000</x:v>
      </x:c>
      <x:c r="B164" s="45" t="str">
        <x:v>Random-effect correlation = 0</x:v>
      </x:c>
      <x:c r="C164" s="45" t="str">
        <x:v>R1</x:v>
      </x:c>
      <x:c r="D164" s="45" t="str">
        <x:v>0–30</x:v>
      </x:c>
      <x:c r="E164" s="45" t="n">
        <x:v>0.625</x:v>
      </x:c>
      <x:c r="F164" s="45" t="n">
        <x:v>12</x:v>
      </x:c>
      <x:c r="G164" s="45" t="str">
        <x:v>INDIA2022_OXA48_KP</x:v>
      </x:c>
      <x:c r="H164" s="45" t="str">
        <x:v>OXA-48-like CR-K. pneumoniae, India</x:v>
      </x:c>
      <x:c r="I164" s="102" t="n">
        <x:v>94.45033088235294</x:v>
      </x:c>
      <x:c r="J164" s="102" t="n">
        <x:v>74.425</x:v>
      </x:c>
      <x:c r="K164" s="102" t="n">
        <x:v>70.65742647058822</x:v>
      </x:c>
      <x:c r="L164" s="102" t="n">
        <x:v>-0.7848529411764957</x:v>
      </x:c>
      <x:c r="M164" s="102" t="n">
        <x:v>54.574999999999996</x:v>
      </x:c>
      <x:c r="N164" s="102" t="n">
        <x:v>-11.850000000000001</x:v>
      </x:c>
      <x:c r="O164" s="102" t="n">
        <x:v>9.42</x:v>
      </x:c>
      <x:c r="P164" s="102" t="n">
        <x:v>0</x:v>
      </x:c>
      <x:c r="Q164" s="45" t="str">
        <x:v>MODEL_INFERRED</x:v>
      </x:c>
      <x:c r="R164" s="45" t="str">
        <x:v>SCENARIO_GENERATION</x:v>
      </x:c>
      <x:c r="S164" s="45" t="str">
        <x:v>USER_REVIEW_REQUIRED</x:v>
      </x:c>
    </x:row>
    <x:row r="165">
      <x:c r="A165" s="45" t="str">
        <x:v>RHO_000</x:v>
      </x:c>
      <x:c r="B165" s="45" t="str">
        <x:v>Random-effect correlation = 0</x:v>
      </x:c>
      <x:c r="C165" s="45" t="str">
        <x:v>R1</x:v>
      </x:c>
      <x:c r="D165" s="45" t="str">
        <x:v>0–30</x:v>
      </x:c>
      <x:c r="E165" s="45" t="n">
        <x:v>0.625</x:v>
      </x:c>
      <x:c r="F165" s="45" t="n">
        <x:v>12</x:v>
      </x:c>
      <x:c r="G165" s="45" t="str">
        <x:v>FR2024_OXA484_SERINE_ONLY</x:v>
      </x:c>
      <x:c r="H165" s="45" t="str">
        <x:v>French OXA-484 Enterobacterales, serine-only</x:v>
      </x:c>
      <x:c r="I165" s="102" t="n">
        <x:v>98.06408333333334</x:v>
      </x:c>
      <x:c r="J165" s="102" t="n">
        <x:v>74.42499999999998</x:v>
      </x:c>
      <x:c r="K165" s="102" t="n">
        <x:v>73.30758333333333</x:v>
      </x:c>
      <x:c r="L165" s="102" t="n">
        <x:v>-0.7817500000000166</x:v>
      </x:c>
      <x:c r="M165" s="102" t="n">
        <x:v>54.574999999999996</x:v>
      </x:c>
      <x:c r="N165" s="102" t="n">
        <x:v>-11.850000000000001</x:v>
      </x:c>
      <x:c r="O165" s="102" t="n">
        <x:v>9.42</x:v>
      </x:c>
      <x:c r="P165" s="102" t="n">
        <x:v>0</x:v>
      </x:c>
      <x:c r="Q165" s="45" t="str">
        <x:v>MODEL_INFERRED</x:v>
      </x:c>
      <x:c r="R165" s="45" t="str">
        <x:v>SCENARIO_GENERATION</x:v>
      </x:c>
      <x:c r="S165" s="45" t="str">
        <x:v>USER_REVIEW_REQUIRED</x:v>
      </x:c>
    </x:row>
    <x:row r="166">
      <x:c r="A166" s="45" t="str">
        <x:v>RHO_000</x:v>
      </x:c>
      <x:c r="B166" s="45" t="str">
        <x:v>Random-effect correlation = 0</x:v>
      </x:c>
      <x:c r="C166" s="45" t="str">
        <x:v>R8</x:v>
      </x:c>
      <x:c r="D166" s="45" t="str">
        <x:v>31–60</x:v>
      </x:c>
      <x:c r="E166" s="45" t="n">
        <x:v>2.5</x:v>
      </x:c>
      <x:c r="F166" s="45" t="n">
        <x:v>12</x:v>
      </x:c>
      <x:c r="G166" s="45" t="str">
        <x:v>LEE2022_KPC_KP</x:v>
      </x:c>
      <x:c r="H166" s="45" t="str">
        <x:v>KPC-like CR-K. pneumoniae, ATLAS 2020</x:v>
      </x:c>
      <x:c r="I166" s="102" t="n">
        <x:v>98.2425857519789</x:v>
      </x:c>
      <x:c r="J166" s="102" t="n">
        <x:v>89.55999999999999</x:v>
      </x:c>
      <x:c r="K166" s="102" t="n">
        <x:v>88.00085751978892</x:v>
      </x:c>
      <x:c r="L166" s="102" t="n">
        <x:v>-0.4119656992084373</x:v>
      </x:c>
      <x:c r="M166" s="102" t="n">
        <x:v>82.245</x:v>
      </x:c>
      <x:c r="N166" s="102" t="n">
        <x:v>-5.739999999999995</x:v>
      </x:c>
      <x:c r="O166" s="102" t="n">
        <x:v>9.62</x:v>
      </x:c>
      <x:c r="P166" s="102" t="n">
        <x:v>0</x:v>
      </x:c>
      <x:c r="Q166" s="45" t="str">
        <x:v>MODEL_INFERRED</x:v>
      </x:c>
      <x:c r="R166" s="45" t="str">
        <x:v>SCENARIO_GENERATION</x:v>
      </x:c>
      <x:c r="S166" s="45" t="str">
        <x:v>USER_REVIEW_REQUIRED</x:v>
      </x:c>
    </x:row>
    <x:row r="167">
      <x:c r="A167" s="45" t="str">
        <x:v>RHO_000</x:v>
      </x:c>
      <x:c r="B167" s="45" t="str">
        <x:v>Random-effect correlation = 0</x:v>
      </x:c>
      <x:c r="C167" s="45" t="str">
        <x:v>R8</x:v>
      </x:c>
      <x:c r="D167" s="45" t="str">
        <x:v>31–60</x:v>
      </x:c>
      <x:c r="E167" s="45" t="n">
        <x:v>2.5</x:v>
      </x:c>
      <x:c r="F167" s="45" t="n">
        <x:v>12</x:v>
      </x:c>
      <x:c r="G167" s="45" t="str">
        <x:v>LEE2022_OXA_KP</x:v>
      </x:c>
      <x:c r="H167" s="45" t="str">
        <x:v>OXA-like CR-K. pneumoniae, ATLAS 2020</x:v>
      </x:c>
      <x:c r="I167" s="102" t="n">
        <x:v>98.22625000000002</x:v>
      </x:c>
      <x:c r="J167" s="102" t="n">
        <x:v>89.56000000000002</x:v>
      </x:c>
      <x:c r="K167" s="102" t="n">
        <x:v>87.97625000000002</x:v>
      </x:c>
      <x:c r="L167" s="102" t="n">
        <x:v>0.021398305084758817</x:v>
      </x:c>
      <x:c r="M167" s="102" t="n">
        <x:v>82.245</x:v>
      </x:c>
      <x:c r="N167" s="102" t="n">
        <x:v>-5.739999999999995</x:v>
      </x:c>
      <x:c r="O167" s="102" t="n">
        <x:v>9.62</x:v>
      </x:c>
      <x:c r="P167" s="102" t="n">
        <x:v>0</x:v>
      </x:c>
      <x:c r="Q167" s="45" t="str">
        <x:v>MODEL_INFERRED</x:v>
      </x:c>
      <x:c r="R167" s="45" t="str">
        <x:v>SCENARIO_GENERATION</x:v>
      </x:c>
      <x:c r="S167" s="45" t="str">
        <x:v>USER_REVIEW_REQUIRED</x:v>
      </x:c>
    </x:row>
    <x:row r="168">
      <x:c r="A168" s="45" t="str">
        <x:v>RHO_000</x:v>
      </x:c>
      <x:c r="B168" s="45" t="str">
        <x:v>Random-effect correlation = 0</x:v>
      </x:c>
      <x:c r="C168" s="45" t="str">
        <x:v>R8</x:v>
      </x:c>
      <x:c r="D168" s="45" t="str">
        <x:v>31–60</x:v>
      </x:c>
      <x:c r="E168" s="45" t="n">
        <x:v>2.5</x:v>
      </x:c>
      <x:c r="F168" s="45" t="n">
        <x:v>12</x:v>
      </x:c>
      <x:c r="G168" s="45" t="str">
        <x:v>INDIA2022_OXA48_KP</x:v>
      </x:c>
      <x:c r="H168" s="45" t="str">
        <x:v>OXA-48-like CR-K. pneumoniae, India</x:v>
      </x:c>
      <x:c r="I168" s="102" t="n">
        <x:v>96.11161764705881</x:v>
      </x:c>
      <x:c r="J168" s="102" t="n">
        <x:v>89.55999999999997</x:v>
      </x:c>
      <x:c r="K168" s="102" t="n">
        <x:v>86.08128676470588</x:v>
      </x:c>
      <x:c r="L168" s="102" t="n">
        <x:v>0.11790441176469812</x:v>
      </x:c>
      <x:c r="M168" s="102" t="n">
        <x:v>82.245</x:v>
      </x:c>
      <x:c r="N168" s="102" t="n">
        <x:v>-5.739999999999995</x:v>
      </x:c>
      <x:c r="O168" s="102" t="n">
        <x:v>9.62</x:v>
      </x:c>
      <x:c r="P168" s="102" t="n">
        <x:v>0</x:v>
      </x:c>
      <x:c r="Q168" s="45" t="str">
        <x:v>MODEL_INFERRED</x:v>
      </x:c>
      <x:c r="R168" s="45" t="str">
        <x:v>SCENARIO_GENERATION</x:v>
      </x:c>
      <x:c r="S168" s="45" t="str">
        <x:v>USER_REVIEW_REQUIRED</x:v>
      </x:c>
    </x:row>
    <x:row r="169">
      <x:c r="A169" s="45" t="str">
        <x:v>RHO_000</x:v>
      </x:c>
      <x:c r="B169" s="45" t="str">
        <x:v>Random-effect correlation = 0</x:v>
      </x:c>
      <x:c r="C169" s="45" t="str">
        <x:v>R8</x:v>
      </x:c>
      <x:c r="D169" s="45" t="str">
        <x:v>31–60</x:v>
      </x:c>
      <x:c r="E169" s="45" t="n">
        <x:v>2.5</x:v>
      </x:c>
      <x:c r="F169" s="45" t="n">
        <x:v>12</x:v>
      </x:c>
      <x:c r="G169" s="45" t="str">
        <x:v>FR2024_OXA484_SERINE_ONLY</x:v>
      </x:c>
      <x:c r="H169" s="45" t="str">
        <x:v>French OXA-484 Enterobacterales, serine-only</x:v>
      </x:c>
      <x:c r="I169" s="102" t="n">
        <x:v>99.76208333333334</x:v>
      </x:c>
      <x:c r="J169" s="102" t="n">
        <x:v>89.55999999999999</x:v>
      </x:c>
      <x:c r="K169" s="102" t="n">
        <x:v>89.34908333333333</x:v>
      </x:c>
      <x:c r="L169" s="102" t="n">
        <x:v>0.14475000000001614</x:v>
      </x:c>
      <x:c r="M169" s="102" t="n">
        <x:v>82.245</x:v>
      </x:c>
      <x:c r="N169" s="102" t="n">
        <x:v>-5.739999999999995</x:v>
      </x:c>
      <x:c r="O169" s="102" t="n">
        <x:v>9.62</x:v>
      </x:c>
      <x:c r="P169" s="102" t="n">
        <x:v>0</x:v>
      </x:c>
      <x:c r="Q169" s="45" t="str">
        <x:v>MODEL_INFERRED</x:v>
      </x:c>
      <x:c r="R169" s="45" t="str">
        <x:v>SCENARIO_GENERATION</x:v>
      </x:c>
      <x:c r="S169" s="45" t="str">
        <x:v>USER_REVIEW_REQUIRED</x:v>
      </x:c>
    </x:row>
    <x:row r="170">
      <x:c r="A170" s="45" t="str">
        <x:v>RHO_000</x:v>
      </x:c>
      <x:c r="B170" s="45" t="str">
        <x:v>Random-effect correlation = 0</x:v>
      </x:c>
      <x:c r="C170" s="45" t="str">
        <x:v>R10</x:v>
      </x:c>
      <x:c r="D170" s="45" t="str">
        <x:v>61–90</x:v>
      </x:c>
      <x:c r="E170" s="45" t="n">
        <x:v>2.5</x:v>
      </x:c>
      <x:c r="F170" s="45" t="n">
        <x:v>8</x:v>
      </x:c>
      <x:c r="G170" s="45" t="str">
        <x:v>LEE2022_KPC_KP</x:v>
      </x:c>
      <x:c r="H170" s="45" t="str">
        <x:v>KPC-like CR-K. pneumoniae, ATLAS 2020</x:v>
      </x:c>
      <x:c r="I170" s="102" t="n">
        <x:v>98.4327308707124</x:v>
      </x:c>
      <x:c r="J170" s="102" t="n">
        <x:v>88.85499999999999</x:v>
      </x:c>
      <x:c r="K170" s="102" t="n">
        <x:v>87.46660949868075</x:v>
      </x:c>
      <x:c r="L170" s="102" t="n">
        <x:v>0.03745382585752566</x:v>
      </x:c>
      <x:c r="M170" s="102" t="n">
        <x:v>82.81500000000001</x:v>
      </x:c>
      <x:c r="N170" s="102" t="n">
        <x:v>-4.719999999999985</x:v>
      </x:c>
      <x:c r="O170" s="102" t="n">
        <x:v>10.665</x:v>
      </x:c>
      <x:c r="P170" s="102" t="n">
        <x:v>0</x:v>
      </x:c>
      <x:c r="Q170" s="45" t="str">
        <x:v>MODEL_INFERRED</x:v>
      </x:c>
      <x:c r="R170" s="45" t="str">
        <x:v>SCENARIO_GENERATION</x:v>
      </x:c>
      <x:c r="S170" s="45" t="str">
        <x:v>USER_REVIEW_REQUIRED</x:v>
      </x:c>
    </x:row>
    <x:row r="171">
      <x:c r="A171" s="45" t="str">
        <x:v>RHO_000</x:v>
      </x:c>
      <x:c r="B171" s="45" t="str">
        <x:v>Random-effect correlation = 0</x:v>
      </x:c>
      <x:c r="C171" s="45" t="str">
        <x:v>R10</x:v>
      </x:c>
      <x:c r="D171" s="45" t="str">
        <x:v>61–90</x:v>
      </x:c>
      <x:c r="E171" s="45" t="n">
        <x:v>2.5</x:v>
      </x:c>
      <x:c r="F171" s="45" t="n">
        <x:v>8</x:v>
      </x:c>
      <x:c r="G171" s="45" t="str">
        <x:v>LEE2022_OXA_KP</x:v>
      </x:c>
      <x:c r="H171" s="45" t="str">
        <x:v>OXA-like CR-K. pneumoniae, ATLAS 2020</x:v>
      </x:c>
      <x:c r="I171" s="102" t="n">
        <x:v>98.30724576271186</x:v>
      </x:c>
      <x:c r="J171" s="102" t="n">
        <x:v>88.85499999999998</x:v>
      </x:c>
      <x:c r="K171" s="102" t="n">
        <x:v>87.34838983050848</x:v>
      </x:c>
      <x:c r="L171" s="102" t="n">
        <x:v>0.4313559322033882</x:v>
      </x:c>
      <x:c r="M171" s="102" t="n">
        <x:v>82.81500000000001</x:v>
      </x:c>
      <x:c r="N171" s="102" t="n">
        <x:v>-4.719999999999985</x:v>
      </x:c>
      <x:c r="O171" s="102" t="n">
        <x:v>10.665</x:v>
      </x:c>
      <x:c r="P171" s="102" t="n">
        <x:v>0</x:v>
      </x:c>
      <x:c r="Q171" s="45" t="str">
        <x:v>MODEL_INFERRED</x:v>
      </x:c>
      <x:c r="R171" s="45" t="str">
        <x:v>SCENARIO_GENERATION</x:v>
      </x:c>
      <x:c r="S171" s="45" t="str">
        <x:v>USER_REVIEW_REQUIRED</x:v>
      </x:c>
    </x:row>
    <x:row r="172">
      <x:c r="A172" s="45" t="str">
        <x:v>RHO_000</x:v>
      </x:c>
      <x:c r="B172" s="45" t="str">
        <x:v>Random-effect correlation = 0</x:v>
      </x:c>
      <x:c r="C172" s="45" t="str">
        <x:v>R10</x:v>
      </x:c>
      <x:c r="D172" s="45" t="str">
        <x:v>61–90</x:v>
      </x:c>
      <x:c r="E172" s="45" t="n">
        <x:v>2.5</x:v>
      </x:c>
      <x:c r="F172" s="45" t="n">
        <x:v>8</x:v>
      </x:c>
      <x:c r="G172" s="45" t="str">
        <x:v>INDIA2022_OXA48_KP</x:v>
      </x:c>
      <x:c r="H172" s="45" t="str">
        <x:v>OXA-48-like CR-K. pneumoniae, India</x:v>
      </x:c>
      <x:c r="I172" s="102" t="n">
        <x:v>96.16680147058821</x:v>
      </x:c>
      <x:c r="J172" s="102" t="n">
        <x:v>88.85499999999998</x:v>
      </x:c>
      <x:c r="K172" s="102" t="n">
        <x:v>85.44838235294117</x:v>
      </x:c>
      <x:c r="L172" s="102" t="n">
        <x:v>0.5087867647058744</x:v>
      </x:c>
      <x:c r="M172" s="102" t="n">
        <x:v>82.81500000000001</x:v>
      </x:c>
      <x:c r="N172" s="102" t="n">
        <x:v>-4.719999999999985</x:v>
      </x:c>
      <x:c r="O172" s="102" t="n">
        <x:v>10.665</x:v>
      </x:c>
      <x:c r="P172" s="102" t="n">
        <x:v>0</x:v>
      </x:c>
      <x:c r="Q172" s="45" t="str">
        <x:v>MODEL_INFERRED</x:v>
      </x:c>
      <x:c r="R172" s="45" t="str">
        <x:v>SCENARIO_GENERATION</x:v>
      </x:c>
      <x:c r="S172" s="45" t="str">
        <x:v>USER_REVIEW_REQUIRED</x:v>
      </x:c>
    </x:row>
    <x:row r="173">
      <x:c r="A173" s="45" t="str">
        <x:v>RHO_000</x:v>
      </x:c>
      <x:c r="B173" s="45" t="str">
        <x:v>Random-effect correlation = 0</x:v>
      </x:c>
      <x:c r="C173" s="45" t="str">
        <x:v>R10</x:v>
      </x:c>
      <x:c r="D173" s="45" t="str">
        <x:v>61–90</x:v>
      </x:c>
      <x:c r="E173" s="45" t="n">
        <x:v>2.5</x:v>
      </x:c>
      <x:c r="F173" s="45" t="n">
        <x:v>8</x:v>
      </x:c>
      <x:c r="G173" s="45" t="str">
        <x:v>FR2024_OXA484_SERINE_ONLY</x:v>
      </x:c>
      <x:c r="H173" s="45" t="str">
        <x:v>French OXA-484 Enterobacterales, serine-only</x:v>
      </x:c>
      <x:c r="I173" s="102" t="n">
        <x:v>99.80858333333335</x:v>
      </x:c>
      <x:c r="J173" s="102" t="n">
        <x:v>88.85499999999999</x:v>
      </x:c>
      <x:c r="K173" s="102" t="n">
        <x:v>88.68183333333333</x:v>
      </x:c>
      <x:c r="L173" s="102" t="n">
        <x:v>0.5519166666666564</x:v>
      </x:c>
      <x:c r="M173" s="102" t="n">
        <x:v>82.81500000000001</x:v>
      </x:c>
      <x:c r="N173" s="102" t="n">
        <x:v>-4.719999999999985</x:v>
      </x:c>
      <x:c r="O173" s="102" t="n">
        <x:v>10.665</x:v>
      </x:c>
      <x:c r="P173" s="102" t="n">
        <x:v>0</x:v>
      </x:c>
      <x:c r="Q173" s="45" t="str">
        <x:v>MODEL_INFERRED</x:v>
      </x:c>
      <x:c r="R173" s="45" t="str">
        <x:v>SCENARIO_GENERATION</x:v>
      </x:c>
      <x:c r="S173" s="45" t="str">
        <x:v>USER_REVIEW_REQUIRED</x:v>
      </x:c>
    </x:row>
    <x:row r="174">
      <x:c r="A174" s="45" t="str">
        <x:v>RHO_000</x:v>
      </x:c>
      <x:c r="B174" s="45" t="str">
        <x:v>Random-effect correlation = 0</x:v>
      </x:c>
      <x:c r="C174" s="45" t="str">
        <x:v>R12</x:v>
      </x:c>
      <x:c r="D174" s="45" t="str">
        <x:v>91–120</x:v>
      </x:c>
      <x:c r="E174" s="45" t="n">
        <x:v>2.5</x:v>
      </x:c>
      <x:c r="F174" s="45" t="n">
        <x:v>6</x:v>
      </x:c>
      <x:c r="G174" s="45" t="str">
        <x:v>LEE2022_KPC_KP</x:v>
      </x:c>
      <x:c r="H174" s="45" t="str">
        <x:v>KPC-like CR-K. pneumoniae, ATLAS 2020</x:v>
      </x:c>
      <x:c r="I174" s="102" t="n">
        <x:v>98.59763852242745</x:v>
      </x:c>
      <x:c r="J174" s="102" t="n">
        <x:v>87.885</x:v>
      </x:c>
      <x:c r="K174" s="102" t="n">
        <x:v>86.65047493403694</x:v>
      </x:c>
      <x:c r="L174" s="102" t="n">
        <x:v>-0.8402506596306125</x:v>
      </x:c>
      <x:c r="M174" s="102" t="n">
        <x:v>82.685</x:v>
      </x:c>
      <x:c r="N174" s="102" t="n">
        <x:v>-5.075000000000003</x:v>
      </x:c>
      <x:c r="O174" s="102" t="n">
        <x:v>11.82</x:v>
      </x:c>
      <x:c r="P174" s="102" t="n">
        <x:v>0</x:v>
      </x:c>
      <x:c r="Q174" s="45" t="str">
        <x:v>MODEL_INFERRED</x:v>
      </x:c>
      <x:c r="R174" s="45" t="str">
        <x:v>SCENARIO_GENERATION</x:v>
      </x:c>
      <x:c r="S174" s="45" t="str">
        <x:v>USER_REVIEW_REQUIRED</x:v>
      </x:c>
    </x:row>
    <x:row r="175">
      <x:c r="A175" s="45" t="str">
        <x:v>RHO_000</x:v>
      </x:c>
      <x:c r="B175" s="45" t="str">
        <x:v>Random-effect correlation = 0</x:v>
      </x:c>
      <x:c r="C175" s="45" t="str">
        <x:v>R12</x:v>
      </x:c>
      <x:c r="D175" s="45" t="str">
        <x:v>91–120</x:v>
      </x:c>
      <x:c r="E175" s="45" t="n">
        <x:v>2.5</x:v>
      </x:c>
      <x:c r="F175" s="45" t="n">
        <x:v>6</x:v>
      </x:c>
      <x:c r="G175" s="45" t="str">
        <x:v>LEE2022_OXA_KP</x:v>
      </x:c>
      <x:c r="H175" s="45" t="str">
        <x:v>OXA-like CR-K. pneumoniae, ATLAS 2020</x:v>
      </x:c>
      <x:c r="I175" s="102" t="n">
        <x:v>98.37855932203391</x:v>
      </x:c>
      <x:c r="J175" s="102" t="n">
        <x:v>87.885</x:v>
      </x:c>
      <x:c r="K175" s="102" t="n">
        <x:v>86.46004237288138</x:v>
      </x:c>
      <x:c r="L175" s="102" t="n">
        <x:v>-0.4794279661016816</x:v>
      </x:c>
      <x:c r="M175" s="102" t="n">
        <x:v>82.685</x:v>
      </x:c>
      <x:c r="N175" s="102" t="n">
        <x:v>-5.075000000000003</x:v>
      </x:c>
      <x:c r="O175" s="102" t="n">
        <x:v>11.82</x:v>
      </x:c>
      <x:c r="P175" s="102" t="n">
        <x:v>0</x:v>
      </x:c>
      <x:c r="Q175" s="45" t="str">
        <x:v>MODEL_INFERRED</x:v>
      </x:c>
      <x:c r="R175" s="45" t="str">
        <x:v>SCENARIO_GENERATION</x:v>
      </x:c>
      <x:c r="S175" s="45" t="str">
        <x:v>USER_REVIEW_REQUIRED</x:v>
      </x:c>
    </x:row>
    <x:row r="176">
      <x:c r="A176" s="45" t="str">
        <x:v>RHO_000</x:v>
      </x:c>
      <x:c r="B176" s="45" t="str">
        <x:v>Random-effect correlation = 0</x:v>
      </x:c>
      <x:c r="C176" s="45" t="str">
        <x:v>R12</x:v>
      </x:c>
      <x:c r="D176" s="45" t="str">
        <x:v>91–120</x:v>
      </x:c>
      <x:c r="E176" s="45" t="n">
        <x:v>2.5</x:v>
      </x:c>
      <x:c r="F176" s="45" t="n">
        <x:v>6</x:v>
      </x:c>
      <x:c r="G176" s="45" t="str">
        <x:v>INDIA2022_OXA48_KP</x:v>
      </x:c>
      <x:c r="H176" s="45" t="str">
        <x:v>OXA-48-like CR-K. pneumoniae, India</x:v>
      </x:c>
      <x:c r="I176" s="102" t="n">
        <x:v>96.21154411764707</x:v>
      </x:c>
      <x:c r="J176" s="102" t="n">
        <x:v>87.88499999999999</x:v>
      </x:c>
      <x:c r="K176" s="102" t="n">
        <x:v>84.55573529411764</x:v>
      </x:c>
      <x:c r="L176" s="102" t="n">
        <x:v>-0.39485294117648095</x:v>
      </x:c>
      <x:c r="M176" s="102" t="n">
        <x:v>82.685</x:v>
      </x:c>
      <x:c r="N176" s="102" t="n">
        <x:v>-5.075000000000003</x:v>
      </x:c>
      <x:c r="O176" s="102" t="n">
        <x:v>11.82</x:v>
      </x:c>
      <x:c r="P176" s="102" t="n">
        <x:v>0</x:v>
      </x:c>
      <x:c r="Q176" s="45" t="str">
        <x:v>MODEL_INFERRED</x:v>
      </x:c>
      <x:c r="R176" s="45" t="str">
        <x:v>SCENARIO_GENERATION</x:v>
      </x:c>
      <x:c r="S176" s="45" t="str">
        <x:v>USER_REVIEW_REQUIRED</x:v>
      </x:c>
    </x:row>
    <x:row r="177">
      <x:c r="A177" s="45" t="str">
        <x:v>RHO_000</x:v>
      </x:c>
      <x:c r="B177" s="45" t="str">
        <x:v>Random-effect correlation = 0</x:v>
      </x:c>
      <x:c r="C177" s="45" t="str">
        <x:v>R12</x:v>
      </x:c>
      <x:c r="D177" s="45" t="str">
        <x:v>91–120</x:v>
      </x:c>
      <x:c r="E177" s="45" t="n">
        <x:v>2.5</x:v>
      </x:c>
      <x:c r="F177" s="45" t="n">
        <x:v>6</x:v>
      </x:c>
      <x:c r="G177" s="45" t="str">
        <x:v>FR2024_OXA484_SERINE_ONLY</x:v>
      </x:c>
      <x:c r="H177" s="45" t="str">
        <x:v>French OXA-484 Enterobacterales, serine-only</x:v>
      </x:c>
      <x:c r="I177" s="102" t="n">
        <x:v>99.84516666666667</x:v>
      </x:c>
      <x:c r="J177" s="102" t="n">
        <x:v>87.88499999999999</x:v>
      </x:c>
      <x:c r="K177" s="102" t="n">
        <x:v>87.74883333333334</x:v>
      </x:c>
      <x:c r="L177" s="102" t="n">
        <x:v>-0.3848333333333329</x:v>
      </x:c>
      <x:c r="M177" s="102" t="n">
        <x:v>82.685</x:v>
      </x:c>
      <x:c r="N177" s="102" t="n">
        <x:v>-5.075000000000003</x:v>
      </x:c>
      <x:c r="O177" s="102" t="n">
        <x:v>11.82</x:v>
      </x:c>
      <x:c r="P177" s="102" t="n">
        <x:v>0</x:v>
      </x:c>
      <x:c r="Q177" s="45" t="str">
        <x:v>MODEL_INFERRED</x:v>
      </x:c>
      <x:c r="R177" s="45" t="str">
        <x:v>SCENARIO_GENERATION</x:v>
      </x:c>
      <x:c r="S177" s="45" t="str">
        <x:v>USER_REVIEW_REQUIRED</x:v>
      </x:c>
    </x:row>
    <x:row r="178">
      <x:c r="A178" s="45" t="str">
        <x:v>RHO_000</x:v>
      </x:c>
      <x:c r="B178" s="45" t="str">
        <x:v>Random-effect correlation = 0</x:v>
      </x:c>
      <x:c r="C178" s="45" t="str">
        <x:v>R13</x:v>
      </x:c>
      <x:c r="D178" s="45" t="str">
        <x:v>121–150</x:v>
      </x:c>
      <x:c r="E178" s="45" t="n">
        <x:v>2.5</x:v>
      </x:c>
      <x:c r="F178" s="45" t="n">
        <x:v>6</x:v>
      </x:c>
      <x:c r="G178" s="45" t="str">
        <x:v>LEE2022_KPC_KP</x:v>
      </x:c>
      <x:c r="H178" s="45" t="str">
        <x:v>KPC-like CR-K. pneumoniae, ATLAS 2020</x:v>
      </x:c>
      <x:c r="I178" s="102" t="n">
        <x:v>98.02172823218997</x:v>
      </x:c>
      <x:c r="J178" s="102" t="n">
        <x:v>80.92999999999999</x:v>
      </x:c>
      <x:c r="K178" s="102" t="n">
        <x:v>79.3421635883905</x:v>
      </x:c>
      <x:c r="L178" s="102" t="n">
        <x:v>-0.39498680738785197</x:v>
      </x:c>
      <x:c r="M178" s="102" t="n">
        <x:v>73.24000000000001</x:v>
      </x:c>
      <x:c r="N178" s="102" t="n">
        <x:v>-6.7749999999999915</x:v>
      </x:c>
      <x:c r="O178" s="102" t="n">
        <x:v>7.045</x:v>
      </x:c>
      <x:c r="P178" s="102" t="n">
        <x:v>0</x:v>
      </x:c>
      <x:c r="Q178" s="45" t="str">
        <x:v>MODEL_INFERRED</x:v>
      </x:c>
      <x:c r="R178" s="45" t="str">
        <x:v>SCENARIO_GENERATION</x:v>
      </x:c>
      <x:c r="S178" s="45" t="str">
        <x:v>USER_REVIEW_REQUIRED</x:v>
      </x:c>
    </x:row>
    <x:row r="179">
      <x:c r="A179" s="45" t="str">
        <x:v>RHO_000</x:v>
      </x:c>
      <x:c r="B179" s="45" t="str">
        <x:v>Random-effect correlation = 0</x:v>
      </x:c>
      <x:c r="C179" s="45" t="str">
        <x:v>R13</x:v>
      </x:c>
      <x:c r="D179" s="45" t="str">
        <x:v>121–150</x:v>
      </x:c>
      <x:c r="E179" s="45" t="n">
        <x:v>2.5</x:v>
      </x:c>
      <x:c r="F179" s="45" t="n">
        <x:v>6</x:v>
      </x:c>
      <x:c r="G179" s="45" t="str">
        <x:v>LEE2022_OXA_KP</x:v>
      </x:c>
      <x:c r="H179" s="45" t="str">
        <x:v>OXA-like CR-K. pneumoniae, ATLAS 2020</x:v>
      </x:c>
      <x:c r="I179" s="102" t="n">
        <x:v>98.12555084745763</x:v>
      </x:c>
      <x:c r="J179" s="102" t="n">
        <x:v>80.93</x:v>
      </x:c>
      <x:c r="K179" s="102" t="n">
        <x:v>79.41872881355934</x:v>
      </x:c>
      <x:c r="L179" s="102" t="n">
        <x:v>0.14358050847458514</x:v>
      </x:c>
      <x:c r="M179" s="102" t="n">
        <x:v>73.24000000000001</x:v>
      </x:c>
      <x:c r="N179" s="102" t="n">
        <x:v>-6.7749999999999915</x:v>
      </x:c>
      <x:c r="O179" s="102" t="n">
        <x:v>7.045</x:v>
      </x:c>
      <x:c r="P179" s="102" t="n">
        <x:v>0</x:v>
      </x:c>
      <x:c r="Q179" s="45" t="str">
        <x:v>MODEL_INFERRED</x:v>
      </x:c>
      <x:c r="R179" s="45" t="str">
        <x:v>SCENARIO_GENERATION</x:v>
      </x:c>
      <x:c r="S179" s="45" t="str">
        <x:v>USER_REVIEW_REQUIRED</x:v>
      </x:c>
    </x:row>
    <x:row r="180">
      <x:c r="A180" s="45" t="str">
        <x:v>RHO_000</x:v>
      </x:c>
      <x:c r="B180" s="45" t="str">
        <x:v>Random-effect correlation = 0</x:v>
      </x:c>
      <x:c r="C180" s="45" t="str">
        <x:v>R13</x:v>
      </x:c>
      <x:c r="D180" s="45" t="str">
        <x:v>121–150</x:v>
      </x:c>
      <x:c r="E180" s="45" t="n">
        <x:v>2.5</x:v>
      </x:c>
      <x:c r="F180" s="45" t="n">
        <x:v>6</x:v>
      </x:c>
      <x:c r="G180" s="45" t="str">
        <x:v>INDIA2022_OXA48_KP</x:v>
      </x:c>
      <x:c r="H180" s="45" t="str">
        <x:v>OXA-48-like CR-K. pneumoniae, India</x:v>
      </x:c>
      <x:c r="I180" s="102" t="n">
        <x:v>96.03632352941177</x:v>
      </x:c>
      <x:c r="J180" s="102" t="n">
        <x:v>80.92999999999999</x:v>
      </x:c>
      <x:c r="K180" s="102" t="n">
        <x:v>77.72735294117646</x:v>
      </x:c>
      <x:c r="L180" s="102" t="n">
        <x:v>0.2643749999999727</x:v>
      </x:c>
      <x:c r="M180" s="102" t="n">
        <x:v>73.24000000000001</x:v>
      </x:c>
      <x:c r="N180" s="102" t="n">
        <x:v>-6.7749999999999915</x:v>
      </x:c>
      <x:c r="O180" s="102" t="n">
        <x:v>7.045</x:v>
      </x:c>
      <x:c r="P180" s="102" t="n">
        <x:v>0</x:v>
      </x:c>
      <x:c r="Q180" s="45" t="str">
        <x:v>MODEL_INFERRED</x:v>
      </x:c>
      <x:c r="R180" s="45" t="str">
        <x:v>SCENARIO_GENERATION</x:v>
      </x:c>
      <x:c r="S180" s="45" t="str">
        <x:v>USER_REVIEW_REQUIRED</x:v>
      </x:c>
    </x:row>
    <x:row r="181">
      <x:c r="A181" s="45" t="str">
        <x:v>RHO_000</x:v>
      </x:c>
      <x:c r="B181" s="45" t="str">
        <x:v>Random-effect correlation = 0</x:v>
      </x:c>
      <x:c r="C181" s="45" t="str">
        <x:v>R13</x:v>
      </x:c>
      <x:c r="D181" s="45" t="str">
        <x:v>121–150</x:v>
      </x:c>
      <x:c r="E181" s="45" t="n">
        <x:v>2.5</x:v>
      </x:c>
      <x:c r="F181" s="45" t="n">
        <x:v>6</x:v>
      </x:c>
      <x:c r="G181" s="45" t="str">
        <x:v>FR2024_OXA484_SERINE_ONLY</x:v>
      </x:c>
      <x:c r="H181" s="45" t="str">
        <x:v>French OXA-484 Enterobacterales, serine-only</x:v>
      </x:c>
      <x:c r="I181" s="102" t="n">
        <x:v>99.71316666666667</x:v>
      </x:c>
      <x:c r="J181" s="102" t="n">
        <x:v>80.92999999999999</x:v>
      </x:c>
      <x:c r="K181" s="102" t="n">
        <x:v>80.69991666666668</x:v>
      </x:c>
      <x:c r="L181" s="102" t="n">
        <x:v>0.3063333333333418</x:v>
      </x:c>
      <x:c r="M181" s="102" t="n">
        <x:v>73.24000000000001</x:v>
      </x:c>
      <x:c r="N181" s="102" t="n">
        <x:v>-6.7749999999999915</x:v>
      </x:c>
      <x:c r="O181" s="102" t="n">
        <x:v>7.045</x:v>
      </x:c>
      <x:c r="P181" s="102" t="n">
        <x:v>0</x:v>
      </x:c>
      <x:c r="Q181" s="45" t="str">
        <x:v>MODEL_INFERRED</x:v>
      </x:c>
      <x:c r="R181" s="45" t="str">
        <x:v>SCENARIO_GENERATION</x:v>
      </x:c>
      <x:c r="S181" s="45" t="str">
        <x:v>USER_REVIEW_REQUIRED</x:v>
      </x:c>
    </x:row>
    <x:row r="182">
      <x:c r="A182" s="45" t="str">
        <x:v>FU_CAZ_LOW</x:v>
      </x:c>
      <x:c r="B182" s="45" t="str">
        <x:v>CAZ unbound fraction = 0.80</x:v>
      </x:c>
      <x:c r="C182" s="45" t="str">
        <x:v>R1</x:v>
      </x:c>
      <x:c r="D182" s="45" t="str">
        <x:v>0–30</x:v>
      </x:c>
      <x:c r="E182" s="45" t="n">
        <x:v>0.625</x:v>
      </x:c>
      <x:c r="F182" s="45" t="n">
        <x:v>12</x:v>
      </x:c>
      <x:c r="G182" s="45" t="str">
        <x:v>LEE2022_KPC_KP</x:v>
      </x:c>
      <x:c r="H182" s="45" t="str">
        <x:v>KPC-like CR-K. pneumoniae, ATLAS 2020</x:v>
      </x:c>
      <x:c r="I182" s="102" t="n">
        <x:v>92.95058047493403</x:v>
      </x:c>
      <x:c r="J182" s="102" t="n">
        <x:v>74.22</x:v>
      </x:c>
      <x:c r="K182" s="102" t="n">
        <x:v>72.59118733509233</x:v>
      </x:c>
      <x:c r="L182" s="102" t="n">
        <x:v>-0.2129419525066112</x:v>
      </x:c>
      <x:c r="M182" s="102" t="n">
        <x:v>64.275</x:v>
      </x:c>
      <x:c r="N182" s="102" t="n">
        <x:v>-2.1499999999999915</x:v>
      </x:c>
      <x:c r="O182" s="102" t="n">
        <x:v>9.42</x:v>
      </x:c>
      <x:c r="P182" s="102" t="n">
        <x:v>0</x:v>
      </x:c>
      <x:c r="Q182" s="45" t="str">
        <x:v>MODEL_INFERRED</x:v>
      </x:c>
      <x:c r="R182" s="45" t="str">
        <x:v>SCENARIO_GENERATION</x:v>
      </x:c>
      <x:c r="S182" s="45" t="str">
        <x:v>USER_REVIEW_REQUIRED</x:v>
      </x:c>
    </x:row>
    <x:row r="183">
      <x:c r="A183" s="45" t="str">
        <x:v>FU_CAZ_LOW</x:v>
      </x:c>
      <x:c r="B183" s="45" t="str">
        <x:v>CAZ unbound fraction = 0.80</x:v>
      </x:c>
      <x:c r="C183" s="45" t="str">
        <x:v>R1</x:v>
      </x:c>
      <x:c r="D183" s="45" t="str">
        <x:v>0–30</x:v>
      </x:c>
      <x:c r="E183" s="45" t="n">
        <x:v>0.625</x:v>
      </x:c>
      <x:c r="F183" s="45" t="n">
        <x:v>12</x:v>
      </x:c>
      <x:c r="G183" s="45" t="str">
        <x:v>LEE2022_OXA_KP</x:v>
      </x:c>
      <x:c r="H183" s="45" t="str">
        <x:v>OXA-like CR-K. pneumoniae, ATLAS 2020</x:v>
      </x:c>
      <x:c r="I183" s="102" t="n">
        <x:v>95.07722457627119</x:v>
      </x:c>
      <x:c r="J183" s="102" t="n">
        <x:v>74.22</x:v>
      </x:c>
      <x:c r="K183" s="102" t="n">
        <x:v>72.8825</x:v>
      </x:c>
      <x:c r="L183" s="102" t="n">
        <x:v>-0.07050847457627185</x:v>
      </x:c>
      <x:c r="M183" s="102" t="n">
        <x:v>64.275</x:v>
      </x:c>
      <x:c r="N183" s="102" t="n">
        <x:v>-2.1499999999999915</x:v>
      </x:c>
      <x:c r="O183" s="102" t="n">
        <x:v>9.42</x:v>
      </x:c>
      <x:c r="P183" s="102" t="n">
        <x:v>0</x:v>
      </x:c>
      <x:c r="Q183" s="45" t="str">
        <x:v>MODEL_INFERRED</x:v>
      </x:c>
      <x:c r="R183" s="45" t="str">
        <x:v>SCENARIO_GENERATION</x:v>
      </x:c>
      <x:c r="S183" s="45" t="str">
        <x:v>USER_REVIEW_REQUIRED</x:v>
      </x:c>
    </x:row>
    <x:row r="184">
      <x:c r="A184" s="45" t="str">
        <x:v>FU_CAZ_LOW</x:v>
      </x:c>
      <x:c r="B184" s="45" t="str">
        <x:v>CAZ unbound fraction = 0.80</x:v>
      </x:c>
      <x:c r="C184" s="45" t="str">
        <x:v>R1</x:v>
      </x:c>
      <x:c r="D184" s="45" t="str">
        <x:v>0–30</x:v>
      </x:c>
      <x:c r="E184" s="45" t="n">
        <x:v>0.625</x:v>
      </x:c>
      <x:c r="F184" s="45" t="n">
        <x:v>12</x:v>
      </x:c>
      <x:c r="G184" s="45" t="str">
        <x:v>INDIA2022_OXA48_KP</x:v>
      </x:c>
      <x:c r="H184" s="45" t="str">
        <x:v>OXA-48-like CR-K. pneumoniae, India</x:v>
      </x:c>
      <x:c r="I184" s="102" t="n">
        <x:v>94.10573529411765</x:v>
      </x:c>
      <x:c r="J184" s="102" t="n">
        <x:v>74.22000000000001</x:v>
      </x:c>
      <x:c r="K184" s="102" t="n">
        <x:v>71.38213235294118</x:v>
      </x:c>
      <x:c r="L184" s="102" t="n">
        <x:v>-0.06014705882353155</x:v>
      </x:c>
      <x:c r="M184" s="102" t="n">
        <x:v>64.275</x:v>
      </x:c>
      <x:c r="N184" s="102" t="n">
        <x:v>-2.1499999999999915</x:v>
      </x:c>
      <x:c r="O184" s="102" t="n">
        <x:v>9.42</x:v>
      </x:c>
      <x:c r="P184" s="102" t="n">
        <x:v>0</x:v>
      </x:c>
      <x:c r="Q184" s="45" t="str">
        <x:v>MODEL_INFERRED</x:v>
      </x:c>
      <x:c r="R184" s="45" t="str">
        <x:v>SCENARIO_GENERATION</x:v>
      </x:c>
      <x:c r="S184" s="45" t="str">
        <x:v>USER_REVIEW_REQUIRED</x:v>
      </x:c>
    </x:row>
    <x:row r="185">
      <x:c r="A185" s="45" t="str">
        <x:v>FU_CAZ_LOW</x:v>
      </x:c>
      <x:c r="B185" s="45" t="str">
        <x:v>CAZ unbound fraction = 0.80</x:v>
      </x:c>
      <x:c r="C185" s="45" t="str">
        <x:v>R1</x:v>
      </x:c>
      <x:c r="D185" s="45" t="str">
        <x:v>0–30</x:v>
      </x:c>
      <x:c r="E185" s="45" t="n">
        <x:v>0.625</x:v>
      </x:c>
      <x:c r="F185" s="45" t="n">
        <x:v>12</x:v>
      </x:c>
      <x:c r="G185" s="45" t="str">
        <x:v>FR2024_OXA484_SERINE_ONLY</x:v>
      </x:c>
      <x:c r="H185" s="45" t="str">
        <x:v>French OXA-484 Enterobacterales, serine-only</x:v>
      </x:c>
      <x:c r="I185" s="102" t="n">
        <x:v>97.76033333333334</x:v>
      </x:c>
      <x:c r="J185" s="102" t="n">
        <x:v>74.22</x:v>
      </x:c>
      <x:c r="K185" s="102" t="n">
        <x:v>74.052</x:v>
      </x:c>
      <x:c r="L185" s="102" t="n">
        <x:v>-0.03733333333333633</x:v>
      </x:c>
      <x:c r="M185" s="102" t="n">
        <x:v>64.275</x:v>
      </x:c>
      <x:c r="N185" s="102" t="n">
        <x:v>-2.1499999999999915</x:v>
      </x:c>
      <x:c r="O185" s="102" t="n">
        <x:v>9.42</x:v>
      </x:c>
      <x:c r="P185" s="102" t="n">
        <x:v>0</x:v>
      </x:c>
      <x:c r="Q185" s="45" t="str">
        <x:v>MODEL_INFERRED</x:v>
      </x:c>
      <x:c r="R185" s="45" t="str">
        <x:v>SCENARIO_GENERATION</x:v>
      </x:c>
      <x:c r="S185" s="45" t="str">
        <x:v>USER_REVIEW_REQUIRED</x:v>
      </x:c>
    </x:row>
    <x:row r="186">
      <x:c r="A186" s="45" t="str">
        <x:v>FU_CAZ_LOW</x:v>
      </x:c>
      <x:c r="B186" s="45" t="str">
        <x:v>CAZ unbound fraction = 0.80</x:v>
      </x:c>
      <x:c r="C186" s="45" t="str">
        <x:v>R8</x:v>
      </x:c>
      <x:c r="D186" s="45" t="str">
        <x:v>31–60</x:v>
      </x:c>
      <x:c r="E186" s="45" t="n">
        <x:v>2.5</x:v>
      </x:c>
      <x:c r="F186" s="45" t="n">
        <x:v>12</x:v>
      </x:c>
      <x:c r="G186" s="45" t="str">
        <x:v>LEE2022_KPC_KP</x:v>
      </x:c>
      <x:c r="H186" s="45" t="str">
        <x:v>KPC-like CR-K. pneumoniae, ATLAS 2020</x:v>
      </x:c>
      <x:c r="I186" s="102" t="n">
        <x:v>97.99525065963063</x:v>
      </x:c>
      <x:c r="J186" s="102" t="n">
        <x:v>89.22500000000001</x:v>
      </x:c>
      <x:c r="K186" s="102" t="n">
        <x:v>88.29608179419527</x:v>
      </x:c>
      <x:c r="L186" s="102" t="n">
        <x:v>-0.11674142480208616</x:v>
      </x:c>
      <x:c r="M186" s="102" t="n">
        <x:v>87.165</x:v>
      </x:c>
      <x:c r="N186" s="102" t="n">
        <x:v>-0.8199999999999932</x:v>
      </x:c>
      <x:c r="O186" s="102" t="n">
        <x:v>9.62</x:v>
      </x:c>
      <x:c r="P186" s="102" t="n">
        <x:v>0</x:v>
      </x:c>
      <x:c r="Q186" s="45" t="str">
        <x:v>MODEL_INFERRED</x:v>
      </x:c>
      <x:c r="R186" s="45" t="str">
        <x:v>SCENARIO_GENERATION</x:v>
      </x:c>
      <x:c r="S186" s="45" t="str">
        <x:v>USER_REVIEW_REQUIRED</x:v>
      </x:c>
    </x:row>
    <x:row r="187">
      <x:c r="A187" s="45" t="str">
        <x:v>FU_CAZ_LOW</x:v>
      </x:c>
      <x:c r="B187" s="45" t="str">
        <x:v>CAZ unbound fraction = 0.80</x:v>
      </x:c>
      <x:c r="C187" s="45" t="str">
        <x:v>R8</x:v>
      </x:c>
      <x:c r="D187" s="45" t="str">
        <x:v>31–60</x:v>
      </x:c>
      <x:c r="E187" s="45" t="n">
        <x:v>2.5</x:v>
      </x:c>
      <x:c r="F187" s="45" t="n">
        <x:v>12</x:v>
      </x:c>
      <x:c r="G187" s="45" t="str">
        <x:v>LEE2022_OXA_KP</x:v>
      </x:c>
      <x:c r="H187" s="45" t="str">
        <x:v>OXA-like CR-K. pneumoniae, ATLAS 2020</x:v>
      </x:c>
      <x:c r="I187" s="102" t="n">
        <x:v>98.11580508474576</x:v>
      </x:c>
      <x:c r="J187" s="102" t="n">
        <x:v>89.22500000000001</x:v>
      </x:c>
      <x:c r="K187" s="102" t="n">
        <x:v>87.9147033898305</x:v>
      </x:c>
      <x:c r="L187" s="102" t="n">
        <x:v>-0.040148305084755975</x:v>
      </x:c>
      <x:c r="M187" s="102" t="n">
        <x:v>87.165</x:v>
      </x:c>
      <x:c r="N187" s="102" t="n">
        <x:v>-0.8199999999999932</x:v>
      </x:c>
      <x:c r="O187" s="102" t="n">
        <x:v>9.62</x:v>
      </x:c>
      <x:c r="P187" s="102" t="n">
        <x:v>0</x:v>
      </x:c>
      <x:c r="Q187" s="45" t="str">
        <x:v>MODEL_INFERRED</x:v>
      </x:c>
      <x:c r="R187" s="45" t="str">
        <x:v>SCENARIO_GENERATION</x:v>
      </x:c>
      <x:c r="S187" s="45" t="str">
        <x:v>USER_REVIEW_REQUIRED</x:v>
      </x:c>
    </x:row>
    <x:row r="188">
      <x:c r="A188" s="45" t="str">
        <x:v>FU_CAZ_LOW</x:v>
      </x:c>
      <x:c r="B188" s="45" t="str">
        <x:v>CAZ unbound fraction = 0.80</x:v>
      </x:c>
      <x:c r="C188" s="45" t="str">
        <x:v>R8</x:v>
      </x:c>
      <x:c r="D188" s="45" t="str">
        <x:v>31–60</x:v>
      </x:c>
      <x:c r="E188" s="45" t="n">
        <x:v>2.5</x:v>
      </x:c>
      <x:c r="F188" s="45" t="n">
        <x:v>12</x:v>
      </x:c>
      <x:c r="G188" s="45" t="str">
        <x:v>INDIA2022_OXA48_KP</x:v>
      </x:c>
      <x:c r="H188" s="45" t="str">
        <x:v>OXA-48-like CR-K. pneumoniae, India</x:v>
      </x:c>
      <x:c r="I188" s="102" t="n">
        <x:v>96.03555147058823</x:v>
      </x:c>
      <x:c r="J188" s="102" t="n">
        <x:v>89.22500000000001</x:v>
      </x:c>
      <x:c r="K188" s="102" t="n">
        <x:v>85.93507352941177</x:v>
      </x:c>
      <x:c r="L188" s="102" t="n">
        <x:v>-0.02830882352941444</x:v>
      </x:c>
      <x:c r="M188" s="102" t="n">
        <x:v>87.165</x:v>
      </x:c>
      <x:c r="N188" s="102" t="n">
        <x:v>-0.8199999999999932</x:v>
      </x:c>
      <x:c r="O188" s="102" t="n">
        <x:v>9.62</x:v>
      </x:c>
      <x:c r="P188" s="102" t="n">
        <x:v>0</x:v>
      </x:c>
      <x:c r="Q188" s="45" t="str">
        <x:v>MODEL_INFERRED</x:v>
      </x:c>
      <x:c r="R188" s="45" t="str">
        <x:v>SCENARIO_GENERATION</x:v>
      </x:c>
      <x:c r="S188" s="45" t="str">
        <x:v>USER_REVIEW_REQUIRED</x:v>
      </x:c>
    </x:row>
    <x:row r="189">
      <x:c r="A189" s="45" t="str">
        <x:v>FU_CAZ_LOW</x:v>
      </x:c>
      <x:c r="B189" s="45" t="str">
        <x:v>CAZ unbound fraction = 0.80</x:v>
      </x:c>
      <x:c r="C189" s="45" t="str">
        <x:v>R8</x:v>
      </x:c>
      <x:c r="D189" s="45" t="str">
        <x:v>31–60</x:v>
      </x:c>
      <x:c r="E189" s="45" t="n">
        <x:v>2.5</x:v>
      </x:c>
      <x:c r="F189" s="45" t="n">
        <x:v>12</x:v>
      </x:c>
      <x:c r="G189" s="45" t="str">
        <x:v>FR2024_OXA484_SERINE_ONLY</x:v>
      </x:c>
      <x:c r="H189" s="45" t="str">
        <x:v>French OXA-484 Enterobacterales, serine-only</x:v>
      </x:c>
      <x:c r="I189" s="102" t="n">
        <x:v>99.70166666666667</x:v>
      </x:c>
      <x:c r="J189" s="102" t="n">
        <x:v>89.22499999999998</x:v>
      </x:c>
      <x:c r="K189" s="102" t="n">
        <x:v>89.19066666666664</x:v>
      </x:c>
      <x:c r="L189" s="102" t="n">
        <x:v>-0.013666666666665606</x:v>
      </x:c>
      <x:c r="M189" s="102" t="n">
        <x:v>87.165</x:v>
      </x:c>
      <x:c r="N189" s="102" t="n">
        <x:v>-0.8199999999999932</x:v>
      </x:c>
      <x:c r="O189" s="102" t="n">
        <x:v>9.62</x:v>
      </x:c>
      <x:c r="P189" s="102" t="n">
        <x:v>0</x:v>
      </x:c>
      <x:c r="Q189" s="45" t="str">
        <x:v>MODEL_INFERRED</x:v>
      </x:c>
      <x:c r="R189" s="45" t="str">
        <x:v>SCENARIO_GENERATION</x:v>
      </x:c>
      <x:c r="S189" s="45" t="str">
        <x:v>USER_REVIEW_REQUIRED</x:v>
      </x:c>
    </x:row>
    <x:row r="190">
      <x:c r="A190" s="45" t="str">
        <x:v>FU_CAZ_LOW</x:v>
      </x:c>
      <x:c r="B190" s="45" t="str">
        <x:v>CAZ unbound fraction = 0.80</x:v>
      </x:c>
      <x:c r="C190" s="45" t="str">
        <x:v>R10</x:v>
      </x:c>
      <x:c r="D190" s="45" t="str">
        <x:v>61–90</x:v>
      </x:c>
      <x:c r="E190" s="45" t="n">
        <x:v>2.5</x:v>
      </x:c>
      <x:c r="F190" s="45" t="n">
        <x:v>8</x:v>
      </x:c>
      <x:c r="G190" s="45" t="str">
        <x:v>LEE2022_KPC_KP</x:v>
      </x:c>
      <x:c r="H190" s="45" t="str">
        <x:v>KPC-like CR-K. pneumoniae, ATLAS 2020</x:v>
      </x:c>
      <x:c r="I190" s="102" t="n">
        <x:v>98.20642480211083</x:v>
      </x:c>
      <x:c r="J190" s="102" t="n">
        <x:v>88.14</x:v>
      </x:c>
      <x:c r="K190" s="102" t="n">
        <x:v>87.3361741424802</x:v>
      </x:c>
      <x:c r="L190" s="102" t="n">
        <x:v>-0.09298153034302459</x:v>
      </x:c>
      <x:c r="M190" s="102" t="n">
        <x:v>86.98</x:v>
      </x:c>
      <x:c r="N190" s="102" t="n">
        <x:v>-0.5549999999999926</x:v>
      </x:c>
      <x:c r="O190" s="102" t="n">
        <x:v>10.665</x:v>
      </x:c>
      <x:c r="P190" s="102" t="n">
        <x:v>0</x:v>
      </x:c>
      <x:c r="Q190" s="45" t="str">
        <x:v>MODEL_INFERRED</x:v>
      </x:c>
      <x:c r="R190" s="45" t="str">
        <x:v>SCENARIO_GENERATION</x:v>
      </x:c>
      <x:c r="S190" s="45" t="str">
        <x:v>USER_REVIEW_REQUIRED</x:v>
      </x:c>
    </x:row>
    <x:row r="191">
      <x:c r="A191" s="45" t="str">
        <x:v>FU_CAZ_LOW</x:v>
      </x:c>
      <x:c r="B191" s="45" t="str">
        <x:v>CAZ unbound fraction = 0.80</x:v>
      </x:c>
      <x:c r="C191" s="45" t="str">
        <x:v>R10</x:v>
      </x:c>
      <x:c r="D191" s="45" t="str">
        <x:v>61–90</x:v>
      </x:c>
      <x:c r="E191" s="45" t="n">
        <x:v>2.5</x:v>
      </x:c>
      <x:c r="F191" s="45" t="n">
        <x:v>8</x:v>
      </x:c>
      <x:c r="G191" s="45" t="str">
        <x:v>LEE2022_OXA_KP</x:v>
      </x:c>
      <x:c r="H191" s="45" t="str">
        <x:v>OXA-like CR-K. pneumoniae, ATLAS 2020</x:v>
      </x:c>
      <x:c r="I191" s="102" t="n">
        <x:v>98.21163135593221</x:v>
      </x:c>
      <x:c r="J191" s="102" t="n">
        <x:v>88.14000000000003</x:v>
      </x:c>
      <x:c r="K191" s="102" t="n">
        <x:v>86.8839618644068</x:v>
      </x:c>
      <x:c r="L191" s="102" t="n">
        <x:v>-0.03307203389829283</x:v>
      </x:c>
      <x:c r="M191" s="102" t="n">
        <x:v>86.98</x:v>
      </x:c>
      <x:c r="N191" s="102" t="n">
        <x:v>-0.5549999999999926</x:v>
      </x:c>
      <x:c r="O191" s="102" t="n">
        <x:v>10.665</x:v>
      </x:c>
      <x:c r="P191" s="102" t="n">
        <x:v>0</x:v>
      </x:c>
      <x:c r="Q191" s="45" t="str">
        <x:v>MODEL_INFERRED</x:v>
      </x:c>
      <x:c r="R191" s="45" t="str">
        <x:v>SCENARIO_GENERATION</x:v>
      </x:c>
      <x:c r="S191" s="45" t="str">
        <x:v>USER_REVIEW_REQUIRED</x:v>
      </x:c>
    </x:row>
    <x:row r="192">
      <x:c r="A192" s="45" t="str">
        <x:v>FU_CAZ_LOW</x:v>
      </x:c>
      <x:c r="B192" s="45" t="str">
        <x:v>CAZ unbound fraction = 0.80</x:v>
      </x:c>
      <x:c r="C192" s="45" t="str">
        <x:v>R10</x:v>
      </x:c>
      <x:c r="D192" s="45" t="str">
        <x:v>61–90</x:v>
      </x:c>
      <x:c r="E192" s="45" t="n">
        <x:v>2.5</x:v>
      </x:c>
      <x:c r="F192" s="45" t="n">
        <x:v>8</x:v>
      </x:c>
      <x:c r="G192" s="45" t="str">
        <x:v>INDIA2022_OXA48_KP</x:v>
      </x:c>
      <x:c r="H192" s="45" t="str">
        <x:v>OXA-48-like CR-K. pneumoniae, India</x:v>
      </x:c>
      <x:c r="I192" s="102" t="n">
        <x:v>96.09856617647058</x:v>
      </x:c>
      <x:c r="J192" s="102" t="n">
        <x:v>88.13999999999999</x:v>
      </x:c>
      <x:c r="K192" s="102" t="n">
        <x:v>84.91580882352942</x:v>
      </x:c>
      <x:c r="L192" s="102" t="n">
        <x:v>-0.02378676470587493</x:v>
      </x:c>
      <x:c r="M192" s="102" t="n">
        <x:v>86.98</x:v>
      </x:c>
      <x:c r="N192" s="102" t="n">
        <x:v>-0.5549999999999926</x:v>
      </x:c>
      <x:c r="O192" s="102" t="n">
        <x:v>10.665</x:v>
      </x:c>
      <x:c r="P192" s="102" t="n">
        <x:v>0</x:v>
      </x:c>
      <x:c r="Q192" s="45" t="str">
        <x:v>MODEL_INFERRED</x:v>
      </x:c>
      <x:c r="R192" s="45" t="str">
        <x:v>SCENARIO_GENERATION</x:v>
      </x:c>
      <x:c r="S192" s="45" t="str">
        <x:v>USER_REVIEW_REQUIRED</x:v>
      </x:c>
    </x:row>
    <x:row r="193">
      <x:c r="A193" s="45" t="str">
        <x:v>FU_CAZ_LOW</x:v>
      </x:c>
      <x:c r="B193" s="45" t="str">
        <x:v>CAZ unbound fraction = 0.80</x:v>
      </x:c>
      <x:c r="C193" s="45" t="str">
        <x:v>R10</x:v>
      </x:c>
      <x:c r="D193" s="45" t="str">
        <x:v>61–90</x:v>
      </x:c>
      <x:c r="E193" s="45" t="n">
        <x:v>2.5</x:v>
      </x:c>
      <x:c r="F193" s="45" t="n">
        <x:v>8</x:v>
      </x:c>
      <x:c r="G193" s="45" t="str">
        <x:v>FR2024_OXA484_SERINE_ONLY</x:v>
      </x:c>
      <x:c r="H193" s="45" t="str">
        <x:v>French OXA-484 Enterobacterales, serine-only</x:v>
      </x:c>
      <x:c r="I193" s="102" t="n">
        <x:v>99.75775</x:v>
      </x:c>
      <x:c r="J193" s="102" t="n">
        <x:v>88.14</x:v>
      </x:c>
      <x:c r="K193" s="102" t="n">
        <x:v>88.12066666666668</x:v>
      </x:c>
      <x:c r="L193" s="102" t="n">
        <x:v>-0.00924999999999443</x:v>
      </x:c>
      <x:c r="M193" s="102" t="n">
        <x:v>86.98</x:v>
      </x:c>
      <x:c r="N193" s="102" t="n">
        <x:v>-0.5549999999999926</x:v>
      </x:c>
      <x:c r="O193" s="102" t="n">
        <x:v>10.665</x:v>
      </x:c>
      <x:c r="P193" s="102" t="n">
        <x:v>0</x:v>
      </x:c>
      <x:c r="Q193" s="45" t="str">
        <x:v>MODEL_INFERRED</x:v>
      </x:c>
      <x:c r="R193" s="45" t="str">
        <x:v>SCENARIO_GENERATION</x:v>
      </x:c>
      <x:c r="S193" s="45" t="str">
        <x:v>USER_REVIEW_REQUIRED</x:v>
      </x:c>
    </x:row>
    <x:row r="194">
      <x:c r="A194" s="45" t="str">
        <x:v>FU_CAZ_LOW</x:v>
      </x:c>
      <x:c r="B194" s="45" t="str">
        <x:v>CAZ unbound fraction = 0.80</x:v>
      </x:c>
      <x:c r="C194" s="45" t="str">
        <x:v>R12</x:v>
      </x:c>
      <x:c r="D194" s="45" t="str">
        <x:v>91–120</x:v>
      </x:c>
      <x:c r="E194" s="45" t="n">
        <x:v>2.5</x:v>
      </x:c>
      <x:c r="F194" s="45" t="n">
        <x:v>6</x:v>
      </x:c>
      <x:c r="G194" s="45" t="str">
        <x:v>LEE2022_KPC_KP</x:v>
      </x:c>
      <x:c r="H194" s="45" t="str">
        <x:v>KPC-like CR-K. pneumoniae, ATLAS 2020</x:v>
      </x:c>
      <x:c r="I194" s="102" t="n">
        <x:v>98.42505277044854</x:v>
      </x:c>
      <x:c r="J194" s="102" t="n">
        <x:v>88.14</x:v>
      </x:c>
      <x:c r="K194" s="102" t="n">
        <x:v>87.42143799472295</x:v>
      </x:c>
      <x:c r="L194" s="102" t="n">
        <x:v>-0.06928759894459802</x:v>
      </x:c>
      <x:c r="M194" s="102" t="n">
        <x:v>87.45</x:v>
      </x:c>
      <x:c r="N194" s="102" t="n">
        <x:v>-0.3100000000000023</x:v>
      </x:c>
      <x:c r="O194" s="102" t="n">
        <x:v>11.82</x:v>
      </x:c>
      <x:c r="P194" s="102" t="n">
        <x:v>0</x:v>
      </x:c>
      <x:c r="Q194" s="45" t="str">
        <x:v>MODEL_INFERRED</x:v>
      </x:c>
      <x:c r="R194" s="45" t="str">
        <x:v>SCENARIO_GENERATION</x:v>
      </x:c>
      <x:c r="S194" s="45" t="str">
        <x:v>USER_REVIEW_REQUIRED</x:v>
      </x:c>
    </x:row>
    <x:row r="195">
      <x:c r="A195" s="45" t="str">
        <x:v>FU_CAZ_LOW</x:v>
      </x:c>
      <x:c r="B195" s="45" t="str">
        <x:v>CAZ unbound fraction = 0.80</x:v>
      </x:c>
      <x:c r="C195" s="45" t="str">
        <x:v>R12</x:v>
      </x:c>
      <x:c r="D195" s="45" t="str">
        <x:v>91–120</x:v>
      </x:c>
      <x:c r="E195" s="45" t="n">
        <x:v>2.5</x:v>
      </x:c>
      <x:c r="F195" s="45" t="n">
        <x:v>6</x:v>
      </x:c>
      <x:c r="G195" s="45" t="str">
        <x:v>LEE2022_OXA_KP</x:v>
      </x:c>
      <x:c r="H195" s="45" t="str">
        <x:v>OXA-like CR-K. pneumoniae, ATLAS 2020</x:v>
      </x:c>
      <x:c r="I195" s="102" t="n">
        <x:v>98.30796610169493</x:v>
      </x:c>
      <x:c r="J195" s="102" t="n">
        <x:v>88.14000000000003</x:v>
      </x:c>
      <x:c r="K195" s="102" t="n">
        <x:v>86.91375000000002</x:v>
      </x:c>
      <x:c r="L195" s="102" t="n">
        <x:v>-0.025720338983035163</x:v>
      </x:c>
      <x:c r="M195" s="102" t="n">
        <x:v>87.45</x:v>
      </x:c>
      <x:c r="N195" s="102" t="n">
        <x:v>-0.3100000000000023</x:v>
      </x:c>
      <x:c r="O195" s="102" t="n">
        <x:v>11.82</x:v>
      </x:c>
      <x:c r="P195" s="102" t="n">
        <x:v>0</x:v>
      </x:c>
      <x:c r="Q195" s="45" t="str">
        <x:v>MODEL_INFERRED</x:v>
      </x:c>
      <x:c r="R195" s="45" t="str">
        <x:v>SCENARIO_GENERATION</x:v>
      </x:c>
      <x:c r="S195" s="45" t="str">
        <x:v>USER_REVIEW_REQUIRED</x:v>
      </x:c>
    </x:row>
    <x:row r="196">
      <x:c r="A196" s="45" t="str">
        <x:v>FU_CAZ_LOW</x:v>
      </x:c>
      <x:c r="B196" s="45" t="str">
        <x:v>CAZ unbound fraction = 0.80</x:v>
      </x:c>
      <x:c r="C196" s="45" t="str">
        <x:v>R12</x:v>
      </x:c>
      <x:c r="D196" s="45" t="str">
        <x:v>91–120</x:v>
      </x:c>
      <x:c r="E196" s="45" t="n">
        <x:v>2.5</x:v>
      </x:c>
      <x:c r="F196" s="45" t="n">
        <x:v>6</x:v>
      </x:c>
      <x:c r="G196" s="45" t="str">
        <x:v>INDIA2022_OXA48_KP</x:v>
      </x:c>
      <x:c r="H196" s="45" t="str">
        <x:v>OXA-48-like CR-K. pneumoniae, India</x:v>
      </x:c>
      <x:c r="I196" s="102" t="n">
        <x:v>96.16143382352942</x:v>
      </x:c>
      <x:c r="J196" s="102" t="n">
        <x:v>88.13999999999999</x:v>
      </x:c>
      <x:c r="K196" s="102" t="n">
        <x:v>84.93158088235293</x:v>
      </x:c>
      <x:c r="L196" s="102" t="n">
        <x:v>-0.019007352941187605</x:v>
      </x:c>
      <x:c r="M196" s="102" t="n">
        <x:v>87.45</x:v>
      </x:c>
      <x:c r="N196" s="102" t="n">
        <x:v>-0.3100000000000023</x:v>
      </x:c>
      <x:c r="O196" s="102" t="n">
        <x:v>11.82</x:v>
      </x:c>
      <x:c r="P196" s="102" t="n">
        <x:v>0</x:v>
      </x:c>
      <x:c r="Q196" s="45" t="str">
        <x:v>MODEL_INFERRED</x:v>
      </x:c>
      <x:c r="R196" s="45" t="str">
        <x:v>SCENARIO_GENERATION</x:v>
      </x:c>
      <x:c r="S196" s="45" t="str">
        <x:v>USER_REVIEW_REQUIRED</x:v>
      </x:c>
    </x:row>
    <x:row r="197">
      <x:c r="A197" s="45" t="str">
        <x:v>FU_CAZ_LOW</x:v>
      </x:c>
      <x:c r="B197" s="45" t="str">
        <x:v>CAZ unbound fraction = 0.80</x:v>
      </x:c>
      <x:c r="C197" s="45" t="str">
        <x:v>R12</x:v>
      </x:c>
      <x:c r="D197" s="45" t="str">
        <x:v>91–120</x:v>
      </x:c>
      <x:c r="E197" s="45" t="n">
        <x:v>2.5</x:v>
      </x:c>
      <x:c r="F197" s="45" t="n">
        <x:v>6</x:v>
      </x:c>
      <x:c r="G197" s="45" t="str">
        <x:v>FR2024_OXA484_SERINE_ONLY</x:v>
      </x:c>
      <x:c r="H197" s="45" t="str">
        <x:v>French OXA-484 Enterobacterales, serine-only</x:v>
      </x:c>
      <x:c r="I197" s="102" t="n">
        <x:v>99.80950000000001</x:v>
      </x:c>
      <x:c r="J197" s="102" t="n">
        <x:v>88.14</x:v>
      </x:c>
      <x:c r="K197" s="102" t="n">
        <x:v>88.1285</x:v>
      </x:c>
      <x:c r="L197" s="102" t="n">
        <x:v>-0.005166666666667652</x:v>
      </x:c>
      <x:c r="M197" s="102" t="n">
        <x:v>87.45</x:v>
      </x:c>
      <x:c r="N197" s="102" t="n">
        <x:v>-0.3100000000000023</x:v>
      </x:c>
      <x:c r="O197" s="102" t="n">
        <x:v>11.82</x:v>
      </x:c>
      <x:c r="P197" s="102" t="n">
        <x:v>0</x:v>
      </x:c>
      <x:c r="Q197" s="45" t="str">
        <x:v>MODEL_INFERRED</x:v>
      </x:c>
      <x:c r="R197" s="45" t="str">
        <x:v>SCENARIO_GENERATION</x:v>
      </x:c>
      <x:c r="S197" s="45" t="str">
        <x:v>USER_REVIEW_REQUIRED</x:v>
      </x:c>
    </x:row>
    <x:row r="198">
      <x:c r="A198" s="45" t="str">
        <x:v>FU_CAZ_LOW</x:v>
      </x:c>
      <x:c r="B198" s="45" t="str">
        <x:v>CAZ unbound fraction = 0.80</x:v>
      </x:c>
      <x:c r="C198" s="45" t="str">
        <x:v>R13</x:v>
      </x:c>
      <x:c r="D198" s="45" t="str">
        <x:v>121–150</x:v>
      </x:c>
      <x:c r="E198" s="45" t="n">
        <x:v>2.5</x:v>
      </x:c>
      <x:c r="F198" s="45" t="n">
        <x:v>6</x:v>
      </x:c>
      <x:c r="G198" s="45" t="str">
        <x:v>LEE2022_KPC_KP</x:v>
      </x:c>
      <x:c r="H198" s="45" t="str">
        <x:v>KPC-like CR-K. pneumoniae, ATLAS 2020</x:v>
      </x:c>
      <x:c r="I198" s="102" t="n">
        <x:v>97.73579155672823</x:v>
      </x:c>
      <x:c r="J198" s="102" t="n">
        <x:v>80.39999999999998</x:v>
      </x:c>
      <x:c r="K198" s="102" t="n">
        <x:v>79.65771767810025</x:v>
      </x:c>
      <x:c r="L198" s="102" t="n">
        <x:v>-0.07943271767810245</x:v>
      </x:c>
      <x:c r="M198" s="102" t="n">
        <x:v>79.625</x:v>
      </x:c>
      <x:c r="N198" s="102" t="n">
        <x:v>-0.39000000000000057</x:v>
      </x:c>
      <x:c r="O198" s="102" t="n">
        <x:v>7.045</x:v>
      </x:c>
      <x:c r="P198" s="102" t="n">
        <x:v>0</x:v>
      </x:c>
      <x:c r="Q198" s="45" t="str">
        <x:v>MODEL_INFERRED</x:v>
      </x:c>
      <x:c r="R198" s="45" t="str">
        <x:v>SCENARIO_GENERATION</x:v>
      </x:c>
      <x:c r="S198" s="45" t="str">
        <x:v>USER_REVIEW_REQUIRED</x:v>
      </x:c>
    </x:row>
    <x:row r="199">
      <x:c r="A199" s="45" t="str">
        <x:v>FU_CAZ_LOW</x:v>
      </x:c>
      <x:c r="B199" s="45" t="str">
        <x:v>CAZ unbound fraction = 0.80</x:v>
      </x:c>
      <x:c r="C199" s="45" t="str">
        <x:v>R13</x:v>
      </x:c>
      <x:c r="D199" s="45" t="str">
        <x:v>121–150</x:v>
      </x:c>
      <x:c r="E199" s="45" t="n">
        <x:v>2.5</x:v>
      </x:c>
      <x:c r="F199" s="45" t="n">
        <x:v>6</x:v>
      </x:c>
      <x:c r="G199" s="45" t="str">
        <x:v>LEE2022_OXA_KP</x:v>
      </x:c>
      <x:c r="H199" s="45" t="str">
        <x:v>OXA-like CR-K. pneumoniae, ATLAS 2020</x:v>
      </x:c>
      <x:c r="I199" s="102" t="n">
        <x:v>97.99718220338983</x:v>
      </x:c>
      <x:c r="J199" s="102" t="n">
        <x:v>80.4</x:v>
      </x:c>
      <x:c r="K199" s="102" t="n">
        <x:v>79.24766949152544</x:v>
      </x:c>
      <x:c r="L199" s="102" t="n">
        <x:v>-0.027478813559312698</x:v>
      </x:c>
      <x:c r="M199" s="102" t="n">
        <x:v>79.625</x:v>
      </x:c>
      <x:c r="N199" s="102" t="n">
        <x:v>-0.39000000000000057</x:v>
      </x:c>
      <x:c r="O199" s="102" t="n">
        <x:v>7.045</x:v>
      </x:c>
      <x:c r="P199" s="102" t="n">
        <x:v>0</x:v>
      </x:c>
      <x:c r="Q199" s="45" t="str">
        <x:v>MODEL_INFERRED</x:v>
      </x:c>
      <x:c r="R199" s="45" t="str">
        <x:v>SCENARIO_GENERATION</x:v>
      </x:c>
      <x:c r="S199" s="45" t="str">
        <x:v>USER_REVIEW_REQUIRED</x:v>
      </x:c>
    </x:row>
    <x:row r="200">
      <x:c r="A200" s="45" t="str">
        <x:v>FU_CAZ_LOW</x:v>
      </x:c>
      <x:c r="B200" s="45" t="str">
        <x:v>CAZ unbound fraction = 0.80</x:v>
      </x:c>
      <x:c r="C200" s="45" t="str">
        <x:v>R13</x:v>
      </x:c>
      <x:c r="D200" s="45" t="str">
        <x:v>121–150</x:v>
      </x:c>
      <x:c r="E200" s="45" t="n">
        <x:v>2.5</x:v>
      </x:c>
      <x:c r="F200" s="45" t="n">
        <x:v>6</x:v>
      </x:c>
      <x:c r="G200" s="45" t="str">
        <x:v>INDIA2022_OXA48_KP</x:v>
      </x:c>
      <x:c r="H200" s="45" t="str">
        <x:v>OXA-48-like CR-K. pneumoniae, India</x:v>
      </x:c>
      <x:c r="I200" s="102" t="n">
        <x:v>95.95566176470587</x:v>
      </x:c>
      <x:c r="J200" s="102" t="n">
        <x:v>80.40000000000003</x:v>
      </x:c>
      <x:c r="K200" s="102" t="n">
        <x:v>77.449375</x:v>
      </x:c>
      <x:c r="L200" s="102" t="n">
        <x:v>-0.013602941176486638</x:v>
      </x:c>
      <x:c r="M200" s="102" t="n">
        <x:v>79.625</x:v>
      </x:c>
      <x:c r="N200" s="102" t="n">
        <x:v>-0.39000000000000057</x:v>
      </x:c>
      <x:c r="O200" s="102" t="n">
        <x:v>7.045</x:v>
      </x:c>
      <x:c r="P200" s="102" t="n">
        <x:v>0</x:v>
      </x:c>
      <x:c r="Q200" s="45" t="str">
        <x:v>MODEL_INFERRED</x:v>
      </x:c>
      <x:c r="R200" s="45" t="str">
        <x:v>SCENARIO_GENERATION</x:v>
      </x:c>
      <x:c r="S200" s="45" t="str">
        <x:v>USER_REVIEW_REQUIRED</x:v>
      </x:c>
    </x:row>
    <x:row r="201">
      <x:c r="A201" s="45" t="str">
        <x:v>FU_CAZ_LOW</x:v>
      </x:c>
      <x:c r="B201" s="45" t="str">
        <x:v>CAZ unbound fraction = 0.80</x:v>
      </x:c>
      <x:c r="C201" s="45" t="str">
        <x:v>R13</x:v>
      </x:c>
      <x:c r="D201" s="45" t="str">
        <x:v>121–150</x:v>
      </x:c>
      <x:c r="E201" s="45" t="n">
        <x:v>2.5</x:v>
      </x:c>
      <x:c r="F201" s="45" t="n">
        <x:v>6</x:v>
      </x:c>
      <x:c r="G201" s="45" t="str">
        <x:v>FR2024_OXA484_SERINE_ONLY</x:v>
      </x:c>
      <x:c r="H201" s="45" t="str">
        <x:v>French OXA-484 Enterobacterales, serine-only</x:v>
      </x:c>
      <x:c r="I201" s="102" t="n">
        <x:v>99.638</x:v>
      </x:c>
      <x:c r="J201" s="102" t="n">
        <x:v>80.4</x:v>
      </x:c>
      <x:c r="K201" s="102" t="n">
        <x:v>80.38708333333334</x:v>
      </x:c>
      <x:c r="L201" s="102" t="n">
        <x:v>-0.006500000000002615</x:v>
      </x:c>
      <x:c r="M201" s="102" t="n">
        <x:v>79.625</x:v>
      </x:c>
      <x:c r="N201" s="102" t="n">
        <x:v>-0.39000000000000057</x:v>
      </x:c>
      <x:c r="O201" s="102" t="n">
        <x:v>7.045</x:v>
      </x:c>
      <x:c r="P201" s="102" t="n">
        <x:v>0</x:v>
      </x:c>
      <x:c r="Q201" s="45" t="str">
        <x:v>MODEL_INFERRED</x:v>
      </x:c>
      <x:c r="R201" s="45" t="str">
        <x:v>SCENARIO_GENERATION</x:v>
      </x:c>
      <x:c r="S201" s="45" t="str">
        <x:v>USER_REVIEW_REQUIRED</x:v>
      </x:c>
    </x:row>
    <x:row r="202">
      <x:c r="A202" s="45" t="str">
        <x:v>FU_CAZ_HIGH</x:v>
      </x:c>
      <x:c r="B202" s="45" t="str">
        <x:v>CAZ unbound fraction = 0.90</x:v>
      </x:c>
      <x:c r="C202" s="45" t="str">
        <x:v>R1</x:v>
      </x:c>
      <x:c r="D202" s="45" t="str">
        <x:v>0–30</x:v>
      </x:c>
      <x:c r="E202" s="45" t="n">
        <x:v>0.625</x:v>
      </x:c>
      <x:c r="F202" s="45" t="n">
        <x:v>12</x:v>
      </x:c>
      <x:c r="G202" s="45" t="str">
        <x:v>LEE2022_KPC_KP</x:v>
      </x:c>
      <x:c r="H202" s="45" t="str">
        <x:v>KPC-like CR-K. pneumoniae, ATLAS 2020</x:v>
      </x:c>
      <x:c r="I202" s="102" t="n">
        <x:v>94.2840765171504</x:v>
      </x:c>
      <x:c r="J202" s="102" t="n">
        <x:v>74.22</x:v>
      </x:c>
      <x:c r="K202" s="102" t="n">
        <x:v>72.9974142480211</x:v>
      </x:c>
      <x:c r="L202" s="102" t="n">
        <x:v>0.1932849604221616</x:v>
      </x:c>
      <x:c r="M202" s="102" t="n">
        <x:v>68.34</x:v>
      </x:c>
      <x:c r="N202" s="102" t="n">
        <x:v>1.9150000000000063</x:v>
      </x:c>
      <x:c r="O202" s="102" t="n">
        <x:v>9.42</x:v>
      </x:c>
      <x:c r="P202" s="102" t="n">
        <x:v>0</x:v>
      </x:c>
      <x:c r="Q202" s="45" t="str">
        <x:v>MODEL_INFERRED</x:v>
      </x:c>
      <x:c r="R202" s="45" t="str">
        <x:v>SCENARIO_GENERATION</x:v>
      </x:c>
      <x:c r="S202" s="45" t="str">
        <x:v>USER_REVIEW_REQUIRED</x:v>
      </x:c>
    </x:row>
    <x:row r="203">
      <x:c r="A203" s="45" t="str">
        <x:v>FU_CAZ_HIGH</x:v>
      </x:c>
      <x:c r="B203" s="45" t="str">
        <x:v>CAZ unbound fraction = 0.90</x:v>
      </x:c>
      <x:c r="C203" s="45" t="str">
        <x:v>R1</x:v>
      </x:c>
      <x:c r="D203" s="45" t="str">
        <x:v>0–30</x:v>
      </x:c>
      <x:c r="E203" s="45" t="n">
        <x:v>0.625</x:v>
      </x:c>
      <x:c r="F203" s="45" t="n">
        <x:v>12</x:v>
      </x:c>
      <x:c r="G203" s="45" t="str">
        <x:v>LEE2022_OXA_KP</x:v>
      </x:c>
      <x:c r="H203" s="45" t="str">
        <x:v>OXA-like CR-K. pneumoniae, ATLAS 2020</x:v>
      </x:c>
      <x:c r="I203" s="102" t="n">
        <x:v>95.97987288135593</x:v>
      </x:c>
      <x:c r="J203" s="102" t="n">
        <x:v>74.22</x:v>
      </x:c>
      <x:c r="K203" s="102" t="n">
        <x:v>73.01652542372881</x:v>
      </x:c>
      <x:c r="L203" s="102" t="n">
        <x:v>0.06351694915254313</x:v>
      </x:c>
      <x:c r="M203" s="102" t="n">
        <x:v>68.34</x:v>
      </x:c>
      <x:c r="N203" s="102" t="n">
        <x:v>1.9150000000000063</x:v>
      </x:c>
      <x:c r="O203" s="102" t="n">
        <x:v>9.42</x:v>
      </x:c>
      <x:c r="P203" s="102" t="n">
        <x:v>0</x:v>
      </x:c>
      <x:c r="Q203" s="45" t="str">
        <x:v>MODEL_INFERRED</x:v>
      </x:c>
      <x:c r="R203" s="45" t="str">
        <x:v>SCENARIO_GENERATION</x:v>
      </x:c>
      <x:c r="S203" s="45" t="str">
        <x:v>USER_REVIEW_REQUIRED</x:v>
      </x:c>
    </x:row>
    <x:row r="204">
      <x:c r="A204" s="45" t="str">
        <x:v>FU_CAZ_HIGH</x:v>
      </x:c>
      <x:c r="B204" s="45" t="str">
        <x:v>CAZ unbound fraction = 0.90</x:v>
      </x:c>
      <x:c r="C204" s="45" t="str">
        <x:v>R1</x:v>
      </x:c>
      <x:c r="D204" s="45" t="str">
        <x:v>0–30</x:v>
      </x:c>
      <x:c r="E204" s="45" t="n">
        <x:v>0.625</x:v>
      </x:c>
      <x:c r="F204" s="45" t="n">
        <x:v>12</x:v>
      </x:c>
      <x:c r="G204" s="45" t="str">
        <x:v>INDIA2022_OXA48_KP</x:v>
      </x:c>
      <x:c r="H204" s="45" t="str">
        <x:v>OXA-48-like CR-K. pneumoniae, India</x:v>
      </x:c>
      <x:c r="I204" s="102" t="n">
        <x:v>94.73426470588235</x:v>
      </x:c>
      <x:c r="J204" s="102" t="n">
        <x:v>74.22000000000001</x:v>
      </x:c>
      <x:c r="K204" s="102" t="n">
        <x:v>71.49470588235295</x:v>
      </x:c>
      <x:c r="L204" s="102" t="n">
        <x:v>0.052426470588230245</x:v>
      </x:c>
      <x:c r="M204" s="102" t="n">
        <x:v>68.34</x:v>
      </x:c>
      <x:c r="N204" s="102" t="n">
        <x:v>1.9150000000000063</x:v>
      </x:c>
      <x:c r="O204" s="102" t="n">
        <x:v>9.42</x:v>
      </x:c>
      <x:c r="P204" s="102" t="n">
        <x:v>0</x:v>
      </x:c>
      <x:c r="Q204" s="45" t="str">
        <x:v>MODEL_INFERRED</x:v>
      </x:c>
      <x:c r="R204" s="45" t="str">
        <x:v>SCENARIO_GENERATION</x:v>
      </x:c>
      <x:c r="S204" s="45" t="str">
        <x:v>USER_REVIEW_REQUIRED</x:v>
      </x:c>
    </x:row>
    <x:row r="205">
      <x:c r="A205" s="45" t="str">
        <x:v>FU_CAZ_HIGH</x:v>
      </x:c>
      <x:c r="B205" s="45" t="str">
        <x:v>CAZ unbound fraction = 0.90</x:v>
      </x:c>
      <x:c r="C205" s="45" t="str">
        <x:v>R1</x:v>
      </x:c>
      <x:c r="D205" s="45" t="str">
        <x:v>0–30</x:v>
      </x:c>
      <x:c r="E205" s="45" t="n">
        <x:v>0.625</x:v>
      </x:c>
      <x:c r="F205" s="45" t="n">
        <x:v>12</x:v>
      </x:c>
      <x:c r="G205" s="45" t="str">
        <x:v>FR2024_OXA484_SERINE_ONLY</x:v>
      </x:c>
      <x:c r="H205" s="45" t="str">
        <x:v>French OXA-484 Enterobacterales, serine-only</x:v>
      </x:c>
      <x:c r="I205" s="102" t="n">
        <x:v>98.32233333333335</x:v>
      </x:c>
      <x:c r="J205" s="102" t="n">
        <x:v>74.22</x:v>
      </x:c>
      <x:c r="K205" s="102" t="n">
        <x:v>74.122</x:v>
      </x:c>
      <x:c r="L205" s="102" t="n">
        <x:v>0.03266666666665685</x:v>
      </x:c>
      <x:c r="M205" s="102" t="n">
        <x:v>68.34</x:v>
      </x:c>
      <x:c r="N205" s="102" t="n">
        <x:v>1.9150000000000063</x:v>
      </x:c>
      <x:c r="O205" s="102" t="n">
        <x:v>9.42</x:v>
      </x:c>
      <x:c r="P205" s="102" t="n">
        <x:v>0</x:v>
      </x:c>
      <x:c r="Q205" s="45" t="str">
        <x:v>MODEL_INFERRED</x:v>
      </x:c>
      <x:c r="R205" s="45" t="str">
        <x:v>SCENARIO_GENERATION</x:v>
      </x:c>
      <x:c r="S205" s="45" t="str">
        <x:v>USER_REVIEW_REQUIRED</x:v>
      </x:c>
    </x:row>
    <x:row r="206">
      <x:c r="A206" s="45" t="str">
        <x:v>FU_CAZ_HIGH</x:v>
      </x:c>
      <x:c r="B206" s="45" t="str">
        <x:v>CAZ unbound fraction = 0.90</x:v>
      </x:c>
      <x:c r="C206" s="45" t="str">
        <x:v>R8</x:v>
      </x:c>
      <x:c r="D206" s="45" t="str">
        <x:v>31–60</x:v>
      </x:c>
      <x:c r="E206" s="45" t="n">
        <x:v>2.5</x:v>
      </x:c>
      <x:c r="F206" s="45" t="n">
        <x:v>12</x:v>
      </x:c>
      <x:c r="G206" s="45" t="str">
        <x:v>LEE2022_KPC_KP</x:v>
      </x:c>
      <x:c r="H206" s="45" t="str">
        <x:v>KPC-like CR-K. pneumoniae, ATLAS 2020</x:v>
      </x:c>
      <x:c r="I206" s="102" t="n">
        <x:v>98.43445910290237</x:v>
      </x:c>
      <x:c r="J206" s="102" t="n">
        <x:v>89.22500000000001</x:v>
      </x:c>
      <x:c r="K206" s="102" t="n">
        <x:v>88.48616094986808</x:v>
      </x:c>
      <x:c r="L206" s="102" t="n">
        <x:v>0.07333773087071904</x:v>
      </x:c>
      <x:c r="M206" s="102" t="n">
        <x:v>88.36500000000001</x:v>
      </x:c>
      <x:c r="N206" s="102" t="n">
        <x:v>0.38000000000000966</x:v>
      </x:c>
      <x:c r="O206" s="102" t="n">
        <x:v>9.62</x:v>
      </x:c>
      <x:c r="P206" s="102" t="n">
        <x:v>0</x:v>
      </x:c>
      <x:c r="Q206" s="45" t="str">
        <x:v>MODEL_INFERRED</x:v>
      </x:c>
      <x:c r="R206" s="45" t="str">
        <x:v>SCENARIO_GENERATION</x:v>
      </x:c>
      <x:c r="S206" s="45" t="str">
        <x:v>USER_REVIEW_REQUIRED</x:v>
      </x:c>
    </x:row>
    <x:row r="207">
      <x:c r="A207" s="45" t="str">
        <x:v>FU_CAZ_HIGH</x:v>
      </x:c>
      <x:c r="B207" s="45" t="str">
        <x:v>CAZ unbound fraction = 0.90</x:v>
      </x:c>
      <x:c r="C207" s="45" t="str">
        <x:v>R8</x:v>
      </x:c>
      <x:c r="D207" s="45" t="str">
        <x:v>31–60</x:v>
      </x:c>
      <x:c r="E207" s="45" t="n">
        <x:v>2.5</x:v>
      </x:c>
      <x:c r="F207" s="45" t="n">
        <x:v>12</x:v>
      </x:c>
      <x:c r="G207" s="45" t="str">
        <x:v>LEE2022_OXA_KP</x:v>
      </x:c>
      <x:c r="H207" s="45" t="str">
        <x:v>OXA-like CR-K. pneumoniae, ATLAS 2020</x:v>
      </x:c>
      <x:c r="I207" s="102" t="n">
        <x:v>98.31148305084747</x:v>
      </x:c>
      <x:c r="J207" s="102" t="n">
        <x:v>89.22500000000001</x:v>
      </x:c>
      <x:c r="K207" s="102" t="n">
        <x:v>87.98141949152541</x:v>
      </x:c>
      <x:c r="L207" s="102" t="n">
        <x:v>0.026567796610152072</x:v>
      </x:c>
      <x:c r="M207" s="102" t="n">
        <x:v>88.36500000000001</x:v>
      </x:c>
      <x:c r="N207" s="102" t="n">
        <x:v>0.38000000000000966</x:v>
      </x:c>
      <x:c r="O207" s="102" t="n">
        <x:v>9.62</x:v>
      </x:c>
      <x:c r="P207" s="102" t="n">
        <x:v>0</x:v>
      </x:c>
      <x:c r="Q207" s="45" t="str">
        <x:v>MODEL_INFERRED</x:v>
      </x:c>
      <x:c r="R207" s="45" t="str">
        <x:v>SCENARIO_GENERATION</x:v>
      </x:c>
      <x:c r="S207" s="45" t="str">
        <x:v>USER_REVIEW_REQUIRED</x:v>
      </x:c>
    </x:row>
    <x:row r="208">
      <x:c r="A208" s="45" t="str">
        <x:v>FU_CAZ_HIGH</x:v>
      </x:c>
      <x:c r="B208" s="45" t="str">
        <x:v>CAZ unbound fraction = 0.90</x:v>
      </x:c>
      <x:c r="C208" s="45" t="str">
        <x:v>R8</x:v>
      </x:c>
      <x:c r="D208" s="45" t="str">
        <x:v>31–60</x:v>
      </x:c>
      <x:c r="E208" s="45" t="n">
        <x:v>2.5</x:v>
      </x:c>
      <x:c r="F208" s="45" t="n">
        <x:v>12</x:v>
      </x:c>
      <x:c r="G208" s="45" t="str">
        <x:v>INDIA2022_OXA48_KP</x:v>
      </x:c>
      <x:c r="H208" s="45" t="str">
        <x:v>OXA-48-like CR-K. pneumoniae, India</x:v>
      </x:c>
      <x:c r="I208" s="102" t="n">
        <x:v>96.16959558823528</x:v>
      </x:c>
      <x:c r="J208" s="102" t="n">
        <x:v>89.22500000000001</x:v>
      </x:c>
      <x:c r="K208" s="102" t="n">
        <x:v>85.98198529411765</x:v>
      </x:c>
      <x:c r="L208" s="102" t="n">
        <x:v>0.01860294117646788</x:v>
      </x:c>
      <x:c r="M208" s="102" t="n">
        <x:v>88.36500000000001</x:v>
      </x:c>
      <x:c r="N208" s="102" t="n">
        <x:v>0.38000000000000966</x:v>
      </x:c>
      <x:c r="O208" s="102" t="n">
        <x:v>9.62</x:v>
      </x:c>
      <x:c r="P208" s="102" t="n">
        <x:v>0</x:v>
      </x:c>
      <x:c r="Q208" s="45" t="str">
        <x:v>MODEL_INFERRED</x:v>
      </x:c>
      <x:c r="R208" s="45" t="str">
        <x:v>SCENARIO_GENERATION</x:v>
      </x:c>
      <x:c r="S208" s="45" t="str">
        <x:v>USER_REVIEW_REQUIRED</x:v>
      </x:c>
    </x:row>
    <x:row r="209">
      <x:c r="A209" s="45" t="str">
        <x:v>FU_CAZ_HIGH</x:v>
      </x:c>
      <x:c r="B209" s="45" t="str">
        <x:v>CAZ unbound fraction = 0.90</x:v>
      </x:c>
      <x:c r="C209" s="45" t="str">
        <x:v>R8</x:v>
      </x:c>
      <x:c r="D209" s="45" t="str">
        <x:v>31–60</x:v>
      </x:c>
      <x:c r="E209" s="45" t="n">
        <x:v>2.5</x:v>
      </x:c>
      <x:c r="F209" s="45" t="n">
        <x:v>12</x:v>
      </x:c>
      <x:c r="G209" s="45" t="str">
        <x:v>FR2024_OXA484_SERINE_ONLY</x:v>
      </x:c>
      <x:c r="H209" s="45" t="str">
        <x:v>French OXA-484 Enterobacterales, serine-only</x:v>
      </x:c>
      <x:c r="I209" s="102" t="n">
        <x:v>99.80816666666666</x:v>
      </x:c>
      <x:c r="J209" s="102" t="n">
        <x:v>89.22499999999998</x:v>
      </x:c>
      <x:c r="K209" s="102" t="n">
        <x:v>89.21066666666665</x:v>
      </x:c>
      <x:c r="L209" s="102" t="n">
        <x:v>0.006333333333344626</x:v>
      </x:c>
      <x:c r="M209" s="102" t="n">
        <x:v>88.36500000000001</x:v>
      </x:c>
      <x:c r="N209" s="102" t="n">
        <x:v>0.38000000000000966</x:v>
      </x:c>
      <x:c r="O209" s="102" t="n">
        <x:v>9.62</x:v>
      </x:c>
      <x:c r="P209" s="102" t="n">
        <x:v>0</x:v>
      </x:c>
      <x:c r="Q209" s="45" t="str">
        <x:v>MODEL_INFERRED</x:v>
      </x:c>
      <x:c r="R209" s="45" t="str">
        <x:v>SCENARIO_GENERATION</x:v>
      </x:c>
      <x:c r="S209" s="45" t="str">
        <x:v>USER_REVIEW_REQUIRED</x:v>
      </x:c>
    </x:row>
    <x:row r="210">
      <x:c r="A210" s="45" t="str">
        <x:v>FU_CAZ_HIGH</x:v>
      </x:c>
      <x:c r="B210" s="45" t="str">
        <x:v>CAZ unbound fraction = 0.90</x:v>
      </x:c>
      <x:c r="C210" s="45" t="str">
        <x:v>R10</x:v>
      </x:c>
      <x:c r="D210" s="45" t="str">
        <x:v>61–90</x:v>
      </x:c>
      <x:c r="E210" s="45" t="n">
        <x:v>2.5</x:v>
      </x:c>
      <x:c r="F210" s="45" t="n">
        <x:v>8</x:v>
      </x:c>
      <x:c r="G210" s="45" t="str">
        <x:v>LEE2022_KPC_KP</x:v>
      </x:c>
      <x:c r="H210" s="45" t="str">
        <x:v>KPC-like CR-K. pneumoniae, ATLAS 2020</x:v>
      </x:c>
      <x:c r="I210" s="102" t="n">
        <x:v>98.6153562005277</x:v>
      </x:c>
      <x:c r="J210" s="102" t="n">
        <x:v>88.14</x:v>
      </x:c>
      <x:c r="K210" s="102" t="n">
        <x:v>87.49027704485488</x:v>
      </x:c>
      <x:c r="L210" s="102" t="n">
        <x:v>0.06112137203164991</x:v>
      </x:c>
      <x:c r="M210" s="102" t="n">
        <x:v>87.74</x:v>
      </x:c>
      <x:c r="N210" s="102" t="n">
        <x:v>0.2049999999999983</x:v>
      </x:c>
      <x:c r="O210" s="102" t="n">
        <x:v>10.665</x:v>
      </x:c>
      <x:c r="P210" s="102" t="n">
        <x:v>0</x:v>
      </x:c>
      <x:c r="Q210" s="45" t="str">
        <x:v>MODEL_INFERRED</x:v>
      </x:c>
      <x:c r="R210" s="45" t="str">
        <x:v>SCENARIO_GENERATION</x:v>
      </x:c>
      <x:c r="S210" s="45" t="str">
        <x:v>USER_REVIEW_REQUIRED</x:v>
      </x:c>
    </x:row>
    <x:row r="211">
      <x:c r="A211" s="45" t="str">
        <x:v>FU_CAZ_HIGH</x:v>
      </x:c>
      <x:c r="B211" s="45" t="str">
        <x:v>CAZ unbound fraction = 0.90</x:v>
      </x:c>
      <x:c r="C211" s="45" t="str">
        <x:v>R10</x:v>
      </x:c>
      <x:c r="D211" s="45" t="str">
        <x:v>61–90</x:v>
      </x:c>
      <x:c r="E211" s="45" t="n">
        <x:v>2.5</x:v>
      </x:c>
      <x:c r="F211" s="45" t="n">
        <x:v>8</x:v>
      </x:c>
      <x:c r="G211" s="45" t="str">
        <x:v>LEE2022_OXA_KP</x:v>
      </x:c>
      <x:c r="H211" s="45" t="str">
        <x:v>OXA-like CR-K. pneumoniae, ATLAS 2020</x:v>
      </x:c>
      <x:c r="I211" s="102" t="n">
        <x:v>98.38756355932205</x:v>
      </x:c>
      <x:c r="J211" s="102" t="n">
        <x:v>88.14000000000003</x:v>
      </x:c>
      <x:c r="K211" s="102" t="n">
        <x:v>86.94044491525425</x:v>
      </x:c>
      <x:c r="L211" s="102" t="n">
        <x:v>0.023411016949154373</x:v>
      </x:c>
      <x:c r="M211" s="102" t="n">
        <x:v>87.74</x:v>
      </x:c>
      <x:c r="N211" s="102" t="n">
        <x:v>0.2049999999999983</x:v>
      </x:c>
      <x:c r="O211" s="102" t="n">
        <x:v>10.665</x:v>
      </x:c>
      <x:c r="P211" s="102" t="n">
        <x:v>0</x:v>
      </x:c>
      <x:c r="Q211" s="45" t="str">
        <x:v>MODEL_INFERRED</x:v>
      </x:c>
      <x:c r="R211" s="45" t="str">
        <x:v>SCENARIO_GENERATION</x:v>
      </x:c>
      <x:c r="S211" s="45" t="str">
        <x:v>USER_REVIEW_REQUIRED</x:v>
      </x:c>
    </x:row>
    <x:row r="212">
      <x:c r="A212" s="45" t="str">
        <x:v>FU_CAZ_HIGH</x:v>
      </x:c>
      <x:c r="B212" s="45" t="str">
        <x:v>CAZ unbound fraction = 0.90</x:v>
      </x:c>
      <x:c r="C212" s="45" t="str">
        <x:v>R10</x:v>
      </x:c>
      <x:c r="D212" s="45" t="str">
        <x:v>61–90</x:v>
      </x:c>
      <x:c r="E212" s="45" t="n">
        <x:v>2.5</x:v>
      </x:c>
      <x:c r="F212" s="45" t="n">
        <x:v>8</x:v>
      </x:c>
      <x:c r="G212" s="45" t="str">
        <x:v>INDIA2022_OXA48_KP</x:v>
      </x:c>
      <x:c r="H212" s="45" t="str">
        <x:v>OXA-48-like CR-K. pneumoniae, India</x:v>
      </x:c>
      <x:c r="I212" s="102" t="n">
        <x:v>96.22180147058822</x:v>
      </x:c>
      <x:c r="J212" s="102" t="n">
        <x:v>88.13999999999999</x:v>
      </x:c>
      <x:c r="K212" s="102" t="n">
        <x:v>84.95676470588235</x:v>
      </x:c>
      <x:c r="L212" s="102" t="n">
        <x:v>0.01716911764705742</x:v>
      </x:c>
      <x:c r="M212" s="102" t="n">
        <x:v>87.74</x:v>
      </x:c>
      <x:c r="N212" s="102" t="n">
        <x:v>0.2049999999999983</x:v>
      </x:c>
      <x:c r="O212" s="102" t="n">
        <x:v>10.665</x:v>
      </x:c>
      <x:c r="P212" s="102" t="n">
        <x:v>0</x:v>
      </x:c>
      <x:c r="Q212" s="45" t="str">
        <x:v>MODEL_INFERRED</x:v>
      </x:c>
      <x:c r="R212" s="45" t="str">
        <x:v>SCENARIO_GENERATION</x:v>
      </x:c>
      <x:c r="S212" s="45" t="str">
        <x:v>USER_REVIEW_REQUIRED</x:v>
      </x:c>
    </x:row>
    <x:row r="213">
      <x:c r="A213" s="45" t="str">
        <x:v>FU_CAZ_HIGH</x:v>
      </x:c>
      <x:c r="B213" s="45" t="str">
        <x:v>CAZ unbound fraction = 0.90</x:v>
      </x:c>
      <x:c r="C213" s="45" t="str">
        <x:v>R10</x:v>
      </x:c>
      <x:c r="D213" s="45" t="str">
        <x:v>61–90</x:v>
      </x:c>
      <x:c r="E213" s="45" t="n">
        <x:v>2.5</x:v>
      </x:c>
      <x:c r="F213" s="45" t="n">
        <x:v>8</x:v>
      </x:c>
      <x:c r="G213" s="45" t="str">
        <x:v>FR2024_OXA484_SERINE_ONLY</x:v>
      </x:c>
      <x:c r="H213" s="45" t="str">
        <x:v>French OXA-484 Enterobacterales, serine-only</x:v>
      </x:c>
      <x:c r="I213" s="102" t="n">
        <x:v>99.85091666666668</x:v>
      </x:c>
      <x:c r="J213" s="102" t="n">
        <x:v>88.14</x:v>
      </x:c>
      <x:c r="K213" s="102" t="n">
        <x:v>88.13333333333334</x:v>
      </x:c>
      <x:c r="L213" s="102" t="n">
        <x:v>0.0034166666666664014</x:v>
      </x:c>
      <x:c r="M213" s="102" t="n">
        <x:v>87.74</x:v>
      </x:c>
      <x:c r="N213" s="102" t="n">
        <x:v>0.2049999999999983</x:v>
      </x:c>
      <x:c r="O213" s="102" t="n">
        <x:v>10.665</x:v>
      </x:c>
      <x:c r="P213" s="102" t="n">
        <x:v>0</x:v>
      </x:c>
      <x:c r="Q213" s="45" t="str">
        <x:v>MODEL_INFERRED</x:v>
      </x:c>
      <x:c r="R213" s="45" t="str">
        <x:v>SCENARIO_GENERATION</x:v>
      </x:c>
      <x:c r="S213" s="45" t="str">
        <x:v>USER_REVIEW_REQUIRED</x:v>
      </x:c>
    </x:row>
    <x:row r="214">
      <x:c r="A214" s="45" t="str">
        <x:v>FU_CAZ_HIGH</x:v>
      </x:c>
      <x:c r="B214" s="45" t="str">
        <x:v>CAZ unbound fraction = 0.90</x:v>
      </x:c>
      <x:c r="C214" s="45" t="str">
        <x:v>R12</x:v>
      </x:c>
      <x:c r="D214" s="45" t="str">
        <x:v>91–120</x:v>
      </x:c>
      <x:c r="E214" s="45" t="n">
        <x:v>2.5</x:v>
      </x:c>
      <x:c r="F214" s="45" t="n">
        <x:v>6</x:v>
      </x:c>
      <x:c r="G214" s="45" t="str">
        <x:v>LEE2022_KPC_KP</x:v>
      </x:c>
      <x:c r="H214" s="45" t="str">
        <x:v>KPC-like CR-K. pneumoniae, ATLAS 2020</x:v>
      </x:c>
      <x:c r="I214" s="102" t="n">
        <x:v>98.74783641160948</x:v>
      </x:c>
      <x:c r="J214" s="102" t="n">
        <x:v>88.14</x:v>
      </x:c>
      <x:c r="K214" s="102" t="n">
        <x:v>87.5472295514512</x:v>
      </x:c>
      <x:c r="L214" s="102" t="n">
        <x:v>0.05650395778364725</x:v>
      </x:c>
      <x:c r="M214" s="102" t="n">
        <x:v>87.94</x:v>
      </x:c>
      <x:c r="N214" s="102" t="n">
        <x:v>0.1799999999999926</x:v>
      </x:c>
      <x:c r="O214" s="102" t="n">
        <x:v>11.82</x:v>
      </x:c>
      <x:c r="P214" s="102" t="n">
        <x:v>0</x:v>
      </x:c>
      <x:c r="Q214" s="45" t="str">
        <x:v>MODEL_INFERRED</x:v>
      </x:c>
      <x:c r="R214" s="45" t="str">
        <x:v>SCENARIO_GENERATION</x:v>
      </x:c>
      <x:c r="S214" s="45" t="str">
        <x:v>USER_REVIEW_REQUIRED</x:v>
      </x:c>
    </x:row>
    <x:row r="215">
      <x:c r="A215" s="45" t="str">
        <x:v>FU_CAZ_HIGH</x:v>
      </x:c>
      <x:c r="B215" s="45" t="str">
        <x:v>CAZ unbound fraction = 0.90</x:v>
      </x:c>
      <x:c r="C215" s="45" t="str">
        <x:v>R12</x:v>
      </x:c>
      <x:c r="D215" s="45" t="str">
        <x:v>91–120</x:v>
      </x:c>
      <x:c r="E215" s="45" t="n">
        <x:v>2.5</x:v>
      </x:c>
      <x:c r="F215" s="45" t="n">
        <x:v>6</x:v>
      </x:c>
      <x:c r="G215" s="45" t="str">
        <x:v>LEE2022_OXA_KP</x:v>
      </x:c>
      <x:c r="H215" s="45" t="str">
        <x:v>OXA-like CR-K. pneumoniae, ATLAS 2020</x:v>
      </x:c>
      <x:c r="I215" s="102" t="n">
        <x:v>98.44000000000003</x:v>
      </x:c>
      <x:c r="J215" s="102" t="n">
        <x:v>88.14000000000003</x:v>
      </x:c>
      <x:c r="K215" s="102" t="n">
        <x:v>86.96150423728815</x:v>
      </x:c>
      <x:c r="L215" s="102" t="n">
        <x:v>0.0220338983050965</x:v>
      </x:c>
      <x:c r="M215" s="102" t="n">
        <x:v>87.94</x:v>
      </x:c>
      <x:c r="N215" s="102" t="n">
        <x:v>0.1799999999999926</x:v>
      </x:c>
      <x:c r="O215" s="102" t="n">
        <x:v>11.82</x:v>
      </x:c>
      <x:c r="P215" s="102" t="n">
        <x:v>0</x:v>
      </x:c>
      <x:c r="Q215" s="45" t="str">
        <x:v>MODEL_INFERRED</x:v>
      </x:c>
      <x:c r="R215" s="45" t="str">
        <x:v>SCENARIO_GENERATION</x:v>
      </x:c>
      <x:c r="S215" s="45" t="str">
        <x:v>USER_REVIEW_REQUIRED</x:v>
      </x:c>
    </x:row>
    <x:row r="216">
      <x:c r="A216" s="45" t="str">
        <x:v>FU_CAZ_HIGH</x:v>
      </x:c>
      <x:c r="B216" s="45" t="str">
        <x:v>CAZ unbound fraction = 0.90</x:v>
      </x:c>
      <x:c r="C216" s="45" t="str">
        <x:v>R12</x:v>
      </x:c>
      <x:c r="D216" s="45" t="str">
        <x:v>91–120</x:v>
      </x:c>
      <x:c r="E216" s="45" t="n">
        <x:v>2.5</x:v>
      </x:c>
      <x:c r="F216" s="45" t="n">
        <x:v>6</x:v>
      </x:c>
      <x:c r="G216" s="45" t="str">
        <x:v>INDIA2022_OXA48_KP</x:v>
      </x:c>
      <x:c r="H216" s="45" t="str">
        <x:v>OXA-48-like CR-K. pneumoniae, India</x:v>
      </x:c>
      <x:c r="I216" s="102" t="n">
        <x:v>96.25683823529411</x:v>
      </x:c>
      <x:c r="J216" s="102" t="n">
        <x:v>88.13999999999999</x:v>
      </x:c>
      <x:c r="K216" s="102" t="n">
        <x:v>84.96819852941175</x:v>
      </x:c>
      <x:c r="L216" s="102" t="n">
        <x:v>0.017610294117631042</x:v>
      </x:c>
      <x:c r="M216" s="102" t="n">
        <x:v>87.94</x:v>
      </x:c>
      <x:c r="N216" s="102" t="n">
        <x:v>0.1799999999999926</x:v>
      </x:c>
      <x:c r="O216" s="102" t="n">
        <x:v>11.82</x:v>
      </x:c>
      <x:c r="P216" s="102" t="n">
        <x:v>0</x:v>
      </x:c>
      <x:c r="Q216" s="45" t="str">
        <x:v>MODEL_INFERRED</x:v>
      </x:c>
      <x:c r="R216" s="45" t="str">
        <x:v>SCENARIO_GENERATION</x:v>
      </x:c>
      <x:c r="S216" s="45" t="str">
        <x:v>USER_REVIEW_REQUIRED</x:v>
      </x:c>
    </x:row>
    <x:row r="217">
      <x:c r="A217" s="45" t="str">
        <x:v>FU_CAZ_HIGH</x:v>
      </x:c>
      <x:c r="B217" s="45" t="str">
        <x:v>CAZ unbound fraction = 0.90</x:v>
      </x:c>
      <x:c r="C217" s="45" t="str">
        <x:v>R12</x:v>
      </x:c>
      <x:c r="D217" s="45" t="str">
        <x:v>91–120</x:v>
      </x:c>
      <x:c r="E217" s="45" t="n">
        <x:v>2.5</x:v>
      </x:c>
      <x:c r="F217" s="45" t="n">
        <x:v>6</x:v>
      </x:c>
      <x:c r="G217" s="45" t="str">
        <x:v>FR2024_OXA484_SERINE_ONLY</x:v>
      </x:c>
      <x:c r="H217" s="45" t="str">
        <x:v>French OXA-484 Enterobacterales, serine-only</x:v>
      </x:c>
      <x:c r="I217" s="102" t="n">
        <x:v>99.87475</x:v>
      </x:c>
      <x:c r="J217" s="102" t="n">
        <x:v>88.14</x:v>
      </x:c>
      <x:c r="K217" s="102" t="n">
        <x:v>88.13666666666667</x:v>
      </x:c>
      <x:c r="L217" s="102" t="n">
        <x:v>0.0030000000000001137</x:v>
      </x:c>
      <x:c r="M217" s="102" t="n">
        <x:v>87.94</x:v>
      </x:c>
      <x:c r="N217" s="102" t="n">
        <x:v>0.1799999999999926</x:v>
      </x:c>
      <x:c r="O217" s="102" t="n">
        <x:v>11.82</x:v>
      </x:c>
      <x:c r="P217" s="102" t="n">
        <x:v>0</x:v>
      </x:c>
      <x:c r="Q217" s="45" t="str">
        <x:v>MODEL_INFERRED</x:v>
      </x:c>
      <x:c r="R217" s="45" t="str">
        <x:v>SCENARIO_GENERATION</x:v>
      </x:c>
      <x:c r="S217" s="45" t="str">
        <x:v>USER_REVIEW_REQUIRED</x:v>
      </x:c>
    </x:row>
    <x:row r="218">
      <x:c r="A218" s="45" t="str">
        <x:v>FU_CAZ_HIGH</x:v>
      </x:c>
      <x:c r="B218" s="45" t="str">
        <x:v>CAZ unbound fraction = 0.90</x:v>
      </x:c>
      <x:c r="C218" s="45" t="str">
        <x:v>R13</x:v>
      </x:c>
      <x:c r="D218" s="45" t="str">
        <x:v>121–150</x:v>
      </x:c>
      <x:c r="E218" s="45" t="n">
        <x:v>2.5</x:v>
      </x:c>
      <x:c r="F218" s="45" t="n">
        <x:v>6</x:v>
      </x:c>
      <x:c r="G218" s="45" t="str">
        <x:v>LEE2022_KPC_KP</x:v>
      </x:c>
      <x:c r="H218" s="45" t="str">
        <x:v>KPC-like CR-K. pneumoniae, ATLAS 2020</x:v>
      </x:c>
      <x:c r="I218" s="102" t="n">
        <x:v>98.2429419525066</x:v>
      </x:c>
      <x:c r="J218" s="102" t="n">
        <x:v>80.39999999999998</x:v>
      </x:c>
      <x:c r="K218" s="102" t="n">
        <x:v>79.79817941952506</x:v>
      </x:c>
      <x:c r="L218" s="102" t="n">
        <x:v>0.061029023746698385</x:v>
      </x:c>
      <x:c r="M218" s="102" t="n">
        <x:v>80.215</x:v>
      </x:c>
      <x:c r="N218" s="102" t="n">
        <x:v>0.20000000000000284</x:v>
      </x:c>
      <x:c r="O218" s="102" t="n">
        <x:v>7.045</x:v>
      </x:c>
      <x:c r="P218" s="102" t="n">
        <x:v>0</x:v>
      </x:c>
      <x:c r="Q218" s="45" t="str">
        <x:v>MODEL_INFERRED</x:v>
      </x:c>
      <x:c r="R218" s="45" t="str">
        <x:v>SCENARIO_GENERATION</x:v>
      </x:c>
      <x:c r="S218" s="45" t="str">
        <x:v>USER_REVIEW_REQUIRED</x:v>
      </x:c>
    </x:row>
    <x:row r="219">
      <x:c r="A219" s="45" t="str">
        <x:v>FU_CAZ_HIGH</x:v>
      </x:c>
      <x:c r="B219" s="45" t="str">
        <x:v>CAZ unbound fraction = 0.90</x:v>
      </x:c>
      <x:c r="C219" s="45" t="str">
        <x:v>R13</x:v>
      </x:c>
      <x:c r="D219" s="45" t="str">
        <x:v>121–150</x:v>
      </x:c>
      <x:c r="E219" s="45" t="n">
        <x:v>2.5</x:v>
      </x:c>
      <x:c r="F219" s="45" t="n">
        <x:v>6</x:v>
      </x:c>
      <x:c r="G219" s="45" t="str">
        <x:v>LEE2022_OXA_KP</x:v>
      </x:c>
      <x:c r="H219" s="45" t="str">
        <x:v>OXA-like CR-K. pneumoniae, ATLAS 2020</x:v>
      </x:c>
      <x:c r="I219" s="102" t="n">
        <x:v>98.22226694915257</x:v>
      </x:c>
      <x:c r="J219" s="102" t="n">
        <x:v>80.4</x:v>
      </x:c>
      <x:c r="K219" s="102" t="n">
        <x:v>79.29802966101697</x:v>
      </x:c>
      <x:c r="L219" s="102" t="n">
        <x:v>0.02288135593221341</x:v>
      </x:c>
      <x:c r="M219" s="102" t="n">
        <x:v>80.215</x:v>
      </x:c>
      <x:c r="N219" s="102" t="n">
        <x:v>0.20000000000000284</x:v>
      </x:c>
      <x:c r="O219" s="102" t="n">
        <x:v>7.045</x:v>
      </x:c>
      <x:c r="P219" s="102" t="n">
        <x:v>0</x:v>
      </x:c>
      <x:c r="Q219" s="45" t="str">
        <x:v>MODEL_INFERRED</x:v>
      </x:c>
      <x:c r="R219" s="45" t="str">
        <x:v>SCENARIO_GENERATION</x:v>
      </x:c>
      <x:c r="S219" s="45" t="str">
        <x:v>USER_REVIEW_REQUIRED</x:v>
      </x:c>
    </x:row>
    <x:row r="220">
      <x:c r="A220" s="45" t="str">
        <x:v>FU_CAZ_HIGH</x:v>
      </x:c>
      <x:c r="B220" s="45" t="str">
        <x:v>CAZ unbound fraction = 0.90</x:v>
      </x:c>
      <x:c r="C220" s="45" t="str">
        <x:v>R13</x:v>
      </x:c>
      <x:c r="D220" s="45" t="str">
        <x:v>121–150</x:v>
      </x:c>
      <x:c r="E220" s="45" t="n">
        <x:v>2.5</x:v>
      </x:c>
      <x:c r="F220" s="45" t="n">
        <x:v>6</x:v>
      </x:c>
      <x:c r="G220" s="45" t="str">
        <x:v>INDIA2022_OXA48_KP</x:v>
      </x:c>
      <x:c r="H220" s="45" t="str">
        <x:v>OXA-48-like CR-K. pneumoniae, India</x:v>
      </x:c>
      <x:c r="I220" s="102" t="n">
        <x:v>96.10033088235294</x:v>
      </x:c>
      <x:c r="J220" s="102" t="n">
        <x:v>80.40000000000003</x:v>
      </x:c>
      <x:c r="K220" s="102" t="n">
        <x:v>77.4764705882353</x:v>
      </x:c>
      <x:c r="L220" s="102" t="n">
        <x:v>0.013492647058811258</x:v>
      </x:c>
      <x:c r="M220" s="102" t="n">
        <x:v>80.215</x:v>
      </x:c>
      <x:c r="N220" s="102" t="n">
        <x:v>0.20000000000000284</x:v>
      </x:c>
      <x:c r="O220" s="102" t="n">
        <x:v>7.045</x:v>
      </x:c>
      <x:c r="P220" s="102" t="n">
        <x:v>0</x:v>
      </x:c>
      <x:c r="Q220" s="45" t="str">
        <x:v>MODEL_INFERRED</x:v>
      </x:c>
      <x:c r="R220" s="45" t="str">
        <x:v>SCENARIO_GENERATION</x:v>
      </x:c>
      <x:c r="S220" s="45" t="str">
        <x:v>USER_REVIEW_REQUIRED</x:v>
      </x:c>
    </x:row>
    <x:row r="221">
      <x:c r="A221" s="45" t="str">
        <x:v>FU_CAZ_HIGH</x:v>
      </x:c>
      <x:c r="B221" s="45" t="str">
        <x:v>CAZ unbound fraction = 0.90</x:v>
      </x:c>
      <x:c r="C221" s="45" t="str">
        <x:v>R13</x:v>
      </x:c>
      <x:c r="D221" s="45" t="str">
        <x:v>121–150</x:v>
      </x:c>
      <x:c r="E221" s="45" t="n">
        <x:v>2.5</x:v>
      </x:c>
      <x:c r="F221" s="45" t="n">
        <x:v>6</x:v>
      </x:c>
      <x:c r="G221" s="45" t="str">
        <x:v>FR2024_OXA484_SERINE_ONLY</x:v>
      </x:c>
      <x:c r="H221" s="45" t="str">
        <x:v>French OXA-484 Enterobacterales, serine-only</x:v>
      </x:c>
      <x:c r="I221" s="102" t="n">
        <x:v>99.76683333333334</x:v>
      </x:c>
      <x:c r="J221" s="102" t="n">
        <x:v>80.4</x:v>
      </x:c>
      <x:c r="K221" s="102" t="n">
        <x:v>80.39691666666667</x:v>
      </x:c>
      <x:c r="L221" s="102" t="n">
        <x:v>0.0033333333333303017</x:v>
      </x:c>
      <x:c r="M221" s="102" t="n">
        <x:v>80.215</x:v>
      </x:c>
      <x:c r="N221" s="102" t="n">
        <x:v>0.20000000000000284</x:v>
      </x:c>
      <x:c r="O221" s="102" t="n">
        <x:v>7.045</x:v>
      </x:c>
      <x:c r="P221" s="102" t="n">
        <x:v>0</x:v>
      </x:c>
      <x:c r="Q221" s="45" t="str">
        <x:v>MODEL_INFERRED</x:v>
      </x:c>
      <x:c r="R221" s="45" t="str">
        <x:v>SCENARIO_GENERATION</x:v>
      </x:c>
      <x:c r="S221" s="45" t="str">
        <x:v>USER_REVIEW_REQUIRED</x:v>
      </x:c>
    </x:row>
    <x:row r="222">
      <x:c r="A222" s="45" t="str">
        <x:v>FU_AVI_LOW</x:v>
      </x:c>
      <x:c r="B222" s="45" t="str">
        <x:v>AVI unbound fraction = 0.87</x:v>
      </x:c>
      <x:c r="C222" s="45" t="str">
        <x:v>R1</x:v>
      </x:c>
      <x:c r="D222" s="45" t="str">
        <x:v>0–30</x:v>
      </x:c>
      <x:c r="E222" s="45" t="n">
        <x:v>0.625</x:v>
      </x:c>
      <x:c r="F222" s="45" t="n">
        <x:v>12</x:v>
      </x:c>
      <x:c r="G222" s="45" t="str">
        <x:v>LEE2022_KPC_KP</x:v>
      </x:c>
      <x:c r="H222" s="45" t="str">
        <x:v>KPC-like CR-K. pneumoniae, ATLAS 2020</x:v>
      </x:c>
      <x:c r="I222" s="102" t="n">
        <x:v>93.65485488126649</x:v>
      </x:c>
      <x:c r="J222" s="102" t="n">
        <x:v>72.09999999999998</x:v>
      </x:c>
      <x:c r="K222" s="102" t="n">
        <x:v>70.84568601583113</x:v>
      </x:c>
      <x:c r="L222" s="102" t="n">
        <x:v>-1.9584432717678055</x:v>
      </x:c>
      <x:c r="M222" s="102" t="n">
        <x:v>65.805</x:v>
      </x:c>
      <x:c r="N222" s="102" t="n">
        <x:v>-0.6199999999999903</x:v>
      </x:c>
      <x:c r="O222" s="102" t="n">
        <x:v>9.42</x:v>
      </x:c>
      <x:c r="P222" s="102" t="n">
        <x:v>0</x:v>
      </x:c>
      <x:c r="Q222" s="45" t="str">
        <x:v>MODEL_INFERRED</x:v>
      </x:c>
      <x:c r="R222" s="45" t="str">
        <x:v>SCENARIO_GENERATION</x:v>
      </x:c>
      <x:c r="S222" s="45" t="str">
        <x:v>USER_REVIEW_REQUIRED</x:v>
      </x:c>
    </x:row>
    <x:row r="223">
      <x:c r="A223" s="45" t="str">
        <x:v>FU_AVI_LOW</x:v>
      </x:c>
      <x:c r="B223" s="45" t="str">
        <x:v>AVI unbound fraction = 0.87</x:v>
      </x:c>
      <x:c r="C223" s="45" t="str">
        <x:v>R1</x:v>
      </x:c>
      <x:c r="D223" s="45" t="str">
        <x:v>0–30</x:v>
      </x:c>
      <x:c r="E223" s="45" t="n">
        <x:v>0.625</x:v>
      </x:c>
      <x:c r="F223" s="45" t="n">
        <x:v>12</x:v>
      </x:c>
      <x:c r="G223" s="45" t="str">
        <x:v>LEE2022_OXA_KP</x:v>
      </x:c>
      <x:c r="H223" s="45" t="str">
        <x:v>OXA-like CR-K. pneumoniae, ATLAS 2020</x:v>
      </x:c>
      <x:c r="I223" s="102" t="n">
        <x:v>95.5652966101695</x:v>
      </x:c>
      <x:c r="J223" s="102" t="n">
        <x:v>72.1</x:v>
      </x:c>
      <x:c r="K223" s="102" t="n">
        <x:v>70.90813559322034</x:v>
      </x:c>
      <x:c r="L223" s="102" t="n">
        <x:v>-2.0448728813559285</x:v>
      </x:c>
      <x:c r="M223" s="102" t="n">
        <x:v>65.805</x:v>
      </x:c>
      <x:c r="N223" s="102" t="n">
        <x:v>-0.6199999999999903</x:v>
      </x:c>
      <x:c r="O223" s="102" t="n">
        <x:v>9.42</x:v>
      </x:c>
      <x:c r="P223" s="102" t="n">
        <x:v>0</x:v>
      </x:c>
      <x:c r="Q223" s="45" t="str">
        <x:v>MODEL_INFERRED</x:v>
      </x:c>
      <x:c r="R223" s="45" t="str">
        <x:v>SCENARIO_GENERATION</x:v>
      </x:c>
      <x:c r="S223" s="45" t="str">
        <x:v>USER_REVIEW_REQUIRED</x:v>
      </x:c>
    </x:row>
    <x:row r="224">
      <x:c r="A224" s="45" t="str">
        <x:v>FU_AVI_LOW</x:v>
      </x:c>
      <x:c r="B224" s="45" t="str">
        <x:v>AVI unbound fraction = 0.87</x:v>
      </x:c>
      <x:c r="C224" s="45" t="str">
        <x:v>R1</x:v>
      </x:c>
      <x:c r="D224" s="45" t="str">
        <x:v>0–30</x:v>
      </x:c>
      <x:c r="E224" s="45" t="n">
        <x:v>0.625</x:v>
      </x:c>
      <x:c r="F224" s="45" t="n">
        <x:v>12</x:v>
      </x:c>
      <x:c r="G224" s="45" t="str">
        <x:v>INDIA2022_OXA48_KP</x:v>
      </x:c>
      <x:c r="H224" s="45" t="str">
        <x:v>OXA-48-like CR-K. pneumoniae, India</x:v>
      </x:c>
      <x:c r="I224" s="102" t="n">
        <x:v>94.45033088235294</x:v>
      </x:c>
      <x:c r="J224" s="102" t="n">
        <x:v>72.10000000000001</x:v>
      </x:c>
      <x:c r="K224" s="102" t="n">
        <x:v>69.43386029411765</x:v>
      </x:c>
      <x:c r="L224" s="102" t="n">
        <x:v>-2.0084191176470654</x:v>
      </x:c>
      <x:c r="M224" s="102" t="n">
        <x:v>65.805</x:v>
      </x:c>
      <x:c r="N224" s="102" t="n">
        <x:v>-0.6199999999999903</x:v>
      </x:c>
      <x:c r="O224" s="102" t="n">
        <x:v>9.42</x:v>
      </x:c>
      <x:c r="P224" s="102" t="n">
        <x:v>0</x:v>
      </x:c>
      <x:c r="Q224" s="45" t="str">
        <x:v>MODEL_INFERRED</x:v>
      </x:c>
      <x:c r="R224" s="45" t="str">
        <x:v>SCENARIO_GENERATION</x:v>
      </x:c>
      <x:c r="S224" s="45" t="str">
        <x:v>USER_REVIEW_REQUIRED</x:v>
      </x:c>
    </x:row>
    <x:row r="225">
      <x:c r="A225" s="45" t="str">
        <x:v>FU_AVI_LOW</x:v>
      </x:c>
      <x:c r="B225" s="45" t="str">
        <x:v>AVI unbound fraction = 0.87</x:v>
      </x:c>
      <x:c r="C225" s="45" t="str">
        <x:v>R1</x:v>
      </x:c>
      <x:c r="D225" s="45" t="str">
        <x:v>0–30</x:v>
      </x:c>
      <x:c r="E225" s="45" t="n">
        <x:v>0.625</x:v>
      </x:c>
      <x:c r="F225" s="45" t="n">
        <x:v>12</x:v>
      </x:c>
      <x:c r="G225" s="45" t="str">
        <x:v>FR2024_OXA484_SERINE_ONLY</x:v>
      </x:c>
      <x:c r="H225" s="45" t="str">
        <x:v>French OXA-484 Enterobacterales, serine-only</x:v>
      </x:c>
      <x:c r="I225" s="102" t="n">
        <x:v>98.06408333333334</x:v>
      </x:c>
      <x:c r="J225" s="102" t="n">
        <x:v>72.10000000000001</x:v>
      </x:c>
      <x:c r="K225" s="102" t="n">
        <x:v>71.99508333333334</x:v>
      </x:c>
      <x:c r="L225" s="102" t="n">
        <x:v>-2.0942500000000024</x:v>
      </x:c>
      <x:c r="M225" s="102" t="n">
        <x:v>65.805</x:v>
      </x:c>
      <x:c r="N225" s="102" t="n">
        <x:v>-0.6199999999999903</x:v>
      </x:c>
      <x:c r="O225" s="102" t="n">
        <x:v>9.42</x:v>
      </x:c>
      <x:c r="P225" s="102" t="n">
        <x:v>0</x:v>
      </x:c>
      <x:c r="Q225" s="45" t="str">
        <x:v>MODEL_INFERRED</x:v>
      </x:c>
      <x:c r="R225" s="45" t="str">
        <x:v>SCENARIO_GENERATION</x:v>
      </x:c>
      <x:c r="S225" s="45" t="str">
        <x:v>USER_REVIEW_REQUIRED</x:v>
      </x:c>
    </x:row>
    <x:row r="226">
      <x:c r="A226" s="45" t="str">
        <x:v>FU_AVI_LOW</x:v>
      </x:c>
      <x:c r="B226" s="45" t="str">
        <x:v>AVI unbound fraction = 0.87</x:v>
      </x:c>
      <x:c r="C226" s="45" t="str">
        <x:v>R8</x:v>
      </x:c>
      <x:c r="D226" s="45" t="str">
        <x:v>31–60</x:v>
      </x:c>
      <x:c r="E226" s="45" t="n">
        <x:v>2.5</x:v>
      </x:c>
      <x:c r="F226" s="45" t="n">
        <x:v>12</x:v>
      </x:c>
      <x:c r="G226" s="45" t="str">
        <x:v>LEE2022_KPC_KP</x:v>
      </x:c>
      <x:c r="H226" s="45" t="str">
        <x:v>KPC-like CR-K. pneumoniae, ATLAS 2020</x:v>
      </x:c>
      <x:c r="I226" s="102" t="n">
        <x:v>98.2425857519789</x:v>
      </x:c>
      <x:c r="J226" s="102" t="n">
        <x:v>87.675</x:v>
      </x:c>
      <x:c r="K226" s="102" t="n">
        <x:v>86.91427440633245</x:v>
      </x:c>
      <x:c r="L226" s="102" t="n">
        <x:v>-1.4985488126649074</x:v>
      </x:c>
      <x:c r="M226" s="102" t="n">
        <x:v>86.75500000000001</x:v>
      </x:c>
      <x:c r="N226" s="102" t="n">
        <x:v>-1.2299999999999898</x:v>
      </x:c>
      <x:c r="O226" s="102" t="n">
        <x:v>9.62</x:v>
      </x:c>
      <x:c r="P226" s="102" t="n">
        <x:v>0</x:v>
      </x:c>
      <x:c r="Q226" s="45" t="str">
        <x:v>MODEL_INFERRED</x:v>
      </x:c>
      <x:c r="R226" s="45" t="str">
        <x:v>SCENARIO_GENERATION</x:v>
      </x:c>
      <x:c r="S226" s="45" t="str">
        <x:v>USER_REVIEW_REQUIRED</x:v>
      </x:c>
    </x:row>
    <x:row r="227">
      <x:c r="A227" s="45" t="str">
        <x:v>FU_AVI_LOW</x:v>
      </x:c>
      <x:c r="B227" s="45" t="str">
        <x:v>AVI unbound fraction = 0.87</x:v>
      </x:c>
      <x:c r="C227" s="45" t="str">
        <x:v>R8</x:v>
      </x:c>
      <x:c r="D227" s="45" t="str">
        <x:v>31–60</x:v>
      </x:c>
      <x:c r="E227" s="45" t="n">
        <x:v>2.5</x:v>
      </x:c>
      <x:c r="F227" s="45" t="n">
        <x:v>12</x:v>
      </x:c>
      <x:c r="G227" s="45" t="str">
        <x:v>LEE2022_OXA_KP</x:v>
      </x:c>
      <x:c r="H227" s="45" t="str">
        <x:v>OXA-like CR-K. pneumoniae, ATLAS 2020</x:v>
      </x:c>
      <x:c r="I227" s="102" t="n">
        <x:v>98.22625000000002</x:v>
      </x:c>
      <x:c r="J227" s="102" t="n">
        <x:v>87.675</x:v>
      </x:c>
      <x:c r="K227" s="102" t="n">
        <x:v>86.43921610169491</x:v>
      </x:c>
      <x:c r="L227" s="102" t="n">
        <x:v>-1.5156355932203525</x:v>
      </x:c>
      <x:c r="M227" s="102" t="n">
        <x:v>86.75500000000001</x:v>
      </x:c>
      <x:c r="N227" s="102" t="n">
        <x:v>-1.2299999999999898</x:v>
      </x:c>
      <x:c r="O227" s="102" t="n">
        <x:v>9.62</x:v>
      </x:c>
      <x:c r="P227" s="102" t="n">
        <x:v>0</x:v>
      </x:c>
      <x:c r="Q227" s="45" t="str">
        <x:v>MODEL_INFERRED</x:v>
      </x:c>
      <x:c r="R227" s="45" t="str">
        <x:v>SCENARIO_GENERATION</x:v>
      </x:c>
      <x:c r="S227" s="45" t="str">
        <x:v>USER_REVIEW_REQUIRED</x:v>
      </x:c>
    </x:row>
    <x:row r="228">
      <x:c r="A228" s="45" t="str">
        <x:v>FU_AVI_LOW</x:v>
      </x:c>
      <x:c r="B228" s="45" t="str">
        <x:v>AVI unbound fraction = 0.87</x:v>
      </x:c>
      <x:c r="C228" s="45" t="str">
        <x:v>R8</x:v>
      </x:c>
      <x:c r="D228" s="45" t="str">
        <x:v>31–60</x:v>
      </x:c>
      <x:c r="E228" s="45" t="n">
        <x:v>2.5</x:v>
      </x:c>
      <x:c r="F228" s="45" t="n">
        <x:v>12</x:v>
      </x:c>
      <x:c r="G228" s="45" t="str">
        <x:v>INDIA2022_OXA48_KP</x:v>
      </x:c>
      <x:c r="H228" s="45" t="str">
        <x:v>OXA-48-like CR-K. pneumoniae, India</x:v>
      </x:c>
      <x:c r="I228" s="102" t="n">
        <x:v>96.11161764705881</x:v>
      </x:c>
      <x:c r="J228" s="102" t="n">
        <x:v>87.67500000000001</x:v>
      </x:c>
      <x:c r="K228" s="102" t="n">
        <x:v>84.47742647058823</x:v>
      </x:c>
      <x:c r="L228" s="102" t="n">
        <x:v>-1.485955882352954</x:v>
      </x:c>
      <x:c r="M228" s="102" t="n">
        <x:v>86.75500000000001</x:v>
      </x:c>
      <x:c r="N228" s="102" t="n">
        <x:v>-1.2299999999999898</x:v>
      </x:c>
      <x:c r="O228" s="102" t="n">
        <x:v>9.62</x:v>
      </x:c>
      <x:c r="P228" s="102" t="n">
        <x:v>0</x:v>
      </x:c>
      <x:c r="Q228" s="45" t="str">
        <x:v>MODEL_INFERRED</x:v>
      </x:c>
      <x:c r="R228" s="45" t="str">
        <x:v>SCENARIO_GENERATION</x:v>
      </x:c>
      <x:c r="S228" s="45" t="str">
        <x:v>USER_REVIEW_REQUIRED</x:v>
      </x:c>
    </x:row>
    <x:row r="229">
      <x:c r="A229" s="45" t="str">
        <x:v>FU_AVI_LOW</x:v>
      </x:c>
      <x:c r="B229" s="45" t="str">
        <x:v>AVI unbound fraction = 0.87</x:v>
      </x:c>
      <x:c r="C229" s="45" t="str">
        <x:v>R8</x:v>
      </x:c>
      <x:c r="D229" s="45" t="str">
        <x:v>31–60</x:v>
      </x:c>
      <x:c r="E229" s="45" t="n">
        <x:v>2.5</x:v>
      </x:c>
      <x:c r="F229" s="45" t="n">
        <x:v>12</x:v>
      </x:c>
      <x:c r="G229" s="45" t="str">
        <x:v>FR2024_OXA484_SERINE_ONLY</x:v>
      </x:c>
      <x:c r="H229" s="45" t="str">
        <x:v>French OXA-484 Enterobacterales, serine-only</x:v>
      </x:c>
      <x:c r="I229" s="102" t="n">
        <x:v>99.76208333333334</x:v>
      </x:c>
      <x:c r="J229" s="102" t="n">
        <x:v>87.67500000000001</x:v>
      </x:c>
      <x:c r="K229" s="102" t="n">
        <x:v>87.65966666666667</x:v>
      </x:c>
      <x:c r="L229" s="102" t="n">
        <x:v>-1.544666666666643</x:v>
      </x:c>
      <x:c r="M229" s="102" t="n">
        <x:v>86.75500000000001</x:v>
      </x:c>
      <x:c r="N229" s="102" t="n">
        <x:v>-1.2299999999999898</x:v>
      </x:c>
      <x:c r="O229" s="102" t="n">
        <x:v>9.62</x:v>
      </x:c>
      <x:c r="P229" s="102" t="n">
        <x:v>0</x:v>
      </x:c>
      <x:c r="Q229" s="45" t="str">
        <x:v>MODEL_INFERRED</x:v>
      </x:c>
      <x:c r="R229" s="45" t="str">
        <x:v>SCENARIO_GENERATION</x:v>
      </x:c>
      <x:c r="S229" s="45" t="str">
        <x:v>USER_REVIEW_REQUIRED</x:v>
      </x:c>
    </x:row>
    <x:row r="230">
      <x:c r="A230" s="45" t="str">
        <x:v>FU_AVI_LOW</x:v>
      </x:c>
      <x:c r="B230" s="45" t="str">
        <x:v>AVI unbound fraction = 0.87</x:v>
      </x:c>
      <x:c r="C230" s="45" t="str">
        <x:v>R10</x:v>
      </x:c>
      <x:c r="D230" s="45" t="str">
        <x:v>61–90</x:v>
      </x:c>
      <x:c r="E230" s="45" t="n">
        <x:v>2.5</x:v>
      </x:c>
      <x:c r="F230" s="45" t="n">
        <x:v>8</x:v>
      </x:c>
      <x:c r="G230" s="45" t="str">
        <x:v>LEE2022_KPC_KP</x:v>
      </x:c>
      <x:c r="H230" s="45" t="str">
        <x:v>KPC-like CR-K. pneumoniae, ATLAS 2020</x:v>
      </x:c>
      <x:c r="I230" s="102" t="n">
        <x:v>98.4327308707124</x:v>
      </x:c>
      <x:c r="J230" s="102" t="n">
        <x:v>86.58500000000001</x:v>
      </x:c>
      <x:c r="K230" s="102" t="n">
        <x:v>85.9150263852243</x:v>
      </x:c>
      <x:c r="L230" s="102" t="n">
        <x:v>-1.5141292875989336</x:v>
      </x:c>
      <x:c r="M230" s="102" t="n">
        <x:v>86.175</x:v>
      </x:c>
      <x:c r="N230" s="102" t="n">
        <x:v>-1.3599999999999994</x:v>
      </x:c>
      <x:c r="O230" s="102" t="n">
        <x:v>10.665</x:v>
      </x:c>
      <x:c r="P230" s="102" t="n">
        <x:v>0</x:v>
      </x:c>
      <x:c r="Q230" s="45" t="str">
        <x:v>MODEL_INFERRED</x:v>
      </x:c>
      <x:c r="R230" s="45" t="str">
        <x:v>SCENARIO_GENERATION</x:v>
      </x:c>
      <x:c r="S230" s="45" t="str">
        <x:v>USER_REVIEW_REQUIRED</x:v>
      </x:c>
    </x:row>
    <x:row r="231">
      <x:c r="A231" s="45" t="str">
        <x:v>FU_AVI_LOW</x:v>
      </x:c>
      <x:c r="B231" s="45" t="str">
        <x:v>AVI unbound fraction = 0.87</x:v>
      </x:c>
      <x:c r="C231" s="45" t="str">
        <x:v>R10</x:v>
      </x:c>
      <x:c r="D231" s="45" t="str">
        <x:v>61–90</x:v>
      </x:c>
      <x:c r="E231" s="45" t="n">
        <x:v>2.5</x:v>
      </x:c>
      <x:c r="F231" s="45" t="n">
        <x:v>8</x:v>
      </x:c>
      <x:c r="G231" s="45" t="str">
        <x:v>LEE2022_OXA_KP</x:v>
      </x:c>
      <x:c r="H231" s="45" t="str">
        <x:v>OXA-like CR-K. pneumoniae, ATLAS 2020</x:v>
      </x:c>
      <x:c r="I231" s="102" t="n">
        <x:v>98.30724576271186</x:v>
      </x:c>
      <x:c r="J231" s="102" t="n">
        <x:v>86.58500000000002</x:v>
      </x:c>
      <x:c r="K231" s="102" t="n">
        <x:v>85.39326271186442</x:v>
      </x:c>
      <x:c r="L231" s="102" t="n">
        <x:v>-1.5237711864406691</x:v>
      </x:c>
      <x:c r="M231" s="102" t="n">
        <x:v>86.175</x:v>
      </x:c>
      <x:c r="N231" s="102" t="n">
        <x:v>-1.3599999999999994</x:v>
      </x:c>
      <x:c r="O231" s="102" t="n">
        <x:v>10.665</x:v>
      </x:c>
      <x:c r="P231" s="102" t="n">
        <x:v>0</x:v>
      </x:c>
      <x:c r="Q231" s="45" t="str">
        <x:v>MODEL_INFERRED</x:v>
      </x:c>
      <x:c r="R231" s="45" t="str">
        <x:v>SCENARIO_GENERATION</x:v>
      </x:c>
      <x:c r="S231" s="45" t="str">
        <x:v>USER_REVIEW_REQUIRED</x:v>
      </x:c>
    </x:row>
    <x:row r="232">
      <x:c r="A232" s="45" t="str">
        <x:v>FU_AVI_LOW</x:v>
      </x:c>
      <x:c r="B232" s="45" t="str">
        <x:v>AVI unbound fraction = 0.87</x:v>
      </x:c>
      <x:c r="C232" s="45" t="str">
        <x:v>R10</x:v>
      </x:c>
      <x:c r="D232" s="45" t="str">
        <x:v>61–90</x:v>
      </x:c>
      <x:c r="E232" s="45" t="n">
        <x:v>2.5</x:v>
      </x:c>
      <x:c r="F232" s="45" t="n">
        <x:v>8</x:v>
      </x:c>
      <x:c r="G232" s="45" t="str">
        <x:v>INDIA2022_OXA48_KP</x:v>
      </x:c>
      <x:c r="H232" s="45" t="str">
        <x:v>OXA-48-like CR-K. pneumoniae, India</x:v>
      </x:c>
      <x:c r="I232" s="102" t="n">
        <x:v>96.16680147058821</x:v>
      </x:c>
      <x:c r="J232" s="102" t="n">
        <x:v>86.585</x:v>
      </x:c>
      <x:c r="K232" s="102" t="n">
        <x:v>83.4460661764706</x:v>
      </x:c>
      <x:c r="L232" s="102" t="n">
        <x:v>-1.4935294117646976</x:v>
      </x:c>
      <x:c r="M232" s="102" t="n">
        <x:v>86.175</x:v>
      </x:c>
      <x:c r="N232" s="102" t="n">
        <x:v>-1.3599999999999994</x:v>
      </x:c>
      <x:c r="O232" s="102" t="n">
        <x:v>10.665</x:v>
      </x:c>
      <x:c r="P232" s="102" t="n">
        <x:v>0</x:v>
      </x:c>
      <x:c r="Q232" s="45" t="str">
        <x:v>MODEL_INFERRED</x:v>
      </x:c>
      <x:c r="R232" s="45" t="str">
        <x:v>SCENARIO_GENERATION</x:v>
      </x:c>
      <x:c r="S232" s="45" t="str">
        <x:v>USER_REVIEW_REQUIRED</x:v>
      </x:c>
    </x:row>
    <x:row r="233">
      <x:c r="A233" s="45" t="str">
        <x:v>FU_AVI_LOW</x:v>
      </x:c>
      <x:c r="B233" s="45" t="str">
        <x:v>AVI unbound fraction = 0.87</x:v>
      </x:c>
      <x:c r="C233" s="45" t="str">
        <x:v>R10</x:v>
      </x:c>
      <x:c r="D233" s="45" t="str">
        <x:v>61–90</x:v>
      </x:c>
      <x:c r="E233" s="45" t="n">
        <x:v>2.5</x:v>
      </x:c>
      <x:c r="F233" s="45" t="n">
        <x:v>8</x:v>
      </x:c>
      <x:c r="G233" s="45" t="str">
        <x:v>FR2024_OXA484_SERINE_ONLY</x:v>
      </x:c>
      <x:c r="H233" s="45" t="str">
        <x:v>French OXA-484 Enterobacterales, serine-only</x:v>
      </x:c>
      <x:c r="I233" s="102" t="n">
        <x:v>99.80858333333335</x:v>
      </x:c>
      <x:c r="J233" s="102" t="n">
        <x:v>86.58500000000001</x:v>
      </x:c>
      <x:c r="K233" s="102" t="n">
        <x:v>86.57816666666668</x:v>
      </x:c>
      <x:c r="L233" s="102" t="n">
        <x:v>-1.5517499999999984</x:v>
      </x:c>
      <x:c r="M233" s="102" t="n">
        <x:v>86.175</x:v>
      </x:c>
      <x:c r="N233" s="102" t="n">
        <x:v>-1.3599999999999994</x:v>
      </x:c>
      <x:c r="O233" s="102" t="n">
        <x:v>10.665</x:v>
      </x:c>
      <x:c r="P233" s="102" t="n">
        <x:v>0</x:v>
      </x:c>
      <x:c r="Q233" s="45" t="str">
        <x:v>MODEL_INFERRED</x:v>
      </x:c>
      <x:c r="R233" s="45" t="str">
        <x:v>SCENARIO_GENERATION</x:v>
      </x:c>
      <x:c r="S233" s="45" t="str">
        <x:v>USER_REVIEW_REQUIRED</x:v>
      </x:c>
    </x:row>
    <x:row r="234">
      <x:c r="A234" s="45" t="str">
        <x:v>FU_AVI_LOW</x:v>
      </x:c>
      <x:c r="B234" s="45" t="str">
        <x:v>AVI unbound fraction = 0.87</x:v>
      </x:c>
      <x:c r="C234" s="45" t="str">
        <x:v>R12</x:v>
      </x:c>
      <x:c r="D234" s="45" t="str">
        <x:v>91–120</x:v>
      </x:c>
      <x:c r="E234" s="45" t="n">
        <x:v>2.5</x:v>
      </x:c>
      <x:c r="F234" s="45" t="n">
        <x:v>6</x:v>
      </x:c>
      <x:c r="G234" s="45" t="str">
        <x:v>LEE2022_KPC_KP</x:v>
      </x:c>
      <x:c r="H234" s="45" t="str">
        <x:v>KPC-like CR-K. pneumoniae, ATLAS 2020</x:v>
      </x:c>
      <x:c r="I234" s="102" t="n">
        <x:v>98.59763852242745</x:v>
      </x:c>
      <x:c r="J234" s="102" t="n">
        <x:v>86.31</x:v>
      </x:c>
      <x:c r="K234" s="102" t="n">
        <x:v>85.70093667546175</x:v>
      </x:c>
      <x:c r="L234" s="102" t="n">
        <x:v>-1.7897889182058009</x:v>
      </x:c>
      <x:c r="M234" s="102" t="n">
        <x:v>86.08</x:v>
      </x:c>
      <x:c r="N234" s="102" t="n">
        <x:v>-1.6800000000000068</x:v>
      </x:c>
      <x:c r="O234" s="102" t="n">
        <x:v>11.82</x:v>
      </x:c>
      <x:c r="P234" s="102" t="n">
        <x:v>0</x:v>
      </x:c>
      <x:c r="Q234" s="45" t="str">
        <x:v>MODEL_INFERRED</x:v>
      </x:c>
      <x:c r="R234" s="45" t="str">
        <x:v>SCENARIO_GENERATION</x:v>
      </x:c>
      <x:c r="S234" s="45" t="str">
        <x:v>USER_REVIEW_REQUIRED</x:v>
      </x:c>
    </x:row>
    <x:row r="235">
      <x:c r="A235" s="45" t="str">
        <x:v>FU_AVI_LOW</x:v>
      </x:c>
      <x:c r="B235" s="45" t="str">
        <x:v>AVI unbound fraction = 0.87</x:v>
      </x:c>
      <x:c r="C235" s="45" t="str">
        <x:v>R12</x:v>
      </x:c>
      <x:c r="D235" s="45" t="str">
        <x:v>91–120</x:v>
      </x:c>
      <x:c r="E235" s="45" t="n">
        <x:v>2.5</x:v>
      </x:c>
      <x:c r="F235" s="45" t="n">
        <x:v>6</x:v>
      </x:c>
      <x:c r="G235" s="45" t="str">
        <x:v>LEE2022_OXA_KP</x:v>
      </x:c>
      <x:c r="H235" s="45" t="str">
        <x:v>OXA-like CR-K. pneumoniae, ATLAS 2020</x:v>
      </x:c>
      <x:c r="I235" s="102" t="n">
        <x:v>98.37855932203391</x:v>
      </x:c>
      <x:c r="J235" s="102" t="n">
        <x:v>86.31</x:v>
      </x:c>
      <x:c r="K235" s="102" t="n">
        <x:v>85.14372881355932</x:v>
      </x:c>
      <x:c r="L235" s="102" t="n">
        <x:v>-1.795741525423736</x:v>
      </x:c>
      <x:c r="M235" s="102" t="n">
        <x:v>86.08</x:v>
      </x:c>
      <x:c r="N235" s="102" t="n">
        <x:v>-1.6800000000000068</x:v>
      </x:c>
      <x:c r="O235" s="102" t="n">
        <x:v>11.82</x:v>
      </x:c>
      <x:c r="P235" s="102" t="n">
        <x:v>0</x:v>
      </x:c>
      <x:c r="Q235" s="45" t="str">
        <x:v>MODEL_INFERRED</x:v>
      </x:c>
      <x:c r="R235" s="45" t="str">
        <x:v>SCENARIO_GENERATION</x:v>
      </x:c>
      <x:c r="S235" s="45" t="str">
        <x:v>USER_REVIEW_REQUIRED</x:v>
      </x:c>
    </x:row>
    <x:row r="236">
      <x:c r="A236" s="45" t="str">
        <x:v>FU_AVI_LOW</x:v>
      </x:c>
      <x:c r="B236" s="45" t="str">
        <x:v>AVI unbound fraction = 0.87</x:v>
      </x:c>
      <x:c r="C236" s="45" t="str">
        <x:v>R12</x:v>
      </x:c>
      <x:c r="D236" s="45" t="str">
        <x:v>91–120</x:v>
      </x:c>
      <x:c r="E236" s="45" t="n">
        <x:v>2.5</x:v>
      </x:c>
      <x:c r="F236" s="45" t="n">
        <x:v>6</x:v>
      </x:c>
      <x:c r="G236" s="45" t="str">
        <x:v>INDIA2022_OXA48_KP</x:v>
      </x:c>
      <x:c r="H236" s="45" t="str">
        <x:v>OXA-48-like CR-K. pneumoniae, India</x:v>
      </x:c>
      <x:c r="I236" s="102" t="n">
        <x:v>96.21154411764707</x:v>
      </x:c>
      <x:c r="J236" s="102" t="n">
        <x:v>86.31</x:v>
      </x:c>
      <x:c r="K236" s="102" t="n">
        <x:v>83.19117647058825</x:v>
      </x:c>
      <x:c r="L236" s="102" t="n">
        <x:v>-1.7594117647058738</x:v>
      </x:c>
      <x:c r="M236" s="102" t="n">
        <x:v>86.08</x:v>
      </x:c>
      <x:c r="N236" s="102" t="n">
        <x:v>-1.6800000000000068</x:v>
      </x:c>
      <x:c r="O236" s="102" t="n">
        <x:v>11.82</x:v>
      </x:c>
      <x:c r="P236" s="102" t="n">
        <x:v>0</x:v>
      </x:c>
      <x:c r="Q236" s="45" t="str">
        <x:v>MODEL_INFERRED</x:v>
      </x:c>
      <x:c r="R236" s="45" t="str">
        <x:v>SCENARIO_GENERATION</x:v>
      </x:c>
      <x:c r="S236" s="45" t="str">
        <x:v>USER_REVIEW_REQUIRED</x:v>
      </x:c>
    </x:row>
    <x:row r="237">
      <x:c r="A237" s="45" t="str">
        <x:v>FU_AVI_LOW</x:v>
      </x:c>
      <x:c r="B237" s="45" t="str">
        <x:v>AVI unbound fraction = 0.87</x:v>
      </x:c>
      <x:c r="C237" s="45" t="str">
        <x:v>R12</x:v>
      </x:c>
      <x:c r="D237" s="45" t="str">
        <x:v>91–120</x:v>
      </x:c>
      <x:c r="E237" s="45" t="n">
        <x:v>2.5</x:v>
      </x:c>
      <x:c r="F237" s="45" t="n">
        <x:v>6</x:v>
      </x:c>
      <x:c r="G237" s="45" t="str">
        <x:v>FR2024_OXA484_SERINE_ONLY</x:v>
      </x:c>
      <x:c r="H237" s="45" t="str">
        <x:v>French OXA-484 Enterobacterales, serine-only</x:v>
      </x:c>
      <x:c r="I237" s="102" t="n">
        <x:v>99.84516666666667</x:v>
      </x:c>
      <x:c r="J237" s="102" t="n">
        <x:v>86.31000000000002</x:v>
      </x:c>
      <x:c r="K237" s="102" t="n">
        <x:v>86.30616666666668</x:v>
      </x:c>
      <x:c r="L237" s="102" t="n">
        <x:v>-1.8274999999999864</x:v>
      </x:c>
      <x:c r="M237" s="102" t="n">
        <x:v>86.08</x:v>
      </x:c>
      <x:c r="N237" s="102" t="n">
        <x:v>-1.6800000000000068</x:v>
      </x:c>
      <x:c r="O237" s="102" t="n">
        <x:v>11.82</x:v>
      </x:c>
      <x:c r="P237" s="102" t="n">
        <x:v>0</x:v>
      </x:c>
      <x:c r="Q237" s="45" t="str">
        <x:v>MODEL_INFERRED</x:v>
      </x:c>
      <x:c r="R237" s="45" t="str">
        <x:v>SCENARIO_GENERATION</x:v>
      </x:c>
      <x:c r="S237" s="45" t="str">
        <x:v>USER_REVIEW_REQUIRED</x:v>
      </x:c>
    </x:row>
    <x:row r="238">
      <x:c r="A238" s="45" t="str">
        <x:v>FU_AVI_LOW</x:v>
      </x:c>
      <x:c r="B238" s="45" t="str">
        <x:v>AVI unbound fraction = 0.87</x:v>
      </x:c>
      <x:c r="C238" s="45" t="str">
        <x:v>R13</x:v>
      </x:c>
      <x:c r="D238" s="45" t="str">
        <x:v>121–150</x:v>
      </x:c>
      <x:c r="E238" s="45" t="n">
        <x:v>2.5</x:v>
      </x:c>
      <x:c r="F238" s="45" t="n">
        <x:v>6</x:v>
      </x:c>
      <x:c r="G238" s="45" t="str">
        <x:v>LEE2022_KPC_KP</x:v>
      </x:c>
      <x:c r="H238" s="45" t="str">
        <x:v>KPC-like CR-K. pneumoniae, ATLAS 2020</x:v>
      </x:c>
      <x:c r="I238" s="102" t="n">
        <x:v>98.02172823218997</x:v>
      </x:c>
      <x:c r="J238" s="102" t="n">
        <x:v>77.97500000000001</x:v>
      </x:c>
      <x:c r="K238" s="102" t="n">
        <x:v>77.36025065963061</x:v>
      </x:c>
      <x:c r="L238" s="102" t="n">
        <x:v>-2.376899736147749</x:v>
      </x:c>
      <x:c r="M238" s="102" t="n">
        <x:v>77.715</x:v>
      </x:c>
      <x:c r="N238" s="102" t="n">
        <x:v>-2.299999999999997</x:v>
      </x:c>
      <x:c r="O238" s="102" t="n">
        <x:v>7.045</x:v>
      </x:c>
      <x:c r="P238" s="102" t="n">
        <x:v>0</x:v>
      </x:c>
      <x:c r="Q238" s="45" t="str">
        <x:v>MODEL_INFERRED</x:v>
      </x:c>
      <x:c r="R238" s="45" t="str">
        <x:v>SCENARIO_GENERATION</x:v>
      </x:c>
      <x:c r="S238" s="45" t="str">
        <x:v>USER_REVIEW_REQUIRED</x:v>
      </x:c>
    </x:row>
    <x:row r="239">
      <x:c r="A239" s="45" t="str">
        <x:v>FU_AVI_LOW</x:v>
      </x:c>
      <x:c r="B239" s="45" t="str">
        <x:v>AVI unbound fraction = 0.87</x:v>
      </x:c>
      <x:c r="C239" s="45" t="str">
        <x:v>R13</x:v>
      </x:c>
      <x:c r="D239" s="45" t="str">
        <x:v>121–150</x:v>
      </x:c>
      <x:c r="E239" s="45" t="n">
        <x:v>2.5</x:v>
      </x:c>
      <x:c r="F239" s="45" t="n">
        <x:v>6</x:v>
      </x:c>
      <x:c r="G239" s="45" t="str">
        <x:v>LEE2022_OXA_KP</x:v>
      </x:c>
      <x:c r="H239" s="45" t="str">
        <x:v>OXA-like CR-K. pneumoniae, ATLAS 2020</x:v>
      </x:c>
      <x:c r="I239" s="102" t="n">
        <x:v>98.12555084745763</x:v>
      </x:c>
      <x:c r="J239" s="102" t="n">
        <x:v>77.975</x:v>
      </x:c>
      <x:c r="K239" s="102" t="n">
        <x:v>76.89408898305084</x:v>
      </x:c>
      <x:c r="L239" s="102" t="n">
        <x:v>-2.38105932203392</x:v>
      </x:c>
      <x:c r="M239" s="102" t="n">
        <x:v>77.715</x:v>
      </x:c>
      <x:c r="N239" s="102" t="n">
        <x:v>-2.299999999999997</x:v>
      </x:c>
      <x:c r="O239" s="102" t="n">
        <x:v>7.045</x:v>
      </x:c>
      <x:c r="P239" s="102" t="n">
        <x:v>0</x:v>
      </x:c>
      <x:c r="Q239" s="45" t="str">
        <x:v>MODEL_INFERRED</x:v>
      </x:c>
      <x:c r="R239" s="45" t="str">
        <x:v>SCENARIO_GENERATION</x:v>
      </x:c>
      <x:c r="S239" s="45" t="str">
        <x:v>USER_REVIEW_REQUIRED</x:v>
      </x:c>
    </x:row>
    <x:row r="240">
      <x:c r="A240" s="45" t="str">
        <x:v>FU_AVI_LOW</x:v>
      </x:c>
      <x:c r="B240" s="45" t="str">
        <x:v>AVI unbound fraction = 0.87</x:v>
      </x:c>
      <x:c r="C240" s="45" t="str">
        <x:v>R13</x:v>
      </x:c>
      <x:c r="D240" s="45" t="str">
        <x:v>121–150</x:v>
      </x:c>
      <x:c r="E240" s="45" t="n">
        <x:v>2.5</x:v>
      </x:c>
      <x:c r="F240" s="45" t="n">
        <x:v>6</x:v>
      </x:c>
      <x:c r="G240" s="45" t="str">
        <x:v>INDIA2022_OXA48_KP</x:v>
      </x:c>
      <x:c r="H240" s="45" t="str">
        <x:v>OXA-48-like CR-K. pneumoniae, India</x:v>
      </x:c>
      <x:c r="I240" s="102" t="n">
        <x:v>96.03632352941177</x:v>
      </x:c>
      <x:c r="J240" s="102" t="n">
        <x:v>77.97500000000001</x:v>
      </x:c>
      <x:c r="K240" s="102" t="n">
        <x:v>75.12988970588238</x:v>
      </x:c>
      <x:c r="L240" s="102" t="n">
        <x:v>-2.333088235294113</x:v>
      </x:c>
      <x:c r="M240" s="102" t="n">
        <x:v>77.715</x:v>
      </x:c>
      <x:c r="N240" s="102" t="n">
        <x:v>-2.299999999999997</x:v>
      </x:c>
      <x:c r="O240" s="102" t="n">
        <x:v>7.045</x:v>
      </x:c>
      <x:c r="P240" s="102" t="n">
        <x:v>0</x:v>
      </x:c>
      <x:c r="Q240" s="45" t="str">
        <x:v>MODEL_INFERRED</x:v>
      </x:c>
      <x:c r="R240" s="45" t="str">
        <x:v>SCENARIO_GENERATION</x:v>
      </x:c>
      <x:c r="S240" s="45" t="str">
        <x:v>USER_REVIEW_REQUIRED</x:v>
      </x:c>
    </x:row>
    <x:row r="241">
      <x:c r="A241" s="45" t="str">
        <x:v>FU_AVI_LOW</x:v>
      </x:c>
      <x:c r="B241" s="45" t="str">
        <x:v>AVI unbound fraction = 0.87</x:v>
      </x:c>
      <x:c r="C241" s="45" t="str">
        <x:v>R13</x:v>
      </x:c>
      <x:c r="D241" s="45" t="str">
        <x:v>121–150</x:v>
      </x:c>
      <x:c r="E241" s="45" t="n">
        <x:v>2.5</x:v>
      </x:c>
      <x:c r="F241" s="45" t="n">
        <x:v>6</x:v>
      </x:c>
      <x:c r="G241" s="45" t="str">
        <x:v>FR2024_OXA484_SERINE_ONLY</x:v>
      </x:c>
      <x:c r="H241" s="45" t="str">
        <x:v>French OXA-484 Enterobacterales, serine-only</x:v>
      </x:c>
      <x:c r="I241" s="102" t="n">
        <x:v>99.71316666666667</x:v>
      </x:c>
      <x:c r="J241" s="102" t="n">
        <x:v>77.97500000000001</x:v>
      </x:c>
      <x:c r="K241" s="102" t="n">
        <x:v>77.97066666666667</x:v>
      </x:c>
      <x:c r="L241" s="102" t="n">
        <x:v>-2.4229166666666657</x:v>
      </x:c>
      <x:c r="M241" s="102" t="n">
        <x:v>77.715</x:v>
      </x:c>
      <x:c r="N241" s="102" t="n">
        <x:v>-2.299999999999997</x:v>
      </x:c>
      <x:c r="O241" s="102" t="n">
        <x:v>7.045</x:v>
      </x:c>
      <x:c r="P241" s="102" t="n">
        <x:v>0</x:v>
      </x:c>
      <x:c r="Q241" s="45" t="str">
        <x:v>MODEL_INFERRED</x:v>
      </x:c>
      <x:c r="R241" s="45" t="str">
        <x:v>SCENARIO_GENERATION</x:v>
      </x:c>
      <x:c r="S241" s="45" t="str">
        <x:v>USER_REVIEW_REQUIRED</x:v>
      </x:c>
    </x:row>
    <x:row r="242">
      <x:c r="A242" s="45" t="str">
        <x:v>FU_AVI_HIGH</x:v>
      </x:c>
      <x:c r="B242" s="45" t="str">
        <x:v>AVI unbound fraction = 0.97</x:v>
      </x:c>
      <x:c r="C242" s="45" t="str">
        <x:v>R1</x:v>
      </x:c>
      <x:c r="D242" s="45" t="str">
        <x:v>0–30</x:v>
      </x:c>
      <x:c r="E242" s="45" t="n">
        <x:v>0.625</x:v>
      </x:c>
      <x:c r="F242" s="45" t="n">
        <x:v>12</x:v>
      </x:c>
      <x:c r="G242" s="45" t="str">
        <x:v>LEE2022_KPC_KP</x:v>
      </x:c>
      <x:c r="H242" s="45" t="str">
        <x:v>KPC-like CR-K. pneumoniae, ATLAS 2020</x:v>
      </x:c>
      <x:c r="I242" s="102" t="n">
        <x:v>93.65485488126649</x:v>
      </x:c>
      <x:c r="J242" s="102" t="n">
        <x:v>76.22999999999999</x:v>
      </x:c>
      <x:c r="K242" s="102" t="n">
        <x:v>74.6475857519789</x:v>
      </x:c>
      <x:c r="L242" s="102" t="n">
        <x:v>1.8434564643799547</x:v>
      </x:c>
      <x:c r="M242" s="102" t="n">
        <x:v>66.935</x:v>
      </x:c>
      <x:c r="N242" s="102" t="n">
        <x:v>0.5100000000000051</x:v>
      </x:c>
      <x:c r="O242" s="102" t="n">
        <x:v>9.42</x:v>
      </x:c>
      <x:c r="P242" s="102" t="n">
        <x:v>0</x:v>
      </x:c>
      <x:c r="Q242" s="45" t="str">
        <x:v>MODEL_INFERRED</x:v>
      </x:c>
      <x:c r="R242" s="45" t="str">
        <x:v>SCENARIO_GENERATION</x:v>
      </x:c>
      <x:c r="S242" s="45" t="str">
        <x:v>USER_REVIEW_REQUIRED</x:v>
      </x:c>
    </x:row>
    <x:row r="243">
      <x:c r="A243" s="45" t="str">
        <x:v>FU_AVI_HIGH</x:v>
      </x:c>
      <x:c r="B243" s="45" t="str">
        <x:v>AVI unbound fraction = 0.97</x:v>
      </x:c>
      <x:c r="C243" s="45" t="str">
        <x:v>R1</x:v>
      </x:c>
      <x:c r="D243" s="45" t="str">
        <x:v>0–30</x:v>
      </x:c>
      <x:c r="E243" s="45" t="n">
        <x:v>0.625</x:v>
      </x:c>
      <x:c r="F243" s="45" t="n">
        <x:v>12</x:v>
      </x:c>
      <x:c r="G243" s="45" t="str">
        <x:v>LEE2022_OXA_KP</x:v>
      </x:c>
      <x:c r="H243" s="45" t="str">
        <x:v>OXA-like CR-K. pneumoniae, ATLAS 2020</x:v>
      </x:c>
      <x:c r="I243" s="102" t="n">
        <x:v>95.5652966101695</x:v>
      </x:c>
      <x:c r="J243" s="102" t="n">
        <x:v>76.23</x:v>
      </x:c>
      <x:c r="K243" s="102" t="n">
        <x:v>74.88444915254237</x:v>
      </x:c>
      <x:c r="L243" s="102" t="n">
        <x:v>1.9314406779661084</x:v>
      </x:c>
      <x:c r="M243" s="102" t="n">
        <x:v>66.935</x:v>
      </x:c>
      <x:c r="N243" s="102" t="n">
        <x:v>0.5100000000000051</x:v>
      </x:c>
      <x:c r="O243" s="102" t="n">
        <x:v>9.42</x:v>
      </x:c>
      <x:c r="P243" s="102" t="n">
        <x:v>0</x:v>
      </x:c>
      <x:c r="Q243" s="45" t="str">
        <x:v>MODEL_INFERRED</x:v>
      </x:c>
      <x:c r="R243" s="45" t="str">
        <x:v>SCENARIO_GENERATION</x:v>
      </x:c>
      <x:c r="S243" s="45" t="str">
        <x:v>USER_REVIEW_REQUIRED</x:v>
      </x:c>
    </x:row>
    <x:row r="244">
      <x:c r="A244" s="45" t="str">
        <x:v>FU_AVI_HIGH</x:v>
      </x:c>
      <x:c r="B244" s="45" t="str">
        <x:v>AVI unbound fraction = 0.97</x:v>
      </x:c>
      <x:c r="C244" s="45" t="str">
        <x:v>R1</x:v>
      </x:c>
      <x:c r="D244" s="45" t="str">
        <x:v>0–30</x:v>
      </x:c>
      <x:c r="E244" s="45" t="n">
        <x:v>0.625</x:v>
      </x:c>
      <x:c r="F244" s="45" t="n">
        <x:v>12</x:v>
      </x:c>
      <x:c r="G244" s="45" t="str">
        <x:v>INDIA2022_OXA48_KP</x:v>
      </x:c>
      <x:c r="H244" s="45" t="str">
        <x:v>OXA-48-like CR-K. pneumoniae, India</x:v>
      </x:c>
      <x:c r="I244" s="102" t="n">
        <x:v>94.45033088235294</x:v>
      </x:c>
      <x:c r="J244" s="102" t="n">
        <x:v>76.23000000000002</x:v>
      </x:c>
      <x:c r="K244" s="102" t="n">
        <x:v>73.34198529411765</x:v>
      </x:c>
      <x:c r="L244" s="102" t="n">
        <x:v>1.899705882352933</x:v>
      </x:c>
      <x:c r="M244" s="102" t="n">
        <x:v>66.935</x:v>
      </x:c>
      <x:c r="N244" s="102" t="n">
        <x:v>0.5100000000000051</x:v>
      </x:c>
      <x:c r="O244" s="102" t="n">
        <x:v>9.42</x:v>
      </x:c>
      <x:c r="P244" s="102" t="n">
        <x:v>0</x:v>
      </x:c>
      <x:c r="Q244" s="45" t="str">
        <x:v>MODEL_INFERRED</x:v>
      </x:c>
      <x:c r="R244" s="45" t="str">
        <x:v>SCENARIO_GENERATION</x:v>
      </x:c>
      <x:c r="S244" s="45" t="str">
        <x:v>USER_REVIEW_REQUIRED</x:v>
      </x:c>
    </x:row>
    <x:row r="245">
      <x:c r="A245" s="45" t="str">
        <x:v>FU_AVI_HIGH</x:v>
      </x:c>
      <x:c r="B245" s="45" t="str">
        <x:v>AVI unbound fraction = 0.97</x:v>
      </x:c>
      <x:c r="C245" s="45" t="str">
        <x:v>R1</x:v>
      </x:c>
      <x:c r="D245" s="45" t="str">
        <x:v>0–30</x:v>
      </x:c>
      <x:c r="E245" s="45" t="n">
        <x:v>0.625</x:v>
      </x:c>
      <x:c r="F245" s="45" t="n">
        <x:v>12</x:v>
      </x:c>
      <x:c r="G245" s="45" t="str">
        <x:v>FR2024_OXA484_SERINE_ONLY</x:v>
      </x:c>
      <x:c r="H245" s="45" t="str">
        <x:v>French OXA-484 Enterobacterales, serine-only</x:v>
      </x:c>
      <x:c r="I245" s="102" t="n">
        <x:v>98.06408333333334</x:v>
      </x:c>
      <x:c r="J245" s="102" t="n">
        <x:v>76.23</x:v>
      </x:c>
      <x:c r="K245" s="102" t="n">
        <x:v>76.06983333333334</x:v>
      </x:c>
      <x:c r="L245" s="102" t="n">
        <x:v>1.9804999999999922</x:v>
      </x:c>
      <x:c r="M245" s="102" t="n">
        <x:v>66.935</x:v>
      </x:c>
      <x:c r="N245" s="102" t="n">
        <x:v>0.5100000000000051</x:v>
      </x:c>
      <x:c r="O245" s="102" t="n">
        <x:v>9.42</x:v>
      </x:c>
      <x:c r="P245" s="102" t="n">
        <x:v>0</x:v>
      </x:c>
      <x:c r="Q245" s="45" t="str">
        <x:v>MODEL_INFERRED</x:v>
      </x:c>
      <x:c r="R245" s="45" t="str">
        <x:v>SCENARIO_GENERATION</x:v>
      </x:c>
      <x:c r="S245" s="45" t="str">
        <x:v>USER_REVIEW_REQUIRED</x:v>
      </x:c>
    </x:row>
    <x:row r="246">
      <x:c r="A246" s="45" t="str">
        <x:v>FU_AVI_HIGH</x:v>
      </x:c>
      <x:c r="B246" s="45" t="str">
        <x:v>AVI unbound fraction = 0.97</x:v>
      </x:c>
      <x:c r="C246" s="45" t="str">
        <x:v>R8</x:v>
      </x:c>
      <x:c r="D246" s="45" t="str">
        <x:v>31–60</x:v>
      </x:c>
      <x:c r="E246" s="45" t="n">
        <x:v>2.5</x:v>
      </x:c>
      <x:c r="F246" s="45" t="n">
        <x:v>12</x:v>
      </x:c>
      <x:c r="G246" s="45" t="str">
        <x:v>LEE2022_KPC_KP</x:v>
      </x:c>
      <x:c r="H246" s="45" t="str">
        <x:v>KPC-like CR-K. pneumoniae, ATLAS 2020</x:v>
      </x:c>
      <x:c r="I246" s="102" t="n">
        <x:v>98.2425857519789</x:v>
      </x:c>
      <x:c r="J246" s="102" t="n">
        <x:v>90.56499999999998</x:v>
      </x:c>
      <x:c r="K246" s="102" t="n">
        <x:v>89.69831134564643</x:v>
      </x:c>
      <x:c r="L246" s="102" t="n">
        <x:v>1.2854881266490708</x:v>
      </x:c>
      <x:c r="M246" s="102" t="n">
        <x:v>88.92999999999999</x:v>
      </x:c>
      <x:c r="N246" s="102" t="n">
        <x:v>0.9449999999999932</x:v>
      </x:c>
      <x:c r="O246" s="102" t="n">
        <x:v>9.62</x:v>
      </x:c>
      <x:c r="P246" s="102" t="n">
        <x:v>0</x:v>
      </x:c>
      <x:c r="Q246" s="45" t="str">
        <x:v>MODEL_INFERRED</x:v>
      </x:c>
      <x:c r="R246" s="45" t="str">
        <x:v>SCENARIO_GENERATION</x:v>
      </x:c>
      <x:c r="S246" s="45" t="str">
        <x:v>USER_REVIEW_REQUIRED</x:v>
      </x:c>
    </x:row>
    <x:row r="247">
      <x:c r="A247" s="45" t="str">
        <x:v>FU_AVI_HIGH</x:v>
      </x:c>
      <x:c r="B247" s="45" t="str">
        <x:v>AVI unbound fraction = 0.97</x:v>
      </x:c>
      <x:c r="C247" s="45" t="str">
        <x:v>R8</x:v>
      </x:c>
      <x:c r="D247" s="45" t="str">
        <x:v>31–60</x:v>
      </x:c>
      <x:c r="E247" s="45" t="n">
        <x:v>2.5</x:v>
      </x:c>
      <x:c r="F247" s="45" t="n">
        <x:v>12</x:v>
      </x:c>
      <x:c r="G247" s="45" t="str">
        <x:v>LEE2022_OXA_KP</x:v>
      </x:c>
      <x:c r="H247" s="45" t="str">
        <x:v>OXA-like CR-K. pneumoniae, ATLAS 2020</x:v>
      </x:c>
      <x:c r="I247" s="102" t="n">
        <x:v>98.22625000000002</x:v>
      </x:c>
      <x:c r="J247" s="102" t="n">
        <x:v>90.565</x:v>
      </x:c>
      <x:c r="K247" s="102" t="n">
        <x:v>89.2621186440678</x:v>
      </x:c>
      <x:c r="L247" s="102" t="n">
        <x:v>1.3072669491525346</x:v>
      </x:c>
      <x:c r="M247" s="102" t="n">
        <x:v>88.92999999999999</x:v>
      </x:c>
      <x:c r="N247" s="102" t="n">
        <x:v>0.9449999999999932</x:v>
      </x:c>
      <x:c r="O247" s="102" t="n">
        <x:v>9.62</x:v>
      </x:c>
      <x:c r="P247" s="102" t="n">
        <x:v>0</x:v>
      </x:c>
      <x:c r="Q247" s="45" t="str">
        <x:v>MODEL_INFERRED</x:v>
      </x:c>
      <x:c r="R247" s="45" t="str">
        <x:v>SCENARIO_GENERATION</x:v>
      </x:c>
      <x:c r="S247" s="45" t="str">
        <x:v>USER_REVIEW_REQUIRED</x:v>
      </x:c>
    </x:row>
    <x:row r="248">
      <x:c r="A248" s="45" t="str">
        <x:v>FU_AVI_HIGH</x:v>
      </x:c>
      <x:c r="B248" s="45" t="str">
        <x:v>AVI unbound fraction = 0.97</x:v>
      </x:c>
      <x:c r="C248" s="45" t="str">
        <x:v>R8</x:v>
      </x:c>
      <x:c r="D248" s="45" t="str">
        <x:v>31–60</x:v>
      </x:c>
      <x:c r="E248" s="45" t="n">
        <x:v>2.5</x:v>
      </x:c>
      <x:c r="F248" s="45" t="n">
        <x:v>12</x:v>
      </x:c>
      <x:c r="G248" s="45" t="str">
        <x:v>INDIA2022_OXA48_KP</x:v>
      </x:c>
      <x:c r="H248" s="45" t="str">
        <x:v>OXA-48-like CR-K. pneumoniae, India</x:v>
      </x:c>
      <x:c r="I248" s="102" t="n">
        <x:v>96.11161764705881</x:v>
      </x:c>
      <x:c r="J248" s="102" t="n">
        <x:v>90.565</x:v>
      </x:c>
      <x:c r="K248" s="102" t="n">
        <x:v>87.24540441176471</x:v>
      </x:c>
      <x:c r="L248" s="102" t="n">
        <x:v>1.2820220588235287</x:v>
      </x:c>
      <x:c r="M248" s="102" t="n">
        <x:v>88.92999999999999</x:v>
      </x:c>
      <x:c r="N248" s="102" t="n">
        <x:v>0.9449999999999932</x:v>
      </x:c>
      <x:c r="O248" s="102" t="n">
        <x:v>9.62</x:v>
      </x:c>
      <x:c r="P248" s="102" t="n">
        <x:v>0</x:v>
      </x:c>
      <x:c r="Q248" s="45" t="str">
        <x:v>MODEL_INFERRED</x:v>
      </x:c>
      <x:c r="R248" s="45" t="str">
        <x:v>SCENARIO_GENERATION</x:v>
      </x:c>
      <x:c r="S248" s="45" t="str">
        <x:v>USER_REVIEW_REQUIRED</x:v>
      </x:c>
    </x:row>
    <x:row r="249">
      <x:c r="A249" s="45" t="str">
        <x:v>FU_AVI_HIGH</x:v>
      </x:c>
      <x:c r="B249" s="45" t="str">
        <x:v>AVI unbound fraction = 0.97</x:v>
      </x:c>
      <x:c r="C249" s="45" t="str">
        <x:v>R8</x:v>
      </x:c>
      <x:c r="D249" s="45" t="str">
        <x:v>31–60</x:v>
      </x:c>
      <x:c r="E249" s="45" t="n">
        <x:v>2.5</x:v>
      </x:c>
      <x:c r="F249" s="45" t="n">
        <x:v>12</x:v>
      </x:c>
      <x:c r="G249" s="45" t="str">
        <x:v>FR2024_OXA484_SERINE_ONLY</x:v>
      </x:c>
      <x:c r="H249" s="45" t="str">
        <x:v>French OXA-484 Enterobacterales, serine-only</x:v>
      </x:c>
      <x:c r="I249" s="102" t="n">
        <x:v>99.76208333333334</x:v>
      </x:c>
      <x:c r="J249" s="102" t="n">
        <x:v>90.565</x:v>
      </x:c>
      <x:c r="K249" s="102" t="n">
        <x:v>90.53775</x:v>
      </x:c>
      <x:c r="L249" s="102" t="n">
        <x:v>1.3334166666666931</x:v>
      </x:c>
      <x:c r="M249" s="102" t="n">
        <x:v>88.92999999999999</x:v>
      </x:c>
      <x:c r="N249" s="102" t="n">
        <x:v>0.9449999999999932</x:v>
      </x:c>
      <x:c r="O249" s="102" t="n">
        <x:v>9.62</x:v>
      </x:c>
      <x:c r="P249" s="102" t="n">
        <x:v>0</x:v>
      </x:c>
      <x:c r="Q249" s="45" t="str">
        <x:v>MODEL_INFERRED</x:v>
      </x:c>
      <x:c r="R249" s="45" t="str">
        <x:v>SCENARIO_GENERATION</x:v>
      </x:c>
      <x:c r="S249" s="45" t="str">
        <x:v>USER_REVIEW_REQUIRED</x:v>
      </x:c>
    </x:row>
    <x:row r="250">
      <x:c r="A250" s="45" t="str">
        <x:v>FU_AVI_HIGH</x:v>
      </x:c>
      <x:c r="B250" s="45" t="str">
        <x:v>AVI unbound fraction = 0.97</x:v>
      </x:c>
      <x:c r="C250" s="45" t="str">
        <x:v>R10</x:v>
      </x:c>
      <x:c r="D250" s="45" t="str">
        <x:v>61–90</x:v>
      </x:c>
      <x:c r="E250" s="45" t="n">
        <x:v>2.5</x:v>
      </x:c>
      <x:c r="F250" s="45" t="n">
        <x:v>8</x:v>
      </x:c>
      <x:c r="G250" s="45" t="str">
        <x:v>LEE2022_KPC_KP</x:v>
      </x:c>
      <x:c r="H250" s="45" t="str">
        <x:v>KPC-like CR-K. pneumoniae, ATLAS 2020</x:v>
      </x:c>
      <x:c r="I250" s="102" t="n">
        <x:v>98.4327308707124</x:v>
      </x:c>
      <x:c r="J250" s="102" t="n">
        <x:v>89.69500000000001</x:v>
      </x:c>
      <x:c r="K250" s="102" t="n">
        <x:v>88.9334696569921</x:v>
      </x:c>
      <x:c r="L250" s="102" t="n">
        <x:v>1.5043139841688742</x:v>
      </x:c>
      <x:c r="M250" s="102" t="n">
        <x:v>88.78</x:v>
      </x:c>
      <x:c r="N250" s="102" t="n">
        <x:v>1.2450000000000045</x:v>
      </x:c>
      <x:c r="O250" s="102" t="n">
        <x:v>10.665</x:v>
      </x:c>
      <x:c r="P250" s="102" t="n">
        <x:v>0</x:v>
      </x:c>
      <x:c r="Q250" s="45" t="str">
        <x:v>MODEL_INFERRED</x:v>
      </x:c>
      <x:c r="R250" s="45" t="str">
        <x:v>SCENARIO_GENERATION</x:v>
      </x:c>
      <x:c r="S250" s="45" t="str">
        <x:v>USER_REVIEW_REQUIRED</x:v>
      </x:c>
    </x:row>
    <x:row r="251">
      <x:c r="A251" s="45" t="str">
        <x:v>FU_AVI_HIGH</x:v>
      </x:c>
      <x:c r="B251" s="45" t="str">
        <x:v>AVI unbound fraction = 0.97</x:v>
      </x:c>
      <x:c r="C251" s="45" t="str">
        <x:v>R10</x:v>
      </x:c>
      <x:c r="D251" s="45" t="str">
        <x:v>61–90</x:v>
      </x:c>
      <x:c r="E251" s="45" t="n">
        <x:v>2.5</x:v>
      </x:c>
      <x:c r="F251" s="45" t="n">
        <x:v>8</x:v>
      </x:c>
      <x:c r="G251" s="45" t="str">
        <x:v>LEE2022_OXA_KP</x:v>
      </x:c>
      <x:c r="H251" s="45" t="str">
        <x:v>OXA-like CR-K. pneumoniae, ATLAS 2020</x:v>
      </x:c>
      <x:c r="I251" s="102" t="n">
        <x:v>98.30724576271186</x:v>
      </x:c>
      <x:c r="J251" s="102" t="n">
        <x:v>89.69500000000001</x:v>
      </x:c>
      <x:c r="K251" s="102" t="n">
        <x:v>88.43783898305084</x:v>
      </x:c>
      <x:c r="L251" s="102" t="n">
        <x:v>1.5208050847457457</x:v>
      </x:c>
      <x:c r="M251" s="102" t="n">
        <x:v>88.78</x:v>
      </x:c>
      <x:c r="N251" s="102" t="n">
        <x:v>1.2450000000000045</x:v>
      </x:c>
      <x:c r="O251" s="102" t="n">
        <x:v>10.665</x:v>
      </x:c>
      <x:c r="P251" s="102" t="n">
        <x:v>0</x:v>
      </x:c>
      <x:c r="Q251" s="45" t="str">
        <x:v>MODEL_INFERRED</x:v>
      </x:c>
      <x:c r="R251" s="45" t="str">
        <x:v>SCENARIO_GENERATION</x:v>
      </x:c>
      <x:c r="S251" s="45" t="str">
        <x:v>USER_REVIEW_REQUIRED</x:v>
      </x:c>
    </x:row>
    <x:row r="252">
      <x:c r="A252" s="45" t="str">
        <x:v>FU_AVI_HIGH</x:v>
      </x:c>
      <x:c r="B252" s="45" t="str">
        <x:v>AVI unbound fraction = 0.97</x:v>
      </x:c>
      <x:c r="C252" s="45" t="str">
        <x:v>R10</x:v>
      </x:c>
      <x:c r="D252" s="45" t="str">
        <x:v>61–90</x:v>
      </x:c>
      <x:c r="E252" s="45" t="n">
        <x:v>2.5</x:v>
      </x:c>
      <x:c r="F252" s="45" t="n">
        <x:v>8</x:v>
      </x:c>
      <x:c r="G252" s="45" t="str">
        <x:v>INDIA2022_OXA48_KP</x:v>
      </x:c>
      <x:c r="H252" s="45" t="str">
        <x:v>OXA-48-like CR-K. pneumoniae, India</x:v>
      </x:c>
      <x:c r="I252" s="102" t="n">
        <x:v>96.16680147058821</x:v>
      </x:c>
      <x:c r="J252" s="102" t="n">
        <x:v>89.69500000000001</x:v>
      </x:c>
      <x:c r="K252" s="102" t="n">
        <x:v>86.43058823529411</x:v>
      </x:c>
      <x:c r="L252" s="102" t="n">
        <x:v>1.4909926470588175</x:v>
      </x:c>
      <x:c r="M252" s="102" t="n">
        <x:v>88.78</x:v>
      </x:c>
      <x:c r="N252" s="102" t="n">
        <x:v>1.2450000000000045</x:v>
      </x:c>
      <x:c r="O252" s="102" t="n">
        <x:v>10.665</x:v>
      </x:c>
      <x:c r="P252" s="102" t="n">
        <x:v>0</x:v>
      </x:c>
      <x:c r="Q252" s="45" t="str">
        <x:v>MODEL_INFERRED</x:v>
      </x:c>
      <x:c r="R252" s="45" t="str">
        <x:v>SCENARIO_GENERATION</x:v>
      </x:c>
      <x:c r="S252" s="45" t="str">
        <x:v>USER_REVIEW_REQUIRED</x:v>
      </x:c>
    </x:row>
    <x:row r="253">
      <x:c r="A253" s="45" t="str">
        <x:v>FU_AVI_HIGH</x:v>
      </x:c>
      <x:c r="B253" s="45" t="str">
        <x:v>AVI unbound fraction = 0.97</x:v>
      </x:c>
      <x:c r="C253" s="45" t="str">
        <x:v>R10</x:v>
      </x:c>
      <x:c r="D253" s="45" t="str">
        <x:v>61–90</x:v>
      </x:c>
      <x:c r="E253" s="45" t="n">
        <x:v>2.5</x:v>
      </x:c>
      <x:c r="F253" s="45" t="n">
        <x:v>8</x:v>
      </x:c>
      <x:c r="G253" s="45" t="str">
        <x:v>FR2024_OXA484_SERINE_ONLY</x:v>
      </x:c>
      <x:c r="H253" s="45" t="str">
        <x:v>French OXA-484 Enterobacterales, serine-only</x:v>
      </x:c>
      <x:c r="I253" s="102" t="n">
        <x:v>99.80858333333335</x:v>
      </x:c>
      <x:c r="J253" s="102" t="n">
        <x:v>89.69500000000001</x:v>
      </x:c>
      <x:c r="K253" s="102" t="n">
        <x:v>89.67975000000001</x:v>
      </x:c>
      <x:c r="L253" s="102" t="n">
        <x:v>1.5498333333333392</x:v>
      </x:c>
      <x:c r="M253" s="102" t="n">
        <x:v>88.78</x:v>
      </x:c>
      <x:c r="N253" s="102" t="n">
        <x:v>1.2450000000000045</x:v>
      </x:c>
      <x:c r="O253" s="102" t="n">
        <x:v>10.665</x:v>
      </x:c>
      <x:c r="P253" s="102" t="n">
        <x:v>0</x:v>
      </x:c>
      <x:c r="Q253" s="45" t="str">
        <x:v>MODEL_INFERRED</x:v>
      </x:c>
      <x:c r="R253" s="45" t="str">
        <x:v>SCENARIO_GENERATION</x:v>
      </x:c>
      <x:c r="S253" s="45" t="str">
        <x:v>USER_REVIEW_REQUIRED</x:v>
      </x:c>
    </x:row>
    <x:row r="254">
      <x:c r="A254" s="45" t="str">
        <x:v>FU_AVI_HIGH</x:v>
      </x:c>
      <x:c r="B254" s="45" t="str">
        <x:v>AVI unbound fraction = 0.97</x:v>
      </x:c>
      <x:c r="C254" s="45" t="str">
        <x:v>R12</x:v>
      </x:c>
      <x:c r="D254" s="45" t="str">
        <x:v>91–120</x:v>
      </x:c>
      <x:c r="E254" s="45" t="n">
        <x:v>2.5</x:v>
      </x:c>
      <x:c r="F254" s="45" t="n">
        <x:v>6</x:v>
      </x:c>
      <x:c r="G254" s="45" t="str">
        <x:v>LEE2022_KPC_KP</x:v>
      </x:c>
      <x:c r="H254" s="45" t="str">
        <x:v>KPC-like CR-K. pneumoniae, ATLAS 2020</x:v>
      </x:c>
      <x:c r="I254" s="102" t="n">
        <x:v>98.59763852242745</x:v>
      </x:c>
      <x:c r="J254" s="102" t="n">
        <x:v>89.54999999999998</x:v>
      </x:c>
      <x:c r="K254" s="102" t="n">
        <x:v>88.86515831134565</x:v>
      </x:c>
      <x:c r="L254" s="102" t="n">
        <x:v>1.3744327176781042</x:v>
      </x:c>
      <x:c r="M254" s="102" t="n">
        <x:v>89.01</x:v>
      </x:c>
      <x:c r="N254" s="102" t="n">
        <x:v>1.25</x:v>
      </x:c>
      <x:c r="O254" s="102" t="n">
        <x:v>11.82</x:v>
      </x:c>
      <x:c r="P254" s="102" t="n">
        <x:v>0</x:v>
      </x:c>
      <x:c r="Q254" s="45" t="str">
        <x:v>MODEL_INFERRED</x:v>
      </x:c>
      <x:c r="R254" s="45" t="str">
        <x:v>SCENARIO_GENERATION</x:v>
      </x:c>
      <x:c r="S254" s="45" t="str">
        <x:v>USER_REVIEW_REQUIRED</x:v>
      </x:c>
    </x:row>
    <x:row r="255">
      <x:c r="A255" s="45" t="str">
        <x:v>FU_AVI_HIGH</x:v>
      </x:c>
      <x:c r="B255" s="45" t="str">
        <x:v>AVI unbound fraction = 0.97</x:v>
      </x:c>
      <x:c r="C255" s="45" t="str">
        <x:v>R12</x:v>
      </x:c>
      <x:c r="D255" s="45" t="str">
        <x:v>91–120</x:v>
      </x:c>
      <x:c r="E255" s="45" t="n">
        <x:v>2.5</x:v>
      </x:c>
      <x:c r="F255" s="45" t="n">
        <x:v>6</x:v>
      </x:c>
      <x:c r="G255" s="45" t="str">
        <x:v>LEE2022_OXA_KP</x:v>
      </x:c>
      <x:c r="H255" s="45" t="str">
        <x:v>OXA-like CR-K. pneumoniae, ATLAS 2020</x:v>
      </x:c>
      <x:c r="I255" s="102" t="n">
        <x:v>98.37855932203391</x:v>
      </x:c>
      <x:c r="J255" s="102" t="n">
        <x:v>89.55000000000001</x:v>
      </x:c>
      <x:c r="K255" s="102" t="n">
        <x:v>88.32161016949154</x:v>
      </x:c>
      <x:c r="L255" s="102" t="n">
        <x:v>1.3821398305084784</x:v>
      </x:c>
      <x:c r="M255" s="102" t="n">
        <x:v>89.01</x:v>
      </x:c>
      <x:c r="N255" s="102" t="n">
        <x:v>1.25</x:v>
      </x:c>
      <x:c r="O255" s="102" t="n">
        <x:v>11.82</x:v>
      </x:c>
      <x:c r="P255" s="102" t="n">
        <x:v>0</x:v>
      </x:c>
      <x:c r="Q255" s="45" t="str">
        <x:v>MODEL_INFERRED</x:v>
      </x:c>
      <x:c r="R255" s="45" t="str">
        <x:v>SCENARIO_GENERATION</x:v>
      </x:c>
      <x:c r="S255" s="45" t="str">
        <x:v>USER_REVIEW_REQUIRED</x:v>
      </x:c>
    </x:row>
    <x:row r="256">
      <x:c r="A256" s="45" t="str">
        <x:v>FU_AVI_HIGH</x:v>
      </x:c>
      <x:c r="B256" s="45" t="str">
        <x:v>AVI unbound fraction = 0.97</x:v>
      </x:c>
      <x:c r="C256" s="45" t="str">
        <x:v>R12</x:v>
      </x:c>
      <x:c r="D256" s="45" t="str">
        <x:v>91–120</x:v>
      </x:c>
      <x:c r="E256" s="45" t="n">
        <x:v>2.5</x:v>
      </x:c>
      <x:c r="F256" s="45" t="n">
        <x:v>6</x:v>
      </x:c>
      <x:c r="G256" s="45" t="str">
        <x:v>INDIA2022_OXA48_KP</x:v>
      </x:c>
      <x:c r="H256" s="45" t="str">
        <x:v>OXA-48-like CR-K. pneumoniae, India</x:v>
      </x:c>
      <x:c r="I256" s="102" t="n">
        <x:v>96.21154411764707</x:v>
      </x:c>
      <x:c r="J256" s="102" t="n">
        <x:v>89.54999999999998</x:v>
      </x:c>
      <x:c r="K256" s="102" t="n">
        <x:v>86.3052205882353</x:v>
      </x:c>
      <x:c r="L256" s="102" t="n">
        <x:v>1.3546323529411808</x:v>
      </x:c>
      <x:c r="M256" s="102" t="n">
        <x:v>89.01</x:v>
      </x:c>
      <x:c r="N256" s="102" t="n">
        <x:v>1.25</x:v>
      </x:c>
      <x:c r="O256" s="102" t="n">
        <x:v>11.82</x:v>
      </x:c>
      <x:c r="P256" s="102" t="n">
        <x:v>0</x:v>
      </x:c>
      <x:c r="Q256" s="45" t="str">
        <x:v>MODEL_INFERRED</x:v>
      </x:c>
      <x:c r="R256" s="45" t="str">
        <x:v>SCENARIO_GENERATION</x:v>
      </x:c>
      <x:c r="S256" s="45" t="str">
        <x:v>USER_REVIEW_REQUIRED</x:v>
      </x:c>
    </x:row>
    <x:row r="257">
      <x:c r="A257" s="45" t="str">
        <x:v>FU_AVI_HIGH</x:v>
      </x:c>
      <x:c r="B257" s="45" t="str">
        <x:v>AVI unbound fraction = 0.97</x:v>
      </x:c>
      <x:c r="C257" s="45" t="str">
        <x:v>R12</x:v>
      </x:c>
      <x:c r="D257" s="45" t="str">
        <x:v>91–120</x:v>
      </x:c>
      <x:c r="E257" s="45" t="n">
        <x:v>2.5</x:v>
      </x:c>
      <x:c r="F257" s="45" t="n">
        <x:v>6</x:v>
      </x:c>
      <x:c r="G257" s="45" t="str">
        <x:v>FR2024_OXA484_SERINE_ONLY</x:v>
      </x:c>
      <x:c r="H257" s="45" t="str">
        <x:v>French OXA-484 Enterobacterales, serine-only</x:v>
      </x:c>
      <x:c r="I257" s="102" t="n">
        <x:v>99.84516666666667</x:v>
      </x:c>
      <x:c r="J257" s="102" t="n">
        <x:v>89.55000000000001</x:v>
      </x:c>
      <x:c r="K257" s="102" t="n">
        <x:v>89.54100000000001</x:v>
      </x:c>
      <x:c r="L257" s="102" t="n">
        <x:v>1.4073333333333409</x:v>
      </x:c>
      <x:c r="M257" s="102" t="n">
        <x:v>89.01</x:v>
      </x:c>
      <x:c r="N257" s="102" t="n">
        <x:v>1.25</x:v>
      </x:c>
      <x:c r="O257" s="102" t="n">
        <x:v>11.82</x:v>
      </x:c>
      <x:c r="P257" s="102" t="n">
        <x:v>0</x:v>
      </x:c>
      <x:c r="Q257" s="45" t="str">
        <x:v>MODEL_INFERRED</x:v>
      </x:c>
      <x:c r="R257" s="45" t="str">
        <x:v>SCENARIO_GENERATION</x:v>
      </x:c>
      <x:c r="S257" s="45" t="str">
        <x:v>USER_REVIEW_REQUIRED</x:v>
      </x:c>
    </x:row>
    <x:row r="258">
      <x:c r="A258" s="45" t="str">
        <x:v>FU_AVI_HIGH</x:v>
      </x:c>
      <x:c r="B258" s="45" t="str">
        <x:v>AVI unbound fraction = 0.97</x:v>
      </x:c>
      <x:c r="C258" s="45" t="str">
        <x:v>R13</x:v>
      </x:c>
      <x:c r="D258" s="45" t="str">
        <x:v>121–150</x:v>
      </x:c>
      <x:c r="E258" s="45" t="n">
        <x:v>2.5</x:v>
      </x:c>
      <x:c r="F258" s="45" t="n">
        <x:v>6</x:v>
      </x:c>
      <x:c r="G258" s="45" t="str">
        <x:v>LEE2022_KPC_KP</x:v>
      </x:c>
      <x:c r="H258" s="45" t="str">
        <x:v>KPC-like CR-K. pneumoniae, ATLAS 2020</x:v>
      </x:c>
      <x:c r="I258" s="102" t="n">
        <x:v>98.02172823218997</x:v>
      </x:c>
      <x:c r="J258" s="102" t="n">
        <x:v>82.455</x:v>
      </x:c>
      <x:c r="K258" s="102" t="n">
        <x:v>81.74199208443272</x:v>
      </x:c>
      <x:c r="L258" s="102" t="n">
        <x:v>2.0048416886543663</x:v>
      </x:c>
      <x:c r="M258" s="102" t="n">
        <x:v>81.855</x:v>
      </x:c>
      <x:c r="N258" s="102" t="n">
        <x:v>1.8400000000000034</x:v>
      </x:c>
      <x:c r="O258" s="102" t="n">
        <x:v>7.045</x:v>
      </x:c>
      <x:c r="P258" s="102" t="n">
        <x:v>0</x:v>
      </x:c>
      <x:c r="Q258" s="45" t="str">
        <x:v>MODEL_INFERRED</x:v>
      </x:c>
      <x:c r="R258" s="45" t="str">
        <x:v>SCENARIO_GENERATION</x:v>
      </x:c>
      <x:c r="S258" s="45" t="str">
        <x:v>USER_REVIEW_REQUIRED</x:v>
      </x:c>
    </x:row>
    <x:row r="259">
      <x:c r="A259" s="45" t="str">
        <x:v>FU_AVI_HIGH</x:v>
      </x:c>
      <x:c r="B259" s="45" t="str">
        <x:v>AVI unbound fraction = 0.97</x:v>
      </x:c>
      <x:c r="C259" s="45" t="str">
        <x:v>R13</x:v>
      </x:c>
      <x:c r="D259" s="45" t="str">
        <x:v>121–150</x:v>
      </x:c>
      <x:c r="E259" s="45" t="n">
        <x:v>2.5</x:v>
      </x:c>
      <x:c r="F259" s="45" t="n">
        <x:v>6</x:v>
      </x:c>
      <x:c r="G259" s="45" t="str">
        <x:v>LEE2022_OXA_KP</x:v>
      </x:c>
      <x:c r="H259" s="45" t="str">
        <x:v>OXA-like CR-K. pneumoniae, ATLAS 2020</x:v>
      </x:c>
      <x:c r="I259" s="102" t="n">
        <x:v>98.12555084745763</x:v>
      </x:c>
      <x:c r="J259" s="102" t="n">
        <x:v>82.45499999999997</x:v>
      </x:c>
      <x:c r="K259" s="102" t="n">
        <x:v>81.29006355932201</x:v>
      </x:c>
      <x:c r="L259" s="102" t="n">
        <x:v>2.014915254237252</x:v>
      </x:c>
      <x:c r="M259" s="102" t="n">
        <x:v>81.855</x:v>
      </x:c>
      <x:c r="N259" s="102" t="n">
        <x:v>1.8400000000000034</x:v>
      </x:c>
      <x:c r="O259" s="102" t="n">
        <x:v>7.045</x:v>
      </x:c>
      <x:c r="P259" s="102" t="n">
        <x:v>0</x:v>
      </x:c>
      <x:c r="Q259" s="45" t="str">
        <x:v>MODEL_INFERRED</x:v>
      </x:c>
      <x:c r="R259" s="45" t="str">
        <x:v>SCENARIO_GENERATION</x:v>
      </x:c>
      <x:c r="S259" s="45" t="str">
        <x:v>USER_REVIEW_REQUIRED</x:v>
      </x:c>
    </x:row>
    <x:row r="260">
      <x:c r="A260" s="45" t="str">
        <x:v>FU_AVI_HIGH</x:v>
      </x:c>
      <x:c r="B260" s="45" t="str">
        <x:v>AVI unbound fraction = 0.97</x:v>
      </x:c>
      <x:c r="C260" s="45" t="str">
        <x:v>R13</x:v>
      </x:c>
      <x:c r="D260" s="45" t="str">
        <x:v>121–150</x:v>
      </x:c>
      <x:c r="E260" s="45" t="n">
        <x:v>2.5</x:v>
      </x:c>
      <x:c r="F260" s="45" t="n">
        <x:v>6</x:v>
      </x:c>
      <x:c r="G260" s="45" t="str">
        <x:v>INDIA2022_OXA48_KP</x:v>
      </x:c>
      <x:c r="H260" s="45" t="str">
        <x:v>OXA-48-like CR-K. pneumoniae, India</x:v>
      </x:c>
      <x:c r="I260" s="102" t="n">
        <x:v>96.03632352941177</x:v>
      </x:c>
      <x:c r="J260" s="102" t="n">
        <x:v>82.45499999999998</x:v>
      </x:c>
      <x:c r="K260" s="102" t="n">
        <x:v>79.43768382352941</x:v>
      </x:c>
      <x:c r="L260" s="102" t="n">
        <x:v>1.9747058823529215</x:v>
      </x:c>
      <x:c r="M260" s="102" t="n">
        <x:v>81.855</x:v>
      </x:c>
      <x:c r="N260" s="102" t="n">
        <x:v>1.8400000000000034</x:v>
      </x:c>
      <x:c r="O260" s="102" t="n">
        <x:v>7.045</x:v>
      </x:c>
      <x:c r="P260" s="102" t="n">
        <x:v>0</x:v>
      </x:c>
      <x:c r="Q260" s="45" t="str">
        <x:v>MODEL_INFERRED</x:v>
      </x:c>
      <x:c r="R260" s="45" t="str">
        <x:v>SCENARIO_GENERATION</x:v>
      </x:c>
      <x:c r="S260" s="45" t="str">
        <x:v>USER_REVIEW_REQUIRED</x:v>
      </x:c>
    </x:row>
    <x:row r="261">
      <x:c r="A261" s="45" t="str">
        <x:v>FU_AVI_HIGH</x:v>
      </x:c>
      <x:c r="B261" s="45" t="str">
        <x:v>AVI unbound fraction = 0.97</x:v>
      </x:c>
      <x:c r="C261" s="45" t="str">
        <x:v>R13</x:v>
      </x:c>
      <x:c r="D261" s="45" t="str">
        <x:v>121–150</x:v>
      </x:c>
      <x:c r="E261" s="45" t="n">
        <x:v>2.5</x:v>
      </x:c>
      <x:c r="F261" s="45" t="n">
        <x:v>6</x:v>
      </x:c>
      <x:c r="G261" s="45" t="str">
        <x:v>FR2024_OXA484_SERINE_ONLY</x:v>
      </x:c>
      <x:c r="H261" s="45" t="str">
        <x:v>French OXA-484 Enterobacterales, serine-only</x:v>
      </x:c>
      <x:c r="I261" s="102" t="n">
        <x:v>99.71316666666667</x:v>
      </x:c>
      <x:c r="J261" s="102" t="n">
        <x:v>82.45500000000001</x:v>
      </x:c>
      <x:c r="K261" s="102" t="n">
        <x:v>82.44500000000001</x:v>
      </x:c>
      <x:c r="L261" s="102" t="n">
        <x:v>2.051416666666668</x:v>
      </x:c>
      <x:c r="M261" s="102" t="n">
        <x:v>81.855</x:v>
      </x:c>
      <x:c r="N261" s="102" t="n">
        <x:v>1.8400000000000034</x:v>
      </x:c>
      <x:c r="O261" s="102" t="n">
        <x:v>7.045</x:v>
      </x:c>
      <x:c r="P261" s="102" t="n">
        <x:v>0</x:v>
      </x:c>
      <x:c r="Q261" s="45" t="str">
        <x:v>MODEL_INFERRED</x:v>
      </x:c>
      <x:c r="R261" s="45" t="str">
        <x:v>SCENARIO_GENERATION</x:v>
      </x:c>
      <x:c r="S261" s="45" t="str">
        <x:v>USER_REVIEW_REQUIRED</x:v>
      </x:c>
    </x:row>
    <x:row r="262">
      <x:c r="A262" s="45" t="str">
        <x:v>CAZ_TARGET_2</x:v>
      </x:c>
      <x:c r="B262" s="45" t="str">
        <x:v>CAZ target fCss/MIC ≥2</x:v>
      </x:c>
      <x:c r="C262" s="45" t="str">
        <x:v>R1</x:v>
      </x:c>
      <x:c r="D262" s="45" t="str">
        <x:v>0–30</x:v>
      </x:c>
      <x:c r="E262" s="45" t="n">
        <x:v>0.625</x:v>
      </x:c>
      <x:c r="F262" s="45" t="n">
        <x:v>12</x:v>
      </x:c>
      <x:c r="G262" s="45" t="str">
        <x:v>LEE2022_KPC_KP</x:v>
      </x:c>
      <x:c r="H262" s="45" t="str">
        <x:v>KPC-like CR-K. pneumoniae, ATLAS 2020</x:v>
      </x:c>
      <x:c r="I262" s="102" t="n">
        <x:v>98.34591029023747</x:v>
      </x:c>
      <x:c r="J262" s="102" t="n">
        <x:v>74.22</x:v>
      </x:c>
      <x:c r="K262" s="102" t="n">
        <x:v>73.85379947229552</x:v>
      </x:c>
      <x:c r="L262" s="102" t="n">
        <x:v>1.0496701846965806</x:v>
      </x:c>
      <x:c r="M262" s="102" t="n">
        <x:v>74.215</x:v>
      </x:c>
      <x:c r="N262" s="102" t="n">
        <x:v>7.790000000000006</x:v>
      </x:c>
      <x:c r="O262" s="102" t="n">
        <x:v>9.42</x:v>
      </x:c>
      <x:c r="P262" s="102" t="n">
        <x:v>0</x:v>
      </x:c>
      <x:c r="Q262" s="45" t="str">
        <x:v>USER_INPUT</x:v>
      </x:c>
      <x:c r="R262" s="45" t="str">
        <x:v>SCENARIO_GENERATION</x:v>
      </x:c>
      <x:c r="S262" s="45" t="str">
        <x:v>USER_REVIEW_REQUIRED</x:v>
      </x:c>
    </x:row>
    <x:row r="263">
      <x:c r="A263" s="45" t="str">
        <x:v>CAZ_TARGET_2</x:v>
      </x:c>
      <x:c r="B263" s="45" t="str">
        <x:v>CAZ target fCss/MIC ≥2</x:v>
      </x:c>
      <x:c r="C263" s="45" t="str">
        <x:v>R1</x:v>
      </x:c>
      <x:c r="D263" s="45" t="str">
        <x:v>0–30</x:v>
      </x:c>
      <x:c r="E263" s="45" t="n">
        <x:v>0.625</x:v>
      </x:c>
      <x:c r="F263" s="45" t="n">
        <x:v>12</x:v>
      </x:c>
      <x:c r="G263" s="45" t="str">
        <x:v>LEE2022_OXA_KP</x:v>
      </x:c>
      <x:c r="H263" s="45" t="str">
        <x:v>OXA-like CR-K. pneumoniae, ATLAS 2020</x:v>
      </x:c>
      <x:c r="I263" s="102" t="n">
        <x:v>98.32052966101695</x:v>
      </x:c>
      <x:c r="J263" s="102" t="n">
        <x:v>74.22</x:v>
      </x:c>
      <x:c r="K263" s="102" t="n">
        <x:v>73.35169491525423</x:v>
      </x:c>
      <x:c r="L263" s="102" t="n">
        <x:v>0.3986864406779631</x:v>
      </x:c>
      <x:c r="M263" s="102" t="n">
        <x:v>74.215</x:v>
      </x:c>
      <x:c r="N263" s="102" t="n">
        <x:v>7.790000000000006</x:v>
      </x:c>
      <x:c r="O263" s="102" t="n">
        <x:v>9.42</x:v>
      </x:c>
      <x:c r="P263" s="102" t="n">
        <x:v>0</x:v>
      </x:c>
      <x:c r="Q263" s="45" t="str">
        <x:v>USER_INPUT</x:v>
      </x:c>
      <x:c r="R263" s="45" t="str">
        <x:v>SCENARIO_GENERATION</x:v>
      </x:c>
      <x:c r="S263" s="45" t="str">
        <x:v>USER_REVIEW_REQUIRED</x:v>
      </x:c>
    </x:row>
    <x:row r="264">
      <x:c r="A264" s="45" t="str">
        <x:v>CAZ_TARGET_2</x:v>
      </x:c>
      <x:c r="B264" s="45" t="str">
        <x:v>CAZ target fCss/MIC ≥2</x:v>
      </x:c>
      <x:c r="C264" s="45" t="str">
        <x:v>R1</x:v>
      </x:c>
      <x:c r="D264" s="45" t="str">
        <x:v>0–30</x:v>
      </x:c>
      <x:c r="E264" s="45" t="n">
        <x:v>0.625</x:v>
      </x:c>
      <x:c r="F264" s="45" t="n">
        <x:v>12</x:v>
      </x:c>
      <x:c r="G264" s="45" t="str">
        <x:v>INDIA2022_OXA48_KP</x:v>
      </x:c>
      <x:c r="H264" s="45" t="str">
        <x:v>OXA-48-like CR-K. pneumoniae, India</x:v>
      </x:c>
      <x:c r="I264" s="102" t="n">
        <x:v>96.3858455882353</x:v>
      </x:c>
      <x:c r="J264" s="102" t="n">
        <x:v>74.22000000000001</x:v>
      </x:c>
      <x:c r="K264" s="102" t="n">
        <x:v>71.82694852941178</x:v>
      </x:c>
      <x:c r="L264" s="102" t="n">
        <x:v>0.38466911764706424</x:v>
      </x:c>
      <x:c r="M264" s="102" t="n">
        <x:v>74.215</x:v>
      </x:c>
      <x:c r="N264" s="102" t="n">
        <x:v>7.790000000000006</x:v>
      </x:c>
      <x:c r="O264" s="102" t="n">
        <x:v>9.42</x:v>
      </x:c>
      <x:c r="P264" s="102" t="n">
        <x:v>0</x:v>
      </x:c>
      <x:c r="Q264" s="45" t="str">
        <x:v>USER_INPUT</x:v>
      </x:c>
      <x:c r="R264" s="45" t="str">
        <x:v>SCENARIO_GENERATION</x:v>
      </x:c>
      <x:c r="S264" s="45" t="str">
        <x:v>USER_REVIEW_REQUIRED</x:v>
      </x:c>
    </x:row>
    <x:row r="265">
      <x:c r="A265" s="45" t="str">
        <x:v>CAZ_TARGET_2</x:v>
      </x:c>
      <x:c r="B265" s="45" t="str">
        <x:v>CAZ target fCss/MIC ≥2</x:v>
      </x:c>
      <x:c r="C265" s="45" t="str">
        <x:v>R1</x:v>
      </x:c>
      <x:c r="D265" s="45" t="str">
        <x:v>0–30</x:v>
      </x:c>
      <x:c r="E265" s="45" t="n">
        <x:v>0.625</x:v>
      </x:c>
      <x:c r="F265" s="45" t="n">
        <x:v>12</x:v>
      </x:c>
      <x:c r="G265" s="45" t="str">
        <x:v>FR2024_OXA484_SERINE_ONLY</x:v>
      </x:c>
      <x:c r="H265" s="45" t="str">
        <x:v>French OXA-484 Enterobacterales, serine-only</x:v>
      </x:c>
      <x:c r="I265" s="102" t="n">
        <x:v>99.74375</x:v>
      </x:c>
      <x:c r="J265" s="102" t="n">
        <x:v>74.22</x:v>
      </x:c>
      <x:c r="K265" s="102" t="n">
        <x:v>74.21991666666668</x:v>
      </x:c>
      <x:c r="L265" s="102" t="n">
        <x:v>0.13058333333333394</x:v>
      </x:c>
      <x:c r="M265" s="102" t="n">
        <x:v>74.215</x:v>
      </x:c>
      <x:c r="N265" s="102" t="n">
        <x:v>7.790000000000006</x:v>
      </x:c>
      <x:c r="O265" s="102" t="n">
        <x:v>9.42</x:v>
      </x:c>
      <x:c r="P265" s="102" t="n">
        <x:v>0</x:v>
      </x:c>
      <x:c r="Q265" s="45" t="str">
        <x:v>USER_INPUT</x:v>
      </x:c>
      <x:c r="R265" s="45" t="str">
        <x:v>SCENARIO_GENERATION</x:v>
      </x:c>
      <x:c r="S265" s="45" t="str">
        <x:v>USER_REVIEW_REQUIRED</x:v>
      </x:c>
    </x:row>
    <x:row r="266">
      <x:c r="A266" s="45" t="str">
        <x:v>CAZ_TARGET_2</x:v>
      </x:c>
      <x:c r="B266" s="45" t="str">
        <x:v>CAZ target fCss/MIC ≥2</x:v>
      </x:c>
      <x:c r="C266" s="45" t="str">
        <x:v>R8</x:v>
      </x:c>
      <x:c r="D266" s="45" t="str">
        <x:v>31–60</x:v>
      </x:c>
      <x:c r="E266" s="45" t="n">
        <x:v>2.5</x:v>
      </x:c>
      <x:c r="F266" s="45" t="n">
        <x:v>12</x:v>
      </x:c>
      <x:c r="G266" s="45" t="str">
        <x:v>LEE2022_KPC_KP</x:v>
      </x:c>
      <x:c r="H266" s="45" t="str">
        <x:v>KPC-like CR-K. pneumoniae, ATLAS 2020</x:v>
      </x:c>
      <x:c r="I266" s="102" t="n">
        <x:v>99.49792875989446</x:v>
      </x:c>
      <x:c r="J266" s="102" t="n">
        <x:v>89.22500000000001</x:v>
      </x:c>
      <x:c r="K266" s="102" t="n">
        <x:v>88.91097625329816</x:v>
      </x:c>
      <x:c r="L266" s="102" t="n">
        <x:v>0.49815303430079894</x:v>
      </x:c>
      <x:c r="M266" s="102" t="n">
        <x:v>89.225</x:v>
      </x:c>
      <x:c r="N266" s="102" t="n">
        <x:v>1.2399999999999949</x:v>
      </x:c>
      <x:c r="O266" s="102" t="n">
        <x:v>9.62</x:v>
      </x:c>
      <x:c r="P266" s="102" t="n">
        <x:v>0</x:v>
      </x:c>
      <x:c r="Q266" s="45" t="str">
        <x:v>USER_INPUT</x:v>
      </x:c>
      <x:c r="R266" s="45" t="str">
        <x:v>SCENARIO_GENERATION</x:v>
      </x:c>
      <x:c r="S266" s="45" t="str">
        <x:v>USER_REVIEW_REQUIRED</x:v>
      </x:c>
    </x:row>
    <x:row r="267">
      <x:c r="A267" s="45" t="str">
        <x:v>CAZ_TARGET_2</x:v>
      </x:c>
      <x:c r="B267" s="45" t="str">
        <x:v>CAZ target fCss/MIC ≥2</x:v>
      </x:c>
      <x:c r="C267" s="45" t="str">
        <x:v>R8</x:v>
      </x:c>
      <x:c r="D267" s="45" t="str">
        <x:v>31–60</x:v>
      </x:c>
      <x:c r="E267" s="45" t="n">
        <x:v>2.5</x:v>
      </x:c>
      <x:c r="F267" s="45" t="n">
        <x:v>12</x:v>
      </x:c>
      <x:c r="G267" s="45" t="str">
        <x:v>LEE2022_OXA_KP</x:v>
      </x:c>
      <x:c r="H267" s="45" t="str">
        <x:v>OXA-like CR-K. pneumoniae, ATLAS 2020</x:v>
      </x:c>
      <x:c r="I267" s="102" t="n">
        <x:v>98.79235169491527</x:v>
      </x:c>
      <x:c r="J267" s="102" t="n">
        <x:v>89.22500000000001</x:v>
      </x:c>
      <x:c r="K267" s="102" t="n">
        <x:v>88.20197033898305</x:v>
      </x:c>
      <x:c r="L267" s="102" t="n">
        <x:v>0.2471186440677826</x:v>
      </x:c>
      <x:c r="M267" s="102" t="n">
        <x:v>89.225</x:v>
      </x:c>
      <x:c r="N267" s="102" t="n">
        <x:v>1.2399999999999949</x:v>
      </x:c>
      <x:c r="O267" s="102" t="n">
        <x:v>9.62</x:v>
      </x:c>
      <x:c r="P267" s="102" t="n">
        <x:v>0</x:v>
      </x:c>
      <x:c r="Q267" s="45" t="str">
        <x:v>USER_INPUT</x:v>
      </x:c>
      <x:c r="R267" s="45" t="str">
        <x:v>SCENARIO_GENERATION</x:v>
      </x:c>
      <x:c r="S267" s="45" t="str">
        <x:v>USER_REVIEW_REQUIRED</x:v>
      </x:c>
    </x:row>
    <x:row r="268">
      <x:c r="A268" s="45" t="str">
        <x:v>CAZ_TARGET_2</x:v>
      </x:c>
      <x:c r="B268" s="45" t="str">
        <x:v>CAZ target fCss/MIC ≥2</x:v>
      </x:c>
      <x:c r="C268" s="45" t="str">
        <x:v>R8</x:v>
      </x:c>
      <x:c r="D268" s="45" t="str">
        <x:v>31–60</x:v>
      </x:c>
      <x:c r="E268" s="45" t="n">
        <x:v>2.5</x:v>
      </x:c>
      <x:c r="F268" s="45" t="n">
        <x:v>12</x:v>
      </x:c>
      <x:c r="G268" s="45" t="str">
        <x:v>INDIA2022_OXA48_KP</x:v>
      </x:c>
      <x:c r="H268" s="45" t="str">
        <x:v>OXA-48-like CR-K. pneumoniae, India</x:v>
      </x:c>
      <x:c r="I268" s="102" t="n">
        <x:v>96.69066176470588</x:v>
      </x:c>
      <x:c r="J268" s="102" t="n">
        <x:v>89.22500000000001</x:v>
      </x:c>
      <x:c r="K268" s="102" t="n">
        <x:v>86.32680147058824</x:v>
      </x:c>
      <x:c r="L268" s="102" t="n">
        <x:v>0.36341911764705515</x:v>
      </x:c>
      <x:c r="M268" s="102" t="n">
        <x:v>89.225</x:v>
      </x:c>
      <x:c r="N268" s="102" t="n">
        <x:v>1.2399999999999949</x:v>
      </x:c>
      <x:c r="O268" s="102" t="n">
        <x:v>9.62</x:v>
      </x:c>
      <x:c r="P268" s="102" t="n">
        <x:v>0</x:v>
      </x:c>
      <x:c r="Q268" s="45" t="str">
        <x:v>USER_INPUT</x:v>
      </x:c>
      <x:c r="R268" s="45" t="str">
        <x:v>SCENARIO_GENERATION</x:v>
      </x:c>
      <x:c r="S268" s="45" t="str">
        <x:v>USER_REVIEW_REQUIRED</x:v>
      </x:c>
    </x:row>
    <x:row r="269">
      <x:c r="A269" s="45" t="str">
        <x:v>CAZ_TARGET_2</x:v>
      </x:c>
      <x:c r="B269" s="45" t="str">
        <x:v>CAZ target fCss/MIC ≥2</x:v>
      </x:c>
      <x:c r="C269" s="45" t="str">
        <x:v>R8</x:v>
      </x:c>
      <x:c r="D269" s="45" t="str">
        <x:v>31–60</x:v>
      </x:c>
      <x:c r="E269" s="45" t="n">
        <x:v>2.5</x:v>
      </x:c>
      <x:c r="F269" s="45" t="n">
        <x:v>12</x:v>
      </x:c>
      <x:c r="G269" s="45" t="str">
        <x:v>FR2024_OXA484_SERINE_ONLY</x:v>
      </x:c>
      <x:c r="H269" s="45" t="str">
        <x:v>French OXA-484 Enterobacterales, serine-only</x:v>
      </x:c>
      <x:c r="I269" s="102" t="n">
        <x:v>99.98833333333334</x:v>
      </x:c>
      <x:c r="J269" s="102" t="n">
        <x:v>89.22499999999998</x:v>
      </x:c>
      <x:c r="K269" s="102" t="n">
        <x:v>89.22499999999998</x:v>
      </x:c>
      <x:c r="L269" s="102" t="n">
        <x:v>0.020666666666670608</x:v>
      </x:c>
      <x:c r="M269" s="102" t="n">
        <x:v>89.225</x:v>
      </x:c>
      <x:c r="N269" s="102" t="n">
        <x:v>1.2399999999999949</x:v>
      </x:c>
      <x:c r="O269" s="102" t="n">
        <x:v>9.62</x:v>
      </x:c>
      <x:c r="P269" s="102" t="n">
        <x:v>0</x:v>
      </x:c>
      <x:c r="Q269" s="45" t="str">
        <x:v>USER_INPUT</x:v>
      </x:c>
      <x:c r="R269" s="45" t="str">
        <x:v>SCENARIO_GENERATION</x:v>
      </x:c>
      <x:c r="S269" s="45" t="str">
        <x:v>USER_REVIEW_REQUIRED</x:v>
      </x:c>
    </x:row>
    <x:row r="270">
      <x:c r="A270" s="45" t="str">
        <x:v>CAZ_TARGET_2</x:v>
      </x:c>
      <x:c r="B270" s="45" t="str">
        <x:v>CAZ target fCss/MIC ≥2</x:v>
      </x:c>
      <x:c r="C270" s="45" t="str">
        <x:v>R10</x:v>
      </x:c>
      <x:c r="D270" s="45" t="str">
        <x:v>61–90</x:v>
      </x:c>
      <x:c r="E270" s="45" t="n">
        <x:v>2.5</x:v>
      </x:c>
      <x:c r="F270" s="45" t="n">
        <x:v>8</x:v>
      </x:c>
      <x:c r="G270" s="45" t="str">
        <x:v>LEE2022_KPC_KP</x:v>
      </x:c>
      <x:c r="H270" s="45" t="str">
        <x:v>KPC-like CR-K. pneumoniae, ATLAS 2020</x:v>
      </x:c>
      <x:c r="I270" s="102" t="n">
        <x:v>99.5331926121372</x:v>
      </x:c>
      <x:c r="J270" s="102" t="n">
        <x:v>88.14</x:v>
      </x:c>
      <x:c r="K270" s="102" t="n">
        <x:v>87.84583113456465</x:v>
      </x:c>
      <x:c r="L270" s="102" t="n">
        <x:v>0.4166754617414199</x:v>
      </x:c>
      <x:c r="M270" s="102" t="n">
        <x:v>88.14</x:v>
      </x:c>
      <x:c r="N270" s="102" t="n">
        <x:v>0.605000000000004</x:v>
      </x:c>
      <x:c r="O270" s="102" t="n">
        <x:v>10.665</x:v>
      </x:c>
      <x:c r="P270" s="102" t="n">
        <x:v>0</x:v>
      </x:c>
      <x:c r="Q270" s="45" t="str">
        <x:v>USER_INPUT</x:v>
      </x:c>
      <x:c r="R270" s="45" t="str">
        <x:v>SCENARIO_GENERATION</x:v>
      </x:c>
      <x:c r="S270" s="45" t="str">
        <x:v>USER_REVIEW_REQUIRED</x:v>
      </x:c>
    </x:row>
    <x:row r="271">
      <x:c r="A271" s="45" t="str">
        <x:v>CAZ_TARGET_2</x:v>
      </x:c>
      <x:c r="B271" s="45" t="str">
        <x:v>CAZ target fCss/MIC ≥2</x:v>
      </x:c>
      <x:c r="C271" s="45" t="str">
        <x:v>R10</x:v>
      </x:c>
      <x:c r="D271" s="45" t="str">
        <x:v>61–90</x:v>
      </x:c>
      <x:c r="E271" s="45" t="n">
        <x:v>2.5</x:v>
      </x:c>
      <x:c r="F271" s="45" t="n">
        <x:v>8</x:v>
      </x:c>
      <x:c r="G271" s="45" t="str">
        <x:v>LEE2022_OXA_KP</x:v>
      </x:c>
      <x:c r="H271" s="45" t="str">
        <x:v>OXA-like CR-K. pneumoniae, ATLAS 2020</x:v>
      </x:c>
      <x:c r="I271" s="102" t="n">
        <x:v>98.81258474576273</x:v>
      </x:c>
      <x:c r="J271" s="102" t="n">
        <x:v>88.14000000000003</x:v>
      </x:c>
      <x:c r="K271" s="102" t="n">
        <x:v>87.14383474576273</x:v>
      </x:c>
      <x:c r="L271" s="102" t="n">
        <x:v>0.22680084745763907</x:v>
      </x:c>
      <x:c r="M271" s="102" t="n">
        <x:v>88.14</x:v>
      </x:c>
      <x:c r="N271" s="102" t="n">
        <x:v>0.605000000000004</x:v>
      </x:c>
      <x:c r="O271" s="102" t="n">
        <x:v>10.665</x:v>
      </x:c>
      <x:c r="P271" s="102" t="n">
        <x:v>0</x:v>
      </x:c>
      <x:c r="Q271" s="45" t="str">
        <x:v>USER_INPUT</x:v>
      </x:c>
      <x:c r="R271" s="45" t="str">
        <x:v>SCENARIO_GENERATION</x:v>
      </x:c>
      <x:c r="S271" s="45" t="str">
        <x:v>USER_REVIEW_REQUIRED</x:v>
      </x:c>
    </x:row>
    <x:row r="272">
      <x:c r="A272" s="45" t="str">
        <x:v>CAZ_TARGET_2</x:v>
      </x:c>
      <x:c r="B272" s="45" t="str">
        <x:v>CAZ target fCss/MIC ≥2</x:v>
      </x:c>
      <x:c r="C272" s="45" t="str">
        <x:v>R10</x:v>
      </x:c>
      <x:c r="D272" s="45" t="str">
        <x:v>61–90</x:v>
      </x:c>
      <x:c r="E272" s="45" t="n">
        <x:v>2.5</x:v>
      </x:c>
      <x:c r="F272" s="45" t="n">
        <x:v>8</x:v>
      </x:c>
      <x:c r="G272" s="45" t="str">
        <x:v>INDIA2022_OXA48_KP</x:v>
      </x:c>
      <x:c r="H272" s="45" t="str">
        <x:v>OXA-48-like CR-K. pneumoniae, India</x:v>
      </x:c>
      <x:c r="I272" s="102" t="n">
        <x:v>96.72738970588236</x:v>
      </x:c>
      <x:c r="J272" s="102" t="n">
        <x:v>88.13999999999999</x:v>
      </x:c>
      <x:c r="K272" s="102" t="n">
        <x:v>85.315</x:v>
      </x:c>
      <x:c r="L272" s="102" t="n">
        <x:v>0.3754044117647055</x:v>
      </x:c>
      <x:c r="M272" s="102" t="n">
        <x:v>88.14</x:v>
      </x:c>
      <x:c r="N272" s="102" t="n">
        <x:v>0.605000000000004</x:v>
      </x:c>
      <x:c r="O272" s="102" t="n">
        <x:v>10.665</x:v>
      </x:c>
      <x:c r="P272" s="102" t="n">
        <x:v>0</x:v>
      </x:c>
      <x:c r="Q272" s="45" t="str">
        <x:v>USER_INPUT</x:v>
      </x:c>
      <x:c r="R272" s="45" t="str">
        <x:v>SCENARIO_GENERATION</x:v>
      </x:c>
      <x:c r="S272" s="45" t="str">
        <x:v>USER_REVIEW_REQUIRED</x:v>
      </x:c>
    </x:row>
    <x:row r="273">
      <x:c r="A273" s="45" t="str">
        <x:v>CAZ_TARGET_2</x:v>
      </x:c>
      <x:c r="B273" s="45" t="str">
        <x:v>CAZ target fCss/MIC ≥2</x:v>
      </x:c>
      <x:c r="C273" s="45" t="str">
        <x:v>R10</x:v>
      </x:c>
      <x:c r="D273" s="45" t="str">
        <x:v>61–90</x:v>
      </x:c>
      <x:c r="E273" s="45" t="n">
        <x:v>2.5</x:v>
      </x:c>
      <x:c r="F273" s="45" t="n">
        <x:v>8</x:v>
      </x:c>
      <x:c r="G273" s="45" t="str">
        <x:v>FR2024_OXA484_SERINE_ONLY</x:v>
      </x:c>
      <x:c r="H273" s="45" t="str">
        <x:v>French OXA-484 Enterobacterales, serine-only</x:v>
      </x:c>
      <x:c r="I273" s="102" t="n">
        <x:v>99.99091666666668</x:v>
      </x:c>
      <x:c r="J273" s="102" t="n">
        <x:v>88.14</x:v>
      </x:c>
      <x:c r="K273" s="102" t="n">
        <x:v>88.14</x:v>
      </x:c>
      <x:c r="L273" s="102" t="n">
        <x:v>0.010083333333327005</x:v>
      </x:c>
      <x:c r="M273" s="102" t="n">
        <x:v>88.14</x:v>
      </x:c>
      <x:c r="N273" s="102" t="n">
        <x:v>0.605000000000004</x:v>
      </x:c>
      <x:c r="O273" s="102" t="n">
        <x:v>10.665</x:v>
      </x:c>
      <x:c r="P273" s="102" t="n">
        <x:v>0</x:v>
      </x:c>
      <x:c r="Q273" s="45" t="str">
        <x:v>USER_INPUT</x:v>
      </x:c>
      <x:c r="R273" s="45" t="str">
        <x:v>SCENARIO_GENERATION</x:v>
      </x:c>
      <x:c r="S273" s="45" t="str">
        <x:v>USER_REVIEW_REQUIRED</x:v>
      </x:c>
    </x:row>
    <x:row r="274">
      <x:c r="A274" s="45" t="str">
        <x:v>CAZ_TARGET_2</x:v>
      </x:c>
      <x:c r="B274" s="45" t="str">
        <x:v>CAZ target fCss/MIC ≥2</x:v>
      </x:c>
      <x:c r="C274" s="45" t="str">
        <x:v>R12</x:v>
      </x:c>
      <x:c r="D274" s="45" t="str">
        <x:v>91–120</x:v>
      </x:c>
      <x:c r="E274" s="45" t="n">
        <x:v>2.5</x:v>
      </x:c>
      <x:c r="F274" s="45" t="n">
        <x:v>6</x:v>
      </x:c>
      <x:c r="G274" s="45" t="str">
        <x:v>LEE2022_KPC_KP</x:v>
      </x:c>
      <x:c r="H274" s="45" t="str">
        <x:v>KPC-like CR-K. pneumoniae, ATLAS 2020</x:v>
      </x:c>
      <x:c r="I274" s="102" t="n">
        <x:v>99.5662796833773</x:v>
      </x:c>
      <x:c r="J274" s="102" t="n">
        <x:v>88.14</x:v>
      </x:c>
      <x:c r="K274" s="102" t="n">
        <x:v>87.85877308707124</x:v>
      </x:c>
      <x:c r="L274" s="102" t="n">
        <x:v>0.3680474934036937</x:v>
      </x:c>
      <x:c r="M274" s="102" t="n">
        <x:v>88.14</x:v>
      </x:c>
      <x:c r="N274" s="102" t="n">
        <x:v>0.37999999999999545</x:v>
      </x:c>
      <x:c r="O274" s="102" t="n">
        <x:v>11.82</x:v>
      </x:c>
      <x:c r="P274" s="102" t="n">
        <x:v>0</x:v>
      </x:c>
      <x:c r="Q274" s="45" t="str">
        <x:v>USER_INPUT</x:v>
      </x:c>
      <x:c r="R274" s="45" t="str">
        <x:v>SCENARIO_GENERATION</x:v>
      </x:c>
      <x:c r="S274" s="45" t="str">
        <x:v>USER_REVIEW_REQUIRED</x:v>
      </x:c>
    </x:row>
    <x:row r="275">
      <x:c r="A275" s="45" t="str">
        <x:v>CAZ_TARGET_2</x:v>
      </x:c>
      <x:c r="B275" s="45" t="str">
        <x:v>CAZ target fCss/MIC ≥2</x:v>
      </x:c>
      <x:c r="C275" s="45" t="str">
        <x:v>R12</x:v>
      </x:c>
      <x:c r="D275" s="45" t="str">
        <x:v>91–120</x:v>
      </x:c>
      <x:c r="E275" s="45" t="n">
        <x:v>2.5</x:v>
      </x:c>
      <x:c r="F275" s="45" t="n">
        <x:v>6</x:v>
      </x:c>
      <x:c r="G275" s="45" t="str">
        <x:v>LEE2022_OXA_KP</x:v>
      </x:c>
      <x:c r="H275" s="45" t="str">
        <x:v>OXA-like CR-K. pneumoniae, ATLAS 2020</x:v>
      </x:c>
      <x:c r="I275" s="102" t="n">
        <x:v>98.8332838983051</x:v>
      </x:c>
      <x:c r="J275" s="102" t="n">
        <x:v>88.14000000000003</x:v>
      </x:c>
      <x:c r="K275" s="102" t="n">
        <x:v>87.15697033898307</x:v>
      </x:c>
      <x:c r="L275" s="102" t="n">
        <x:v>0.21750000000001535</x:v>
      </x:c>
      <x:c r="M275" s="102" t="n">
        <x:v>88.14</x:v>
      </x:c>
      <x:c r="N275" s="102" t="n">
        <x:v>0.37999999999999545</x:v>
      </x:c>
      <x:c r="O275" s="102" t="n">
        <x:v>11.82</x:v>
      </x:c>
      <x:c r="P275" s="102" t="n">
        <x:v>0</x:v>
      </x:c>
      <x:c r="Q275" s="45" t="str">
        <x:v>USER_INPUT</x:v>
      </x:c>
      <x:c r="R275" s="45" t="str">
        <x:v>SCENARIO_GENERATION</x:v>
      </x:c>
      <x:c r="S275" s="45" t="str">
        <x:v>USER_REVIEW_REQUIRED</x:v>
      </x:c>
    </x:row>
    <x:row r="276">
      <x:c r="A276" s="45" t="str">
        <x:v>CAZ_TARGET_2</x:v>
      </x:c>
      <x:c r="B276" s="45" t="str">
        <x:v>CAZ target fCss/MIC ≥2</x:v>
      </x:c>
      <x:c r="C276" s="45" t="str">
        <x:v>R12</x:v>
      </x:c>
      <x:c r="D276" s="45" t="str">
        <x:v>91–120</x:v>
      </x:c>
      <x:c r="E276" s="45" t="n">
        <x:v>2.5</x:v>
      </x:c>
      <x:c r="F276" s="45" t="n">
        <x:v>6</x:v>
      </x:c>
      <x:c r="G276" s="45" t="str">
        <x:v>INDIA2022_OXA48_KP</x:v>
      </x:c>
      <x:c r="H276" s="45" t="str">
        <x:v>OXA-48-like CR-K. pneumoniae, India</x:v>
      </x:c>
      <x:c r="I276" s="102" t="n">
        <x:v>96.76952205882354</x:v>
      </x:c>
      <x:c r="J276" s="102" t="n">
        <x:v>88.13999999999999</x:v>
      </x:c>
      <x:c r="K276" s="102" t="n">
        <x:v>85.3539338235294</x:v>
      </x:c>
      <x:c r="L276" s="102" t="n">
        <x:v>0.40334558823528255</x:v>
      </x:c>
      <x:c r="M276" s="102" t="n">
        <x:v>88.14</x:v>
      </x:c>
      <x:c r="N276" s="102" t="n">
        <x:v>0.37999999999999545</x:v>
      </x:c>
      <x:c r="O276" s="102" t="n">
        <x:v>11.82</x:v>
      </x:c>
      <x:c r="P276" s="102" t="n">
        <x:v>0</x:v>
      </x:c>
      <x:c r="Q276" s="45" t="str">
        <x:v>USER_INPUT</x:v>
      </x:c>
      <x:c r="R276" s="45" t="str">
        <x:v>SCENARIO_GENERATION</x:v>
      </x:c>
      <x:c r="S276" s="45" t="str">
        <x:v>USER_REVIEW_REQUIRED</x:v>
      </x:c>
    </x:row>
    <x:row r="277">
      <x:c r="A277" s="45" t="str">
        <x:v>CAZ_TARGET_2</x:v>
      </x:c>
      <x:c r="B277" s="45" t="str">
        <x:v>CAZ target fCss/MIC ≥2</x:v>
      </x:c>
      <x:c r="C277" s="45" t="str">
        <x:v>R12</x:v>
      </x:c>
      <x:c r="D277" s="45" t="str">
        <x:v>91–120</x:v>
      </x:c>
      <x:c r="E277" s="45" t="n">
        <x:v>2.5</x:v>
      </x:c>
      <x:c r="F277" s="45" t="n">
        <x:v>6</x:v>
      </x:c>
      <x:c r="G277" s="45" t="str">
        <x:v>FR2024_OXA484_SERINE_ONLY</x:v>
      </x:c>
      <x:c r="H277" s="45" t="str">
        <x:v>French OXA-484 Enterobacterales, serine-only</x:v>
      </x:c>
      <x:c r="I277" s="102" t="n">
        <x:v>99.99366666666667</x:v>
      </x:c>
      <x:c r="J277" s="102" t="n">
        <x:v>88.14</x:v>
      </x:c>
      <x:c r="K277" s="102" t="n">
        <x:v>88.14</x:v>
      </x:c>
      <x:c r="L277" s="102" t="n">
        <x:v>0.006333333333330415</x:v>
      </x:c>
      <x:c r="M277" s="102" t="n">
        <x:v>88.14</x:v>
      </x:c>
      <x:c r="N277" s="102" t="n">
        <x:v>0.37999999999999545</x:v>
      </x:c>
      <x:c r="O277" s="102" t="n">
        <x:v>11.82</x:v>
      </x:c>
      <x:c r="P277" s="102" t="n">
        <x:v>0</x:v>
      </x:c>
      <x:c r="Q277" s="45" t="str">
        <x:v>USER_INPUT</x:v>
      </x:c>
      <x:c r="R277" s="45" t="str">
        <x:v>SCENARIO_GENERATION</x:v>
      </x:c>
      <x:c r="S277" s="45" t="str">
        <x:v>USER_REVIEW_REQUIRED</x:v>
      </x:c>
    </x:row>
    <x:row r="278">
      <x:c r="A278" s="45" t="str">
        <x:v>CAZ_TARGET_2</x:v>
      </x:c>
      <x:c r="B278" s="45" t="str">
        <x:v>CAZ target fCss/MIC ≥2</x:v>
      </x:c>
      <x:c r="C278" s="45" t="str">
        <x:v>R13</x:v>
      </x:c>
      <x:c r="D278" s="45" t="str">
        <x:v>121–150</x:v>
      </x:c>
      <x:c r="E278" s="45" t="n">
        <x:v>2.5</x:v>
      </x:c>
      <x:c r="F278" s="45" t="n">
        <x:v>6</x:v>
      </x:c>
      <x:c r="G278" s="45" t="str">
        <x:v>LEE2022_KPC_KP</x:v>
      </x:c>
      <x:c r="H278" s="45" t="str">
        <x:v>KPC-like CR-K. pneumoniae, ATLAS 2020</x:v>
      </x:c>
      <x:c r="I278" s="102" t="n">
        <x:v>99.4488654353562</x:v>
      </x:c>
      <x:c r="J278" s="102" t="n">
        <x:v>80.39999999999998</x:v>
      </x:c>
      <x:c r="K278" s="102" t="n">
        <x:v>80.12555408970975</x:v>
      </x:c>
      <x:c r="L278" s="102" t="n">
        <x:v>0.3884036939313944</x:v>
      </x:c>
      <x:c r="M278" s="102" t="n">
        <x:v>80.4</x:v>
      </x:c>
      <x:c r="N278" s="102" t="n">
        <x:v>0.3850000000000051</x:v>
      </x:c>
      <x:c r="O278" s="102" t="n">
        <x:v>7.045</x:v>
      </x:c>
      <x:c r="P278" s="102" t="n">
        <x:v>0</x:v>
      </x:c>
      <x:c r="Q278" s="45" t="str">
        <x:v>USER_INPUT</x:v>
      </x:c>
      <x:c r="R278" s="45" t="str">
        <x:v>SCENARIO_GENERATION</x:v>
      </x:c>
      <x:c r="S278" s="45" t="str">
        <x:v>USER_REVIEW_REQUIRED</x:v>
      </x:c>
    </x:row>
    <x:row r="279">
      <x:c r="A279" s="45" t="str">
        <x:v>CAZ_TARGET_2</x:v>
      </x:c>
      <x:c r="B279" s="45" t="str">
        <x:v>CAZ target fCss/MIC ≥2</x:v>
      </x:c>
      <x:c r="C279" s="45" t="str">
        <x:v>R13</x:v>
      </x:c>
      <x:c r="D279" s="45" t="str">
        <x:v>121–150</x:v>
      </x:c>
      <x:c r="E279" s="45" t="n">
        <x:v>2.5</x:v>
      </x:c>
      <x:c r="F279" s="45" t="n">
        <x:v>6</x:v>
      </x:c>
      <x:c r="G279" s="45" t="str">
        <x:v>LEE2022_OXA_KP</x:v>
      </x:c>
      <x:c r="H279" s="45" t="str">
        <x:v>OXA-like CR-K. pneumoniae, ATLAS 2020</x:v>
      </x:c>
      <x:c r="I279" s="102" t="n">
        <x:v>98.7477966101695</x:v>
      </x:c>
      <x:c r="J279" s="102" t="n">
        <x:v>80.4</x:v>
      </x:c>
      <x:c r="K279" s="102" t="n">
        <x:v>79.46430084745764</x:v>
      </x:c>
      <x:c r="L279" s="102" t="n">
        <x:v>0.18915254237288082</x:v>
      </x:c>
      <x:c r="M279" s="102" t="n">
        <x:v>80.4</x:v>
      </x:c>
      <x:c r="N279" s="102" t="n">
        <x:v>0.3850000000000051</x:v>
      </x:c>
      <x:c r="O279" s="102" t="n">
        <x:v>7.045</x:v>
      </x:c>
      <x:c r="P279" s="102" t="n">
        <x:v>0</x:v>
      </x:c>
      <x:c r="Q279" s="45" t="str">
        <x:v>USER_INPUT</x:v>
      </x:c>
      <x:c r="R279" s="45" t="str">
        <x:v>SCENARIO_GENERATION</x:v>
      </x:c>
      <x:c r="S279" s="45" t="str">
        <x:v>USER_REVIEW_REQUIRED</x:v>
      </x:c>
    </x:row>
    <x:row r="280">
      <x:c r="A280" s="45" t="str">
        <x:v>CAZ_TARGET_2</x:v>
      </x:c>
      <x:c r="B280" s="45" t="str">
        <x:v>CAZ target fCss/MIC ≥2</x:v>
      </x:c>
      <x:c r="C280" s="45" t="str">
        <x:v>R13</x:v>
      </x:c>
      <x:c r="D280" s="45" t="str">
        <x:v>121–150</x:v>
      </x:c>
      <x:c r="E280" s="45" t="n">
        <x:v>2.5</x:v>
      </x:c>
      <x:c r="F280" s="45" t="n">
        <x:v>6</x:v>
      </x:c>
      <x:c r="G280" s="45" t="str">
        <x:v>INDIA2022_OXA48_KP</x:v>
      </x:c>
      <x:c r="H280" s="45" t="str">
        <x:v>OXA-48-like CR-K. pneumoniae, India</x:v>
      </x:c>
      <x:c r="I280" s="102" t="n">
        <x:v>96.59297794117646</x:v>
      </x:c>
      <x:c r="J280" s="102" t="n">
        <x:v>80.40000000000003</x:v>
      </x:c>
      <x:c r="K280" s="102" t="n">
        <x:v>77.73639705882354</x:v>
      </x:c>
      <x:c r="L280" s="102" t="n">
        <x:v>0.27341911764705173</x:v>
      </x:c>
      <x:c r="M280" s="102" t="n">
        <x:v>80.4</x:v>
      </x:c>
      <x:c r="N280" s="102" t="n">
        <x:v>0.3850000000000051</x:v>
      </x:c>
      <x:c r="O280" s="102" t="n">
        <x:v>7.045</x:v>
      </x:c>
      <x:c r="P280" s="102" t="n">
        <x:v>0</x:v>
      </x:c>
      <x:c r="Q280" s="45" t="str">
        <x:v>USER_INPUT</x:v>
      </x:c>
      <x:c r="R280" s="45" t="str">
        <x:v>SCENARIO_GENERATION</x:v>
      </x:c>
      <x:c r="S280" s="45" t="str">
        <x:v>USER_REVIEW_REQUIRED</x:v>
      </x:c>
    </x:row>
    <x:row r="281">
      <x:c r="A281" s="45" t="str">
        <x:v>CAZ_TARGET_2</x:v>
      </x:c>
      <x:c r="B281" s="45" t="str">
        <x:v>CAZ target fCss/MIC ≥2</x:v>
      </x:c>
      <x:c r="C281" s="45" t="str">
        <x:v>R13</x:v>
      </x:c>
      <x:c r="D281" s="45" t="str">
        <x:v>121–150</x:v>
      </x:c>
      <x:c r="E281" s="45" t="n">
        <x:v>2.5</x:v>
      </x:c>
      <x:c r="F281" s="45" t="n">
        <x:v>6</x:v>
      </x:c>
      <x:c r="G281" s="45" t="str">
        <x:v>FR2024_OXA484_SERINE_ONLY</x:v>
      </x:c>
      <x:c r="H281" s="45" t="str">
        <x:v>French OXA-484 Enterobacterales, serine-only</x:v>
      </x:c>
      <x:c r="I281" s="102" t="n">
        <x:v>99.98175000000002</x:v>
      </x:c>
      <x:c r="J281" s="102" t="n">
        <x:v>80.4</x:v>
      </x:c>
      <x:c r="K281" s="102" t="n">
        <x:v>80.4</x:v>
      </x:c>
      <x:c r="L281" s="102" t="n">
        <x:v>0.006416666666666515</x:v>
      </x:c>
      <x:c r="M281" s="102" t="n">
        <x:v>80.4</x:v>
      </x:c>
      <x:c r="N281" s="102" t="n">
        <x:v>0.3850000000000051</x:v>
      </x:c>
      <x:c r="O281" s="102" t="n">
        <x:v>7.045</x:v>
      </x:c>
      <x:c r="P281" s="102" t="n">
        <x:v>0</x:v>
      </x:c>
      <x:c r="Q281" s="45" t="str">
        <x:v>USER_INPUT</x:v>
      </x:c>
      <x:c r="R281" s="45" t="str">
        <x:v>SCENARIO_GENERATION</x:v>
      </x:c>
      <x:c r="S281" s="45" t="str">
        <x:v>USER_REVIEW_REQUIRED</x:v>
      </x:c>
    </x:row>
    <x:row r="282">
      <x:c r="A282" s="45" t="str">
        <x:v>CAZ_TARGET_6</x:v>
      </x:c>
      <x:c r="B282" s="45" t="str">
        <x:v>CAZ target fCss/MIC ≥6</x:v>
      </x:c>
      <x:c r="C282" s="45" t="str">
        <x:v>R1</x:v>
      </x:c>
      <x:c r="D282" s="45" t="str">
        <x:v>0–30</x:v>
      </x:c>
      <x:c r="E282" s="45" t="n">
        <x:v>0.625</x:v>
      </x:c>
      <x:c r="F282" s="45" t="n">
        <x:v>12</x:v>
      </x:c>
      <x:c r="G282" s="45" t="str">
        <x:v>LEE2022_KPC_KP</x:v>
      </x:c>
      <x:c r="H282" s="45" t="str">
        <x:v>KPC-like CR-K. pneumoniae, ATLAS 2020</x:v>
      </x:c>
      <x:c r="I282" s="102" t="n">
        <x:v>87.49737467018468</x:v>
      </x:c>
      <x:c r="J282" s="102" t="n">
        <x:v>74.22</x:v>
      </x:c>
      <x:c r="K282" s="102" t="n">
        <x:v>70.77540897097624</x:v>
      </x:c>
      <x:c r="L282" s="102" t="n">
        <x:v>-2.028720316622696</x:v>
      </x:c>
      <x:c r="M282" s="102" t="n">
        <x:v>48.51</x:v>
      </x:c>
      <x:c r="N282" s="102" t="n">
        <x:v>-17.915</x:v>
      </x:c>
      <x:c r="O282" s="102" t="n">
        <x:v>9.42</x:v>
      </x:c>
      <x:c r="P282" s="102" t="n">
        <x:v>0</x:v>
      </x:c>
      <x:c r="Q282" s="45" t="str">
        <x:v>USER_INPUT</x:v>
      </x:c>
      <x:c r="R282" s="45" t="str">
        <x:v>SCENARIO_GENERATION</x:v>
      </x:c>
      <x:c r="S282" s="45" t="str">
        <x:v>USER_REVIEW_REQUIRED</x:v>
      </x:c>
    </x:row>
    <x:row r="283">
      <x:c r="A283" s="45" t="str">
        <x:v>CAZ_TARGET_6</x:v>
      </x:c>
      <x:c r="B283" s="45" t="str">
        <x:v>CAZ target fCss/MIC ≥6</x:v>
      </x:c>
      <x:c r="C283" s="45" t="str">
        <x:v>R1</x:v>
      </x:c>
      <x:c r="D283" s="45" t="str">
        <x:v>0–30</x:v>
      </x:c>
      <x:c r="E283" s="45" t="n">
        <x:v>0.625</x:v>
      </x:c>
      <x:c r="F283" s="45" t="n">
        <x:v>12</x:v>
      </x:c>
      <x:c r="G283" s="45" t="str">
        <x:v>LEE2022_OXA_KP</x:v>
      </x:c>
      <x:c r="H283" s="45" t="str">
        <x:v>OXA-like CR-K. pneumoniae, ATLAS 2020</x:v>
      </x:c>
      <x:c r="I283" s="102" t="n">
        <x:v>90.97735169491527</x:v>
      </x:c>
      <x:c r="J283" s="102" t="n">
        <x:v>74.22</x:v>
      </x:c>
      <x:c r="K283" s="102" t="n">
        <x:v>72.14396186440679</x:v>
      </x:c>
      <x:c r="L283" s="102" t="n">
        <x:v>-0.8090466101694744</x:v>
      </x:c>
      <x:c r="M283" s="102" t="n">
        <x:v>48.51</x:v>
      </x:c>
      <x:c r="N283" s="102" t="n">
        <x:v>-17.915</x:v>
      </x:c>
      <x:c r="O283" s="102" t="n">
        <x:v>9.42</x:v>
      </x:c>
      <x:c r="P283" s="102" t="n">
        <x:v>0</x:v>
      </x:c>
      <x:c r="Q283" s="45" t="str">
        <x:v>USER_INPUT</x:v>
      </x:c>
      <x:c r="R283" s="45" t="str">
        <x:v>SCENARIO_GENERATION</x:v>
      </x:c>
      <x:c r="S283" s="45" t="str">
        <x:v>USER_REVIEW_REQUIRED</x:v>
      </x:c>
    </x:row>
    <x:row r="284">
      <x:c r="A284" s="45" t="str">
        <x:v>CAZ_TARGET_6</x:v>
      </x:c>
      <x:c r="B284" s="45" t="str">
        <x:v>CAZ target fCss/MIC ≥6</x:v>
      </x:c>
      <x:c r="C284" s="45" t="str">
        <x:v>R1</x:v>
      </x:c>
      <x:c r="D284" s="45" t="str">
        <x:v>0–30</x:v>
      </x:c>
      <x:c r="E284" s="45" t="n">
        <x:v>0.625</x:v>
      </x:c>
      <x:c r="F284" s="45" t="n">
        <x:v>12</x:v>
      </x:c>
      <x:c r="G284" s="45" t="str">
        <x:v>INDIA2022_OXA48_KP</x:v>
      </x:c>
      <x:c r="H284" s="45" t="str">
        <x:v>OXA-48-like CR-K. pneumoniae, India</x:v>
      </x:c>
      <x:c r="I284" s="102" t="n">
        <x:v>91.20327205882356</x:v>
      </x:c>
      <x:c r="J284" s="102" t="n">
        <x:v>74.22000000000001</x:v>
      </x:c>
      <x:c r="K284" s="102" t="n">
        <x:v>70.84654411764707</x:v>
      </x:c>
      <x:c r="L284" s="102" t="n">
        <x:v>-0.5957352941176453</x:v>
      </x:c>
      <x:c r="M284" s="102" t="n">
        <x:v>48.51</x:v>
      </x:c>
      <x:c r="N284" s="102" t="n">
        <x:v>-17.915</x:v>
      </x:c>
      <x:c r="O284" s="102" t="n">
        <x:v>9.42</x:v>
      </x:c>
      <x:c r="P284" s="102" t="n">
        <x:v>0</x:v>
      </x:c>
      <x:c r="Q284" s="45" t="str">
        <x:v>USER_INPUT</x:v>
      </x:c>
      <x:c r="R284" s="45" t="str">
        <x:v>SCENARIO_GENERATION</x:v>
      </x:c>
      <x:c r="S284" s="45" t="str">
        <x:v>USER_REVIEW_REQUIRED</x:v>
      </x:c>
    </x:row>
    <x:row r="285">
      <x:c r="A285" s="45" t="str">
        <x:v>CAZ_TARGET_6</x:v>
      </x:c>
      <x:c r="B285" s="45" t="str">
        <x:v>CAZ target fCss/MIC ≥6</x:v>
      </x:c>
      <x:c r="C285" s="45" t="str">
        <x:v>R1</x:v>
      </x:c>
      <x:c r="D285" s="45" t="str">
        <x:v>0–30</x:v>
      </x:c>
      <x:c r="E285" s="45" t="n">
        <x:v>0.625</x:v>
      </x:c>
      <x:c r="F285" s="45" t="n">
        <x:v>12</x:v>
      </x:c>
      <x:c r="G285" s="45" t="str">
        <x:v>FR2024_OXA484_SERINE_ONLY</x:v>
      </x:c>
      <x:c r="H285" s="45" t="str">
        <x:v>French OXA-484 Enterobacterales, serine-only</x:v>
      </x:c>
      <x:c r="I285" s="102" t="n">
        <x:v>95.21875000000001</x:v>
      </x:c>
      <x:c r="J285" s="102" t="n">
        <x:v>74.22</x:v>
      </x:c>
      <x:c r="K285" s="102" t="n">
        <x:v>73.59425</x:v>
      </x:c>
      <x:c r="L285" s="102" t="n">
        <x:v>-0.49508333333334065</x:v>
      </x:c>
      <x:c r="M285" s="102" t="n">
        <x:v>48.51</x:v>
      </x:c>
      <x:c r="N285" s="102" t="n">
        <x:v>-17.915</x:v>
      </x:c>
      <x:c r="O285" s="102" t="n">
        <x:v>9.42</x:v>
      </x:c>
      <x:c r="P285" s="102" t="n">
        <x:v>0</x:v>
      </x:c>
      <x:c r="Q285" s="45" t="str">
        <x:v>USER_INPUT</x:v>
      </x:c>
      <x:c r="R285" s="45" t="str">
        <x:v>SCENARIO_GENERATION</x:v>
      </x:c>
      <x:c r="S285" s="45" t="str">
        <x:v>USER_REVIEW_REQUIRED</x:v>
      </x:c>
    </x:row>
    <x:row r="286">
      <x:c r="A286" s="45" t="str">
        <x:v>CAZ_TARGET_6</x:v>
      </x:c>
      <x:c r="B286" s="45" t="str">
        <x:v>CAZ target fCss/MIC ≥6</x:v>
      </x:c>
      <x:c r="C286" s="45" t="str">
        <x:v>R8</x:v>
      </x:c>
      <x:c r="D286" s="45" t="str">
        <x:v>31–60</x:v>
      </x:c>
      <x:c r="E286" s="45" t="n">
        <x:v>2.5</x:v>
      </x:c>
      <x:c r="F286" s="45" t="n">
        <x:v>12</x:v>
      </x:c>
      <x:c r="G286" s="45" t="str">
        <x:v>LEE2022_KPC_KP</x:v>
      </x:c>
      <x:c r="H286" s="45" t="str">
        <x:v>KPC-like CR-K. pneumoniae, ATLAS 2020</x:v>
      </x:c>
      <x:c r="I286" s="102" t="n">
        <x:v>95.97059366754615</x:v>
      </x:c>
      <x:c r="J286" s="102" t="n">
        <x:v>89.22500000000001</x:v>
      </x:c>
      <x:c r="K286" s="102" t="n">
        <x:v>87.15414248021108</x:v>
      </x:c>
      <x:c r="L286" s="102" t="n">
        <x:v>-1.258680738786282</x:v>
      </x:c>
      <x:c r="M286" s="102" t="n">
        <x:v>76.89</x:v>
      </x:c>
      <x:c r="N286" s="102" t="n">
        <x:v>-11.094999999999999</x:v>
      </x:c>
      <x:c r="O286" s="102" t="n">
        <x:v>9.62</x:v>
      </x:c>
      <x:c r="P286" s="102" t="n">
        <x:v>0</x:v>
      </x:c>
      <x:c r="Q286" s="45" t="str">
        <x:v>USER_INPUT</x:v>
      </x:c>
      <x:c r="R286" s="45" t="str">
        <x:v>SCENARIO_GENERATION</x:v>
      </x:c>
      <x:c r="S286" s="45" t="str">
        <x:v>USER_REVIEW_REQUIRED</x:v>
      </x:c>
    </x:row>
    <x:row r="287">
      <x:c r="A287" s="45" t="str">
        <x:v>CAZ_TARGET_6</x:v>
      </x:c>
      <x:c r="B287" s="45" t="str">
        <x:v>CAZ target fCss/MIC ≥6</x:v>
      </x:c>
      <x:c r="C287" s="45" t="str">
        <x:v>R8</x:v>
      </x:c>
      <x:c r="D287" s="45" t="str">
        <x:v>31–60</x:v>
      </x:c>
      <x:c r="E287" s="45" t="n">
        <x:v>2.5</x:v>
      </x:c>
      <x:c r="F287" s="45" t="n">
        <x:v>12</x:v>
      </x:c>
      <x:c r="G287" s="45" t="str">
        <x:v>LEE2022_OXA_KP</x:v>
      </x:c>
      <x:c r="H287" s="45" t="str">
        <x:v>OXA-like CR-K. pneumoniae, ATLAS 2020</x:v>
      </x:c>
      <x:c r="I287" s="102" t="n">
        <x:v>97.12190677966102</x:v>
      </x:c>
      <x:c r="J287" s="102" t="n">
        <x:v>89.22500000000001</x:v>
      </x:c>
      <x:c r="K287" s="102" t="n">
        <x:v>87.53860169491524</x:v>
      </x:c>
      <x:c r="L287" s="102" t="n">
        <x:v>-0.4162500000000193</x:v>
      </x:c>
      <x:c r="M287" s="102" t="n">
        <x:v>76.89</x:v>
      </x:c>
      <x:c r="N287" s="102" t="n">
        <x:v>-11.094999999999999</x:v>
      </x:c>
      <x:c r="O287" s="102" t="n">
        <x:v>9.62</x:v>
      </x:c>
      <x:c r="P287" s="102" t="n">
        <x:v>0</x:v>
      </x:c>
      <x:c r="Q287" s="45" t="str">
        <x:v>USER_INPUT</x:v>
      </x:c>
      <x:c r="R287" s="45" t="str">
        <x:v>SCENARIO_GENERATION</x:v>
      </x:c>
      <x:c r="S287" s="45" t="str">
        <x:v>USER_REVIEW_REQUIRED</x:v>
      </x:c>
    </x:row>
    <x:row r="288">
      <x:c r="A288" s="45" t="str">
        <x:v>CAZ_TARGET_6</x:v>
      </x:c>
      <x:c r="B288" s="45" t="str">
        <x:v>CAZ target fCss/MIC ≥6</x:v>
      </x:c>
      <x:c r="C288" s="45" t="str">
        <x:v>R8</x:v>
      </x:c>
      <x:c r="D288" s="45" t="str">
        <x:v>31–60</x:v>
      </x:c>
      <x:c r="E288" s="45" t="n">
        <x:v>2.5</x:v>
      </x:c>
      <x:c r="F288" s="45" t="n">
        <x:v>12</x:v>
      </x:c>
      <x:c r="G288" s="45" t="str">
        <x:v>INDIA2022_OXA48_KP</x:v>
      </x:c>
      <x:c r="H288" s="45" t="str">
        <x:v>OXA-48-like CR-K. pneumoniae, India</x:v>
      </x:c>
      <x:c r="I288" s="102" t="n">
        <x:v>95.39422794117645</x:v>
      </x:c>
      <x:c r="J288" s="102" t="n">
        <x:v>89.22500000000001</x:v>
      </x:c>
      <x:c r="K288" s="102" t="n">
        <x:v>85.67117647058824</x:v>
      </x:c>
      <x:c r="L288" s="102" t="n">
        <x:v>-0.2922058823529454</x:v>
      </x:c>
      <x:c r="M288" s="102" t="n">
        <x:v>76.89</x:v>
      </x:c>
      <x:c r="N288" s="102" t="n">
        <x:v>-11.094999999999999</x:v>
      </x:c>
      <x:c r="O288" s="102" t="n">
        <x:v>9.62</x:v>
      </x:c>
      <x:c r="P288" s="102" t="n">
        <x:v>0</x:v>
      </x:c>
      <x:c r="Q288" s="45" t="str">
        <x:v>USER_INPUT</x:v>
      </x:c>
      <x:c r="R288" s="45" t="str">
        <x:v>SCENARIO_GENERATION</x:v>
      </x:c>
      <x:c r="S288" s="45" t="str">
        <x:v>USER_REVIEW_REQUIRED</x:v>
      </x:c>
    </x:row>
    <x:row r="289">
      <x:c r="A289" s="45" t="str">
        <x:v>CAZ_TARGET_6</x:v>
      </x:c>
      <x:c r="B289" s="45" t="str">
        <x:v>CAZ target fCss/MIC ≥6</x:v>
      </x:c>
      <x:c r="C289" s="45" t="str">
        <x:v>R8</x:v>
      </x:c>
      <x:c r="D289" s="45" t="str">
        <x:v>31–60</x:v>
      </x:c>
      <x:c r="E289" s="45" t="n">
        <x:v>2.5</x:v>
      </x:c>
      <x:c r="F289" s="45" t="n">
        <x:v>12</x:v>
      </x:c>
      <x:c r="G289" s="45" t="str">
        <x:v>FR2024_OXA484_SERINE_ONLY</x:v>
      </x:c>
      <x:c r="H289" s="45" t="str">
        <x:v>French OXA-484 Enterobacterales, serine-only</x:v>
      </x:c>
      <x:c r="I289" s="102" t="n">
        <x:v>99.10158333333334</x:v>
      </x:c>
      <x:c r="J289" s="102" t="n">
        <x:v>89.22499999999998</x:v>
      </x:c>
      <x:c r="K289" s="102" t="n">
        <x:v>89.00741666666664</x:v>
      </x:c>
      <x:c r="L289" s="102" t="n">
        <x:v>-0.19691666666666663</x:v>
      </x:c>
      <x:c r="M289" s="102" t="n">
        <x:v>76.89</x:v>
      </x:c>
      <x:c r="N289" s="102" t="n">
        <x:v>-11.094999999999999</x:v>
      </x:c>
      <x:c r="O289" s="102" t="n">
        <x:v>9.62</x:v>
      </x:c>
      <x:c r="P289" s="102" t="n">
        <x:v>0</x:v>
      </x:c>
      <x:c r="Q289" s="45" t="str">
        <x:v>USER_INPUT</x:v>
      </x:c>
      <x:c r="R289" s="45" t="str">
        <x:v>SCENARIO_GENERATION</x:v>
      </x:c>
      <x:c r="S289" s="45" t="str">
        <x:v>USER_REVIEW_REQUIRED</x:v>
      </x:c>
    </x:row>
    <x:row r="290">
      <x:c r="A290" s="45" t="str">
        <x:v>CAZ_TARGET_6</x:v>
      </x:c>
      <x:c r="B290" s="45" t="str">
        <x:v>CAZ target fCss/MIC ≥6</x:v>
      </x:c>
      <x:c r="C290" s="45" t="str">
        <x:v>R10</x:v>
      </x:c>
      <x:c r="D290" s="45" t="str">
        <x:v>61–90</x:v>
      </x:c>
      <x:c r="E290" s="45" t="n">
        <x:v>2.5</x:v>
      </x:c>
      <x:c r="F290" s="45" t="n">
        <x:v>8</x:v>
      </x:c>
      <x:c r="G290" s="45" t="str">
        <x:v>LEE2022_KPC_KP</x:v>
      </x:c>
      <x:c r="H290" s="45" t="str">
        <x:v>KPC-like CR-K. pneumoniae, ATLAS 2020</x:v>
      </x:c>
      <x:c r="I290" s="102" t="n">
        <x:v>96.34229551451187</x:v>
      </x:c>
      <x:c r="J290" s="102" t="n">
        <x:v>88.14</x:v>
      </x:c>
      <x:c r="K290" s="102" t="n">
        <x:v>86.35312664907651</x:v>
      </x:c>
      <x:c r="L290" s="102" t="n">
        <x:v>-1.0760290237467132</x:v>
      </x:c>
      <x:c r="M290" s="102" t="n">
        <x:v>78.455</x:v>
      </x:c>
      <x:c r="N290" s="102" t="n">
        <x:v>-9.079999999999998</x:v>
      </x:c>
      <x:c r="O290" s="102" t="n">
        <x:v>10.665</x:v>
      </x:c>
      <x:c r="P290" s="102" t="n">
        <x:v>0</x:v>
      </x:c>
      <x:c r="Q290" s="45" t="str">
        <x:v>USER_INPUT</x:v>
      </x:c>
      <x:c r="R290" s="45" t="str">
        <x:v>SCENARIO_GENERATION</x:v>
      </x:c>
      <x:c r="S290" s="45" t="str">
        <x:v>USER_REVIEW_REQUIRED</x:v>
      </x:c>
    </x:row>
    <x:row r="291">
      <x:c r="A291" s="45" t="str">
        <x:v>CAZ_TARGET_6</x:v>
      </x:c>
      <x:c r="B291" s="45" t="str">
        <x:v>CAZ target fCss/MIC ≥6</x:v>
      </x:c>
      <x:c r="C291" s="45" t="str">
        <x:v>R10</x:v>
      </x:c>
      <x:c r="D291" s="45" t="str">
        <x:v>61–90</x:v>
      </x:c>
      <x:c r="E291" s="45" t="n">
        <x:v>2.5</x:v>
      </x:c>
      <x:c r="F291" s="45" t="n">
        <x:v>8</x:v>
      </x:c>
      <x:c r="G291" s="45" t="str">
        <x:v>LEE2022_OXA_KP</x:v>
      </x:c>
      <x:c r="H291" s="45" t="str">
        <x:v>OXA-like CR-K. pneumoniae, ATLAS 2020</x:v>
      </x:c>
      <x:c r="I291" s="102" t="n">
        <x:v>97.32743644067796</x:v>
      </x:c>
      <x:c r="J291" s="102" t="n">
        <x:v>88.14000000000003</x:v>
      </x:c>
      <x:c r="K291" s="102" t="n">
        <x:v>86.56235169491525</x:v>
      </x:c>
      <x:c r="L291" s="102" t="n">
        <x:v>-0.35468220338984224</x:v>
      </x:c>
      <x:c r="M291" s="102" t="n">
        <x:v>78.455</x:v>
      </x:c>
      <x:c r="N291" s="102" t="n">
        <x:v>-9.079999999999998</x:v>
      </x:c>
      <x:c r="O291" s="102" t="n">
        <x:v>10.665</x:v>
      </x:c>
      <x:c r="P291" s="102" t="n">
        <x:v>0</x:v>
      </x:c>
      <x:c r="Q291" s="45" t="str">
        <x:v>USER_INPUT</x:v>
      </x:c>
      <x:c r="R291" s="45" t="str">
        <x:v>SCENARIO_GENERATION</x:v>
      </x:c>
      <x:c r="S291" s="45" t="str">
        <x:v>USER_REVIEW_REQUIRED</x:v>
      </x:c>
    </x:row>
    <x:row r="292">
      <x:c r="A292" s="45" t="str">
        <x:v>CAZ_TARGET_6</x:v>
      </x:c>
      <x:c r="B292" s="45" t="str">
        <x:v>CAZ target fCss/MIC ≥6</x:v>
      </x:c>
      <x:c r="C292" s="45" t="str">
        <x:v>R10</x:v>
      </x:c>
      <x:c r="D292" s="45" t="str">
        <x:v>61–90</x:v>
      </x:c>
      <x:c r="E292" s="45" t="n">
        <x:v>2.5</x:v>
      </x:c>
      <x:c r="F292" s="45" t="n">
        <x:v>8</x:v>
      </x:c>
      <x:c r="G292" s="45" t="str">
        <x:v>INDIA2022_OXA48_KP</x:v>
      </x:c>
      <x:c r="H292" s="45" t="str">
        <x:v>OXA-48-like CR-K. pneumoniae, India</x:v>
      </x:c>
      <x:c r="I292" s="102" t="n">
        <x:v>95.52386029411764</x:v>
      </x:c>
      <x:c r="J292" s="102" t="n">
        <x:v>88.13999999999999</x:v>
      </x:c>
      <x:c r="K292" s="102" t="n">
        <x:v>84.6929411764706</x:v>
      </x:c>
      <x:c r="L292" s="102" t="n">
        <x:v>-0.24665441176469471</x:v>
      </x:c>
      <x:c r="M292" s="102" t="n">
        <x:v>78.455</x:v>
      </x:c>
      <x:c r="N292" s="102" t="n">
        <x:v>-9.079999999999998</x:v>
      </x:c>
      <x:c r="O292" s="102" t="n">
        <x:v>10.665</x:v>
      </x:c>
      <x:c r="P292" s="102" t="n">
        <x:v>0</x:v>
      </x:c>
      <x:c r="Q292" s="45" t="str">
        <x:v>USER_INPUT</x:v>
      </x:c>
      <x:c r="R292" s="45" t="str">
        <x:v>SCENARIO_GENERATION</x:v>
      </x:c>
      <x:c r="S292" s="45" t="str">
        <x:v>USER_REVIEW_REQUIRED</x:v>
      </x:c>
    </x:row>
    <x:row r="293">
      <x:c r="A293" s="45" t="str">
        <x:v>CAZ_TARGET_6</x:v>
      </x:c>
      <x:c r="B293" s="45" t="str">
        <x:v>CAZ target fCss/MIC ≥6</x:v>
      </x:c>
      <x:c r="C293" s="45" t="str">
        <x:v>R10</x:v>
      </x:c>
      <x:c r="D293" s="45" t="str">
        <x:v>61–90</x:v>
      </x:c>
      <x:c r="E293" s="45" t="n">
        <x:v>2.5</x:v>
      </x:c>
      <x:c r="F293" s="45" t="n">
        <x:v>8</x:v>
      </x:c>
      <x:c r="G293" s="45" t="str">
        <x:v>FR2024_OXA484_SERINE_ONLY</x:v>
      </x:c>
      <x:c r="H293" s="45" t="str">
        <x:v>French OXA-484 Enterobacterales, serine-only</x:v>
      </x:c>
      <x:c r="I293" s="102" t="n">
        <x:v>99.23208333333334</x:v>
      </x:c>
      <x:c r="J293" s="102" t="n">
        <x:v>88.14</x:v>
      </x:c>
      <x:c r="K293" s="102" t="n">
        <x:v>87.97483333333332</x:v>
      </x:c>
      <x:c r="L293" s="102" t="n">
        <x:v>-0.15508333333335145</x:v>
      </x:c>
      <x:c r="M293" s="102" t="n">
        <x:v>78.455</x:v>
      </x:c>
      <x:c r="N293" s="102" t="n">
        <x:v>-9.079999999999998</x:v>
      </x:c>
      <x:c r="O293" s="102" t="n">
        <x:v>10.665</x:v>
      </x:c>
      <x:c r="P293" s="102" t="n">
        <x:v>0</x:v>
      </x:c>
      <x:c r="Q293" s="45" t="str">
        <x:v>USER_INPUT</x:v>
      </x:c>
      <x:c r="R293" s="45" t="str">
        <x:v>SCENARIO_GENERATION</x:v>
      </x:c>
      <x:c r="S293" s="45" t="str">
        <x:v>USER_REVIEW_REQUIRED</x:v>
      </x:c>
    </x:row>
    <x:row r="294">
      <x:c r="A294" s="45" t="str">
        <x:v>CAZ_TARGET_6</x:v>
      </x:c>
      <x:c r="B294" s="45" t="str">
        <x:v>CAZ target fCss/MIC ≥6</x:v>
      </x:c>
      <x:c r="C294" s="45" t="str">
        <x:v>R12</x:v>
      </x:c>
      <x:c r="D294" s="45" t="str">
        <x:v>91–120</x:v>
      </x:c>
      <x:c r="E294" s="45" t="n">
        <x:v>2.5</x:v>
      </x:c>
      <x:c r="F294" s="45" t="n">
        <x:v>6</x:v>
      </x:c>
      <x:c r="G294" s="45" t="str">
        <x:v>LEE2022_KPC_KP</x:v>
      </x:c>
      <x:c r="H294" s="45" t="str">
        <x:v>KPC-like CR-K. pneumoniae, ATLAS 2020</x:v>
      </x:c>
      <x:c r="I294" s="102" t="n">
        <x:v>96.80249340369394</x:v>
      </x:c>
      <x:c r="J294" s="102" t="n">
        <x:v>88.14</x:v>
      </x:c>
      <x:c r="K294" s="102" t="n">
        <x:v>86.61085751978894</x:v>
      </x:c>
      <x:c r="L294" s="102" t="n">
        <x:v>-0.8798680738786118</x:v>
      </x:c>
      <x:c r="M294" s="102" t="n">
        <x:v>81.06</x:v>
      </x:c>
      <x:c r="N294" s="102" t="n">
        <x:v>-6.700000000000003</x:v>
      </x:c>
      <x:c r="O294" s="102" t="n">
        <x:v>11.82</x:v>
      </x:c>
      <x:c r="P294" s="102" t="n">
        <x:v>0</x:v>
      </x:c>
      <x:c r="Q294" s="45" t="str">
        <x:v>USER_INPUT</x:v>
      </x:c>
      <x:c r="R294" s="45" t="str">
        <x:v>SCENARIO_GENERATION</x:v>
      </x:c>
      <x:c r="S294" s="45" t="str">
        <x:v>USER_REVIEW_REQUIRED</x:v>
      </x:c>
    </x:row>
    <x:row r="295">
      <x:c r="A295" s="45" t="str">
        <x:v>CAZ_TARGET_6</x:v>
      </x:c>
      <x:c r="B295" s="45" t="str">
        <x:v>CAZ target fCss/MIC ≥6</x:v>
      </x:c>
      <x:c r="C295" s="45" t="str">
        <x:v>R12</x:v>
      </x:c>
      <x:c r="D295" s="45" t="str">
        <x:v>91–120</x:v>
      </x:c>
      <x:c r="E295" s="45" t="n">
        <x:v>2.5</x:v>
      </x:c>
      <x:c r="F295" s="45" t="n">
        <x:v>6</x:v>
      </x:c>
      <x:c r="G295" s="45" t="str">
        <x:v>LEE2022_OXA_KP</x:v>
      </x:c>
      <x:c r="H295" s="45" t="str">
        <x:v>OXA-like CR-K. pneumoniae, ATLAS 2020</x:v>
      </x:c>
      <x:c r="I295" s="102" t="n">
        <x:v>97.56769067796611</x:v>
      </x:c>
      <x:c r="J295" s="102" t="n">
        <x:v>88.14000000000003</x:v>
      </x:c>
      <x:c r="K295" s="102" t="n">
        <x:v>86.64468220338985</x:v>
      </x:c>
      <x:c r="L295" s="102" t="n">
        <x:v>-0.29478813559320827</x:v>
      </x:c>
      <x:c r="M295" s="102" t="n">
        <x:v>81.06</x:v>
      </x:c>
      <x:c r="N295" s="102" t="n">
        <x:v>-6.700000000000003</x:v>
      </x:c>
      <x:c r="O295" s="102" t="n">
        <x:v>11.82</x:v>
      </x:c>
      <x:c r="P295" s="102" t="n">
        <x:v>0</x:v>
      </x:c>
      <x:c r="Q295" s="45" t="str">
        <x:v>USER_INPUT</x:v>
      </x:c>
      <x:c r="R295" s="45" t="str">
        <x:v>SCENARIO_GENERATION</x:v>
      </x:c>
      <x:c r="S295" s="45" t="str">
        <x:v>USER_REVIEW_REQUIRED</x:v>
      </x:c>
    </x:row>
    <x:row r="296">
      <x:c r="A296" s="45" t="str">
        <x:v>CAZ_TARGET_6</x:v>
      </x:c>
      <x:c r="B296" s="45" t="str">
        <x:v>CAZ target fCss/MIC ≥6</x:v>
      </x:c>
      <x:c r="C296" s="45" t="str">
        <x:v>R12</x:v>
      </x:c>
      <x:c r="D296" s="45" t="str">
        <x:v>91–120</x:v>
      </x:c>
      <x:c r="E296" s="45" t="n">
        <x:v>2.5</x:v>
      </x:c>
      <x:c r="F296" s="45" t="n">
        <x:v>6</x:v>
      </x:c>
      <x:c r="G296" s="45" t="str">
        <x:v>INDIA2022_OXA48_KP</x:v>
      </x:c>
      <x:c r="H296" s="45" t="str">
        <x:v>OXA-48-like CR-K. pneumoniae, India</x:v>
      </x:c>
      <x:c r="I296" s="102" t="n">
        <x:v>95.68257352941177</x:v>
      </x:c>
      <x:c r="J296" s="102" t="n">
        <x:v>88.13999999999999</x:v>
      </x:c>
      <x:c r="K296" s="102" t="n">
        <x:v>84.75371323529411</x:v>
      </x:c>
      <x:c r="L296" s="102" t="n">
        <x:v>-0.19687500000000568</x:v>
      </x:c>
      <x:c r="M296" s="102" t="n">
        <x:v>81.06</x:v>
      </x:c>
      <x:c r="N296" s="102" t="n">
        <x:v>-6.700000000000003</x:v>
      </x:c>
      <x:c r="O296" s="102" t="n">
        <x:v>11.82</x:v>
      </x:c>
      <x:c r="P296" s="102" t="n">
        <x:v>0</x:v>
      </x:c>
      <x:c r="Q296" s="45" t="str">
        <x:v>USER_INPUT</x:v>
      </x:c>
      <x:c r="R296" s="45" t="str">
        <x:v>SCENARIO_GENERATION</x:v>
      </x:c>
      <x:c r="S296" s="45" t="str">
        <x:v>USER_REVIEW_REQUIRED</x:v>
      </x:c>
    </x:row>
    <x:row r="297">
      <x:c r="A297" s="45" t="str">
        <x:v>CAZ_TARGET_6</x:v>
      </x:c>
      <x:c r="B297" s="45" t="str">
        <x:v>CAZ target fCss/MIC ≥6</x:v>
      </x:c>
      <x:c r="C297" s="45" t="str">
        <x:v>R12</x:v>
      </x:c>
      <x:c r="D297" s="45" t="str">
        <x:v>91–120</x:v>
      </x:c>
      <x:c r="E297" s="45" t="n">
        <x:v>2.5</x:v>
      </x:c>
      <x:c r="F297" s="45" t="n">
        <x:v>6</x:v>
      </x:c>
      <x:c r="G297" s="45" t="str">
        <x:v>FR2024_OXA484_SERINE_ONLY</x:v>
      </x:c>
      <x:c r="H297" s="45" t="str">
        <x:v>French OXA-484 Enterobacterales, serine-only</x:v>
      </x:c>
      <x:c r="I297" s="102" t="n">
        <x:v>99.38241666666666</x:v>
      </x:c>
      <x:c r="J297" s="102" t="n">
        <x:v>88.14</x:v>
      </x:c>
      <x:c r="K297" s="102" t="n">
        <x:v>88.0205</x:v>
      </x:c>
      <x:c r="L297" s="102" t="n">
        <x:v>-0.11316666666667174</x:v>
      </x:c>
      <x:c r="M297" s="102" t="n">
        <x:v>81.06</x:v>
      </x:c>
      <x:c r="N297" s="102" t="n">
        <x:v>-6.700000000000003</x:v>
      </x:c>
      <x:c r="O297" s="102" t="n">
        <x:v>11.82</x:v>
      </x:c>
      <x:c r="P297" s="102" t="n">
        <x:v>0</x:v>
      </x:c>
      <x:c r="Q297" s="45" t="str">
        <x:v>USER_INPUT</x:v>
      </x:c>
      <x:c r="R297" s="45" t="str">
        <x:v>SCENARIO_GENERATION</x:v>
      </x:c>
      <x:c r="S297" s="45" t="str">
        <x:v>USER_REVIEW_REQUIRED</x:v>
      </x:c>
    </x:row>
    <x:row r="298">
      <x:c r="A298" s="45" t="str">
        <x:v>CAZ_TARGET_6</x:v>
      </x:c>
      <x:c r="B298" s="45" t="str">
        <x:v>CAZ target fCss/MIC ≥6</x:v>
      </x:c>
      <x:c r="C298" s="45" t="str">
        <x:v>R13</x:v>
      </x:c>
      <x:c r="D298" s="45" t="str">
        <x:v>121–150</x:v>
      </x:c>
      <x:c r="E298" s="45" t="n">
        <x:v>2.5</x:v>
      </x:c>
      <x:c r="F298" s="45" t="n">
        <x:v>6</x:v>
      </x:c>
      <x:c r="G298" s="45" t="str">
        <x:v>LEE2022_KPC_KP</x:v>
      </x:c>
      <x:c r="H298" s="45" t="str">
        <x:v>KPC-like CR-K. pneumoniae, ATLAS 2020</x:v>
      </x:c>
      <x:c r="I298" s="102" t="n">
        <x:v>95.36327176781002</x:v>
      </x:c>
      <x:c r="J298" s="102" t="n">
        <x:v>80.39999999999998</x:v>
      </x:c>
      <x:c r="K298" s="102" t="n">
        <x:v>78.755</x:v>
      </x:c>
      <x:c r="L298" s="102" t="n">
        <x:v>-0.9821503957783619</x:v>
      </x:c>
      <x:c r="M298" s="102" t="n">
        <x:v>71.88</x:v>
      </x:c>
      <x:c r="N298" s="102" t="n">
        <x:v>-8.135000000000005</x:v>
      </x:c>
      <x:c r="O298" s="102" t="n">
        <x:v>7.045</x:v>
      </x:c>
      <x:c r="P298" s="102" t="n">
        <x:v>0</x:v>
      </x:c>
      <x:c r="Q298" s="45" t="str">
        <x:v>USER_INPUT</x:v>
      </x:c>
      <x:c r="R298" s="45" t="str">
        <x:v>SCENARIO_GENERATION</x:v>
      </x:c>
      <x:c r="S298" s="45" t="str">
        <x:v>USER_REVIEW_REQUIRED</x:v>
      </x:c>
    </x:row>
    <x:row r="299">
      <x:c r="A299" s="45" t="str">
        <x:v>CAZ_TARGET_6</x:v>
      </x:c>
      <x:c r="B299" s="45" t="str">
        <x:v>CAZ target fCss/MIC ≥6</x:v>
      </x:c>
      <x:c r="C299" s="45" t="str">
        <x:v>R13</x:v>
      </x:c>
      <x:c r="D299" s="45" t="str">
        <x:v>121–150</x:v>
      </x:c>
      <x:c r="E299" s="45" t="n">
        <x:v>2.5</x:v>
      </x:c>
      <x:c r="F299" s="45" t="n">
        <x:v>6</x:v>
      </x:c>
      <x:c r="G299" s="45" t="str">
        <x:v>LEE2022_OXA_KP</x:v>
      </x:c>
      <x:c r="H299" s="45" t="str">
        <x:v>OXA-like CR-K. pneumoniae, ATLAS 2020</x:v>
      </x:c>
      <x:c r="I299" s="102" t="n">
        <x:v>96.80588983050848</x:v>
      </x:c>
      <x:c r="J299" s="102" t="n">
        <x:v>80.4</x:v>
      </x:c>
      <x:c r="K299" s="102" t="n">
        <x:v>78.9561652542373</x:v>
      </x:c>
      <x:c r="L299" s="102" t="n">
        <x:v>-0.31898305084745004</x:v>
      </x:c>
      <x:c r="M299" s="102" t="n">
        <x:v>71.88</x:v>
      </x:c>
      <x:c r="N299" s="102" t="n">
        <x:v>-8.135000000000005</x:v>
      </x:c>
      <x:c r="O299" s="102" t="n">
        <x:v>7.045</x:v>
      </x:c>
      <x:c r="P299" s="102" t="n">
        <x:v>0</x:v>
      </x:c>
      <x:c r="Q299" s="45" t="str">
        <x:v>USER_INPUT</x:v>
      </x:c>
      <x:c r="R299" s="45" t="str">
        <x:v>SCENARIO_GENERATION</x:v>
      </x:c>
      <x:c r="S299" s="45" t="str">
        <x:v>USER_REVIEW_REQUIRED</x:v>
      </x:c>
    </x:row>
    <x:row r="300">
      <x:c r="A300" s="45" t="str">
        <x:v>CAZ_TARGET_6</x:v>
      </x:c>
      <x:c r="B300" s="45" t="str">
        <x:v>CAZ target fCss/MIC ≥6</x:v>
      </x:c>
      <x:c r="C300" s="45" t="str">
        <x:v>R13</x:v>
      </x:c>
      <x:c r="D300" s="45" t="str">
        <x:v>121–150</x:v>
      </x:c>
      <x:c r="E300" s="45" t="n">
        <x:v>2.5</x:v>
      </x:c>
      <x:c r="F300" s="45" t="n">
        <x:v>6</x:v>
      </x:c>
      <x:c r="G300" s="45" t="str">
        <x:v>INDIA2022_OXA48_KP</x:v>
      </x:c>
      <x:c r="H300" s="45" t="str">
        <x:v>OXA-48-like CR-K. pneumoniae, India</x:v>
      </x:c>
      <x:c r="I300" s="102" t="n">
        <x:v>95.19341911764705</x:v>
      </x:c>
      <x:c r="J300" s="102" t="n">
        <x:v>80.40000000000003</x:v>
      </x:c>
      <x:c r="K300" s="102" t="n">
        <x:v>77.26198529411765</x:v>
      </x:c>
      <x:c r="L300" s="102" t="n">
        <x:v>-0.20099264705883968</x:v>
      </x:c>
      <x:c r="M300" s="102" t="n">
        <x:v>71.88</x:v>
      </x:c>
      <x:c r="N300" s="102" t="n">
        <x:v>-8.135000000000005</x:v>
      </x:c>
      <x:c r="O300" s="102" t="n">
        <x:v>7.045</x:v>
      </x:c>
      <x:c r="P300" s="102" t="n">
        <x:v>0</x:v>
      </x:c>
      <x:c r="Q300" s="45" t="str">
        <x:v>USER_INPUT</x:v>
      </x:c>
      <x:c r="R300" s="45" t="str">
        <x:v>SCENARIO_GENERATION</x:v>
      </x:c>
      <x:c r="S300" s="45" t="str">
        <x:v>USER_REVIEW_REQUIRED</x:v>
      </x:c>
    </x:row>
    <x:row r="301">
      <x:c r="A301" s="45" t="str">
        <x:v>CAZ_TARGET_6</x:v>
      </x:c>
      <x:c r="B301" s="45" t="str">
        <x:v>CAZ target fCss/MIC ≥6</x:v>
      </x:c>
      <x:c r="C301" s="45" t="str">
        <x:v>R13</x:v>
      </x:c>
      <x:c r="D301" s="45" t="str">
        <x:v>121–150</x:v>
      </x:c>
      <x:c r="E301" s="45" t="n">
        <x:v>2.5</x:v>
      </x:c>
      <x:c r="F301" s="45" t="n">
        <x:v>6</x:v>
      </x:c>
      <x:c r="G301" s="45" t="str">
        <x:v>FR2024_OXA484_SERINE_ONLY</x:v>
      </x:c>
      <x:c r="H301" s="45" t="str">
        <x:v>French OXA-484 Enterobacterales, serine-only</x:v>
      </x:c>
      <x:c r="I301" s="102" t="n">
        <x:v>98.90291666666667</x:v>
      </x:c>
      <x:c r="J301" s="102" t="n">
        <x:v>80.4</x:v>
      </x:c>
      <x:c r="K301" s="102" t="n">
        <x:v>80.258</x:v>
      </x:c>
      <x:c r="L301" s="102" t="n">
        <x:v>-0.1355833333333436</x:v>
      </x:c>
      <x:c r="M301" s="102" t="n">
        <x:v>71.88</x:v>
      </x:c>
      <x:c r="N301" s="102" t="n">
        <x:v>-8.135000000000005</x:v>
      </x:c>
      <x:c r="O301" s="102" t="n">
        <x:v>7.045</x:v>
      </x:c>
      <x:c r="P301" s="102" t="n">
        <x:v>0</x:v>
      </x:c>
      <x:c r="Q301" s="45" t="str">
        <x:v>USER_INPUT</x:v>
      </x:c>
      <x:c r="R301" s="45" t="str">
        <x:v>SCENARIO_GENERATION</x:v>
      </x:c>
      <x:c r="S301" s="45" t="str">
        <x:v>USER_REVIEW_REQUIRED</x:v>
      </x:c>
    </x:row>
    <x:row r="302">
      <x:c r="A302" s="45" t="str">
        <x:v>AVI_CT_2</x:v>
      </x:c>
      <x:c r="B302" s="45" t="str">
        <x:v>AVI threshold = 2 mg/L</x:v>
      </x:c>
      <x:c r="C302" s="45" t="str">
        <x:v>R1</x:v>
      </x:c>
      <x:c r="D302" s="45" t="str">
        <x:v>0–30</x:v>
      </x:c>
      <x:c r="E302" s="45" t="n">
        <x:v>0.625</x:v>
      </x:c>
      <x:c r="F302" s="45" t="n">
        <x:v>12</x:v>
      </x:c>
      <x:c r="G302" s="45" t="str">
        <x:v>LEE2022_KPC_KP</x:v>
      </x:c>
      <x:c r="H302" s="45" t="str">
        <x:v>KPC-like CR-K. pneumoniae, ATLAS 2020</x:v>
      </x:c>
      <x:c r="I302" s="102" t="n">
        <x:v>93.65485488126649</x:v>
      </x:c>
      <x:c r="J302" s="102" t="n">
        <x:v>93.16499999999999</x:v>
      </x:c>
      <x:c r="K302" s="102" t="n">
        <x:v>89.32168865435355</x:v>
      </x:c>
      <x:c r="L302" s="102" t="n">
        <x:v>16.51755936675461</x:v>
      </x:c>
      <x:c r="M302" s="102" t="n">
        <x:v>67.86999999999999</x:v>
      </x:c>
      <x:c r="N302" s="102" t="n">
        <x:v>1.4449999999999932</x:v>
      </x:c>
      <x:c r="O302" s="102" t="n">
        <x:v>9.42</x:v>
      </x:c>
      <x:c r="P302" s="102" t="n">
        <x:v>0</x:v>
      </x:c>
      <x:c r="Q302" s="45" t="str">
        <x:v>USER_INPUT</x:v>
      </x:c>
      <x:c r="R302" s="45" t="str">
        <x:v>SCENARIO_GENERATION</x:v>
      </x:c>
      <x:c r="S302" s="45" t="str">
        <x:v>USER_REVIEW_REQUIRED</x:v>
      </x:c>
    </x:row>
    <x:row r="303">
      <x:c r="A303" s="45" t="str">
        <x:v>AVI_CT_2</x:v>
      </x:c>
      <x:c r="B303" s="45" t="str">
        <x:v>AVI threshold = 2 mg/L</x:v>
      </x:c>
      <x:c r="C303" s="45" t="str">
        <x:v>R1</x:v>
      </x:c>
      <x:c r="D303" s="45" t="str">
        <x:v>0–30</x:v>
      </x:c>
      <x:c r="E303" s="45" t="n">
        <x:v>0.625</x:v>
      </x:c>
      <x:c r="F303" s="45" t="n">
        <x:v>12</x:v>
      </x:c>
      <x:c r="G303" s="45" t="str">
        <x:v>LEE2022_OXA_KP</x:v>
      </x:c>
      <x:c r="H303" s="45" t="str">
        <x:v>OXA-like CR-K. pneumoniae, ATLAS 2020</x:v>
      </x:c>
      <x:c r="I303" s="102" t="n">
        <x:v>95.5652966101695</x:v>
      </x:c>
      <x:c r="J303" s="102" t="n">
        <x:v>93.16499999999998</x:v>
      </x:c>
      <x:c r="K303" s="102" t="n">
        <x:v>90.62033898305083</x:v>
      </x:c>
      <x:c r="L303" s="102" t="n">
        <x:v>17.667330508474564</x:v>
      </x:c>
      <x:c r="M303" s="102" t="n">
        <x:v>67.86999999999999</x:v>
      </x:c>
      <x:c r="N303" s="102" t="n">
        <x:v>1.4449999999999932</x:v>
      </x:c>
      <x:c r="O303" s="102" t="n">
        <x:v>9.42</x:v>
      </x:c>
      <x:c r="P303" s="102" t="n">
        <x:v>0</x:v>
      </x:c>
      <x:c r="Q303" s="45" t="str">
        <x:v>USER_INPUT</x:v>
      </x:c>
      <x:c r="R303" s="45" t="str">
        <x:v>SCENARIO_GENERATION</x:v>
      </x:c>
      <x:c r="S303" s="45" t="str">
        <x:v>USER_REVIEW_REQUIRED</x:v>
      </x:c>
    </x:row>
    <x:row r="304">
      <x:c r="A304" s="45" t="str">
        <x:v>AVI_CT_2</x:v>
      </x:c>
      <x:c r="B304" s="45" t="str">
        <x:v>AVI threshold = 2 mg/L</x:v>
      </x:c>
      <x:c r="C304" s="45" t="str">
        <x:v>R1</x:v>
      </x:c>
      <x:c r="D304" s="45" t="str">
        <x:v>0–30</x:v>
      </x:c>
      <x:c r="E304" s="45" t="n">
        <x:v>0.625</x:v>
      </x:c>
      <x:c r="F304" s="45" t="n">
        <x:v>12</x:v>
      </x:c>
      <x:c r="G304" s="45" t="str">
        <x:v>INDIA2022_OXA48_KP</x:v>
      </x:c>
      <x:c r="H304" s="45" t="str">
        <x:v>OXA-48-like CR-K. pneumoniae, India</x:v>
      </x:c>
      <x:c r="I304" s="102" t="n">
        <x:v>94.45033088235294</x:v>
      </x:c>
      <x:c r="J304" s="102" t="n">
        <x:v>93.16499999999999</x:v>
      </x:c>
      <x:c r="K304" s="102" t="n">
        <x:v>89.03838235294117</x:v>
      </x:c>
      <x:c r="L304" s="102" t="n">
        <x:v>17.596102941176454</x:v>
      </x:c>
      <x:c r="M304" s="102" t="n">
        <x:v>67.86999999999999</x:v>
      </x:c>
      <x:c r="N304" s="102" t="n">
        <x:v>1.4449999999999932</x:v>
      </x:c>
      <x:c r="O304" s="102" t="n">
        <x:v>9.42</x:v>
      </x:c>
      <x:c r="P304" s="102" t="n">
        <x:v>0</x:v>
      </x:c>
      <x:c r="Q304" s="45" t="str">
        <x:v>USER_INPUT</x:v>
      </x:c>
      <x:c r="R304" s="45" t="str">
        <x:v>SCENARIO_GENERATION</x:v>
      </x:c>
      <x:c r="S304" s="45" t="str">
        <x:v>USER_REVIEW_REQUIRED</x:v>
      </x:c>
    </x:row>
    <x:row r="305">
      <x:c r="A305" s="45" t="str">
        <x:v>AVI_CT_2</x:v>
      </x:c>
      <x:c r="B305" s="45" t="str">
        <x:v>AVI threshold = 2 mg/L</x:v>
      </x:c>
      <x:c r="C305" s="45" t="str">
        <x:v>R1</x:v>
      </x:c>
      <x:c r="D305" s="45" t="str">
        <x:v>0–30</x:v>
      </x:c>
      <x:c r="E305" s="45" t="n">
        <x:v>0.625</x:v>
      </x:c>
      <x:c r="F305" s="45" t="n">
        <x:v>12</x:v>
      </x:c>
      <x:c r="G305" s="45" t="str">
        <x:v>FR2024_OXA484_SERINE_ONLY</x:v>
      </x:c>
      <x:c r="H305" s="45" t="str">
        <x:v>French OXA-484 Enterobacterales, serine-only</x:v>
      </x:c>
      <x:c r="I305" s="102" t="n">
        <x:v>98.06408333333334</x:v>
      </x:c>
      <x:c r="J305" s="102" t="n">
        <x:v>93.16499999999999</x:v>
      </x:c>
      <x:c r="K305" s="102" t="n">
        <x:v>92.38041666666666</x:v>
      </x:c>
      <x:c r="L305" s="102" t="n">
        <x:v>18.29108333333332</x:v>
      </x:c>
      <x:c r="M305" s="102" t="n">
        <x:v>67.86999999999999</x:v>
      </x:c>
      <x:c r="N305" s="102" t="n">
        <x:v>1.4449999999999932</x:v>
      </x:c>
      <x:c r="O305" s="102" t="n">
        <x:v>9.42</x:v>
      </x:c>
      <x:c r="P305" s="102" t="n">
        <x:v>0</x:v>
      </x:c>
      <x:c r="Q305" s="45" t="str">
        <x:v>USER_INPUT</x:v>
      </x:c>
      <x:c r="R305" s="45" t="str">
        <x:v>SCENARIO_GENERATION</x:v>
      </x:c>
      <x:c r="S305" s="45" t="str">
        <x:v>USER_REVIEW_REQUIRED</x:v>
      </x:c>
    </x:row>
    <x:row r="306">
      <x:c r="A306" s="45" t="str">
        <x:v>AVI_CT_2</x:v>
      </x:c>
      <x:c r="B306" s="45" t="str">
        <x:v>AVI threshold = 2 mg/L</x:v>
      </x:c>
      <x:c r="C306" s="45" t="str">
        <x:v>R8</x:v>
      </x:c>
      <x:c r="D306" s="45" t="str">
        <x:v>31–60</x:v>
      </x:c>
      <x:c r="E306" s="45" t="n">
        <x:v>2.5</x:v>
      </x:c>
      <x:c r="F306" s="45" t="n">
        <x:v>12</x:v>
      </x:c>
      <x:c r="G306" s="45" t="str">
        <x:v>LEE2022_KPC_KP</x:v>
      </x:c>
      <x:c r="H306" s="45" t="str">
        <x:v>KPC-like CR-K. pneumoniae, ATLAS 2020</x:v>
      </x:c>
      <x:c r="I306" s="102" t="n">
        <x:v>98.2425857519789</x:v>
      </x:c>
      <x:c r="J306" s="102" t="n">
        <x:v>98.765</x:v>
      </x:c>
      <x:c r="K306" s="102" t="n">
        <x:v>97.28055408970977</x:v>
      </x:c>
      <x:c r="L306" s="102" t="n">
        <x:v>8.867730870712407</x:v>
      </x:c>
      <x:c r="M306" s="102" t="n">
        <x:v>91.685</x:v>
      </x:c>
      <x:c r="N306" s="102" t="n">
        <x:v>3.700000000000003</x:v>
      </x:c>
      <x:c r="O306" s="102" t="n">
        <x:v>9.62</x:v>
      </x:c>
      <x:c r="P306" s="102" t="n">
        <x:v>0</x:v>
      </x:c>
      <x:c r="Q306" s="45" t="str">
        <x:v>USER_INPUT</x:v>
      </x:c>
      <x:c r="R306" s="45" t="str">
        <x:v>SCENARIO_GENERATION</x:v>
      </x:c>
      <x:c r="S306" s="45" t="str">
        <x:v>USER_REVIEW_REQUIRED</x:v>
      </x:c>
    </x:row>
    <x:row r="307">
      <x:c r="A307" s="45" t="str">
        <x:v>AVI_CT_2</x:v>
      </x:c>
      <x:c r="B307" s="45" t="str">
        <x:v>AVI threshold = 2 mg/L</x:v>
      </x:c>
      <x:c r="C307" s="45" t="str">
        <x:v>R8</x:v>
      </x:c>
      <x:c r="D307" s="45" t="str">
        <x:v>31–60</x:v>
      </x:c>
      <x:c r="E307" s="45" t="n">
        <x:v>2.5</x:v>
      </x:c>
      <x:c r="F307" s="45" t="n">
        <x:v>12</x:v>
      </x:c>
      <x:c r="G307" s="45" t="str">
        <x:v>LEE2022_OXA_KP</x:v>
      </x:c>
      <x:c r="H307" s="45" t="str">
        <x:v>OXA-like CR-K. pneumoniae, ATLAS 2020</x:v>
      </x:c>
      <x:c r="I307" s="102" t="n">
        <x:v>98.22625000000002</x:v>
      </x:c>
      <x:c r="J307" s="102" t="n">
        <x:v>98.765</x:v>
      </x:c>
      <x:c r="K307" s="102" t="n">
        <x:v>97.16247881355933</x:v>
      </x:c>
      <x:c r="L307" s="102" t="n">
        <x:v>9.20762711864407</x:v>
      </x:c>
      <x:c r="M307" s="102" t="n">
        <x:v>91.685</x:v>
      </x:c>
      <x:c r="N307" s="102" t="n">
        <x:v>3.700000000000003</x:v>
      </x:c>
      <x:c r="O307" s="102" t="n">
        <x:v>9.62</x:v>
      </x:c>
      <x:c r="P307" s="102" t="n">
        <x:v>0</x:v>
      </x:c>
      <x:c r="Q307" s="45" t="str">
        <x:v>USER_INPUT</x:v>
      </x:c>
      <x:c r="R307" s="45" t="str">
        <x:v>SCENARIO_GENERATION</x:v>
      </x:c>
      <x:c r="S307" s="45" t="str">
        <x:v>USER_REVIEW_REQUIRED</x:v>
      </x:c>
    </x:row>
    <x:row r="308">
      <x:c r="A308" s="45" t="str">
        <x:v>AVI_CT_2</x:v>
      </x:c>
      <x:c r="B308" s="45" t="str">
        <x:v>AVI threshold = 2 mg/L</x:v>
      </x:c>
      <x:c r="C308" s="45" t="str">
        <x:v>R8</x:v>
      </x:c>
      <x:c r="D308" s="45" t="str">
        <x:v>31–60</x:v>
      </x:c>
      <x:c r="E308" s="45" t="n">
        <x:v>2.5</x:v>
      </x:c>
      <x:c r="F308" s="45" t="n">
        <x:v>12</x:v>
      </x:c>
      <x:c r="G308" s="45" t="str">
        <x:v>INDIA2022_OXA48_KP</x:v>
      </x:c>
      <x:c r="H308" s="45" t="str">
        <x:v>OXA-48-like CR-K. pneumoniae, India</x:v>
      </x:c>
      <x:c r="I308" s="102" t="n">
        <x:v>96.11161764705881</x:v>
      </x:c>
      <x:c r="J308" s="102" t="n">
        <x:v>98.76499999999999</x:v>
      </x:c>
      <x:c r="K308" s="102" t="n">
        <x:v>95.01224264705881</x:v>
      </x:c>
      <x:c r="L308" s="102" t="n">
        <x:v>9.048860294117631</x:v>
      </x:c>
      <x:c r="M308" s="102" t="n">
        <x:v>91.685</x:v>
      </x:c>
      <x:c r="N308" s="102" t="n">
        <x:v>3.700000000000003</x:v>
      </x:c>
      <x:c r="O308" s="102" t="n">
        <x:v>9.62</x:v>
      </x:c>
      <x:c r="P308" s="102" t="n">
        <x:v>0</x:v>
      </x:c>
      <x:c r="Q308" s="45" t="str">
        <x:v>USER_INPUT</x:v>
      </x:c>
      <x:c r="R308" s="45" t="str">
        <x:v>SCENARIO_GENERATION</x:v>
      </x:c>
      <x:c r="S308" s="45" t="str">
        <x:v>USER_REVIEW_REQUIRED</x:v>
      </x:c>
    </x:row>
    <x:row r="309">
      <x:c r="A309" s="45" t="str">
        <x:v>AVI_CT_2</x:v>
      </x:c>
      <x:c r="B309" s="45" t="str">
        <x:v>AVI threshold = 2 mg/L</x:v>
      </x:c>
      <x:c r="C309" s="45" t="str">
        <x:v>R8</x:v>
      </x:c>
      <x:c r="D309" s="45" t="str">
        <x:v>31–60</x:v>
      </x:c>
      <x:c r="E309" s="45" t="n">
        <x:v>2.5</x:v>
      </x:c>
      <x:c r="F309" s="45" t="n">
        <x:v>12</x:v>
      </x:c>
      <x:c r="G309" s="45" t="str">
        <x:v>FR2024_OXA484_SERINE_ONLY</x:v>
      </x:c>
      <x:c r="H309" s="45" t="str">
        <x:v>French OXA-484 Enterobacterales, serine-only</x:v>
      </x:c>
      <x:c r="I309" s="102" t="n">
        <x:v>99.76208333333334</x:v>
      </x:c>
      <x:c r="J309" s="102" t="n">
        <x:v>98.76500000000001</x:v>
      </x:c>
      <x:c r="K309" s="102" t="n">
        <x:v>98.63125000000001</x:v>
      </x:c>
      <x:c r="L309" s="102" t="n">
        <x:v>9.426916666666699</x:v>
      </x:c>
      <x:c r="M309" s="102" t="n">
        <x:v>91.685</x:v>
      </x:c>
      <x:c r="N309" s="102" t="n">
        <x:v>3.700000000000003</x:v>
      </x:c>
      <x:c r="O309" s="102" t="n">
        <x:v>9.62</x:v>
      </x:c>
      <x:c r="P309" s="102" t="n">
        <x:v>0</x:v>
      </x:c>
      <x:c r="Q309" s="45" t="str">
        <x:v>USER_INPUT</x:v>
      </x:c>
      <x:c r="R309" s="45" t="str">
        <x:v>SCENARIO_GENERATION</x:v>
      </x:c>
      <x:c r="S309" s="45" t="str">
        <x:v>USER_REVIEW_REQUIRED</x:v>
      </x:c>
    </x:row>
    <x:row r="310">
      <x:c r="A310" s="45" t="str">
        <x:v>AVI_CT_2</x:v>
      </x:c>
      <x:c r="B310" s="45" t="str">
        <x:v>AVI threshold = 2 mg/L</x:v>
      </x:c>
      <x:c r="C310" s="45" t="str">
        <x:v>R10</x:v>
      </x:c>
      <x:c r="D310" s="45" t="str">
        <x:v>61–90</x:v>
      </x:c>
      <x:c r="E310" s="45" t="n">
        <x:v>2.5</x:v>
      </x:c>
      <x:c r="F310" s="45" t="n">
        <x:v>8</x:v>
      </x:c>
      <x:c r="G310" s="45" t="str">
        <x:v>LEE2022_KPC_KP</x:v>
      </x:c>
      <x:c r="H310" s="45" t="str">
        <x:v>KPC-like CR-K. pneumoniae, ATLAS 2020</x:v>
      </x:c>
      <x:c r="I310" s="102" t="n">
        <x:v>98.4327308707124</x:v>
      </x:c>
      <x:c r="J310" s="102" t="n">
        <x:v>98.63499999999998</x:v>
      </x:c>
      <x:c r="K310" s="102" t="n">
        <x:v>97.32420844327177</x:v>
      </x:c>
      <x:c r="L310" s="102" t="n">
        <x:v>9.895052770448544</x:v>
      </x:c>
      <x:c r="M310" s="102" t="n">
        <x:v>93.065</x:v>
      </x:c>
      <x:c r="N310" s="102" t="n">
        <x:v>5.530000000000001</x:v>
      </x:c>
      <x:c r="O310" s="102" t="n">
        <x:v>10.665</x:v>
      </x:c>
      <x:c r="P310" s="102" t="n">
        <x:v>0</x:v>
      </x:c>
      <x:c r="Q310" s="45" t="str">
        <x:v>USER_INPUT</x:v>
      </x:c>
      <x:c r="R310" s="45" t="str">
        <x:v>SCENARIO_GENERATION</x:v>
      </x:c>
      <x:c r="S310" s="45" t="str">
        <x:v>USER_REVIEW_REQUIRED</x:v>
      </x:c>
    </x:row>
    <x:row r="311">
      <x:c r="A311" s="45" t="str">
        <x:v>AVI_CT_2</x:v>
      </x:c>
      <x:c r="B311" s="45" t="str">
        <x:v>AVI threshold = 2 mg/L</x:v>
      </x:c>
      <x:c r="C311" s="45" t="str">
        <x:v>R10</x:v>
      </x:c>
      <x:c r="D311" s="45" t="str">
        <x:v>61–90</x:v>
      </x:c>
      <x:c r="E311" s="45" t="n">
        <x:v>2.5</x:v>
      </x:c>
      <x:c r="F311" s="45" t="n">
        <x:v>8</x:v>
      </x:c>
      <x:c r="G311" s="45" t="str">
        <x:v>LEE2022_OXA_KP</x:v>
      </x:c>
      <x:c r="H311" s="45" t="str">
        <x:v>OXA-like CR-K. pneumoniae, ATLAS 2020</x:v>
      </x:c>
      <x:c r="I311" s="102" t="n">
        <x:v>98.30724576271186</x:v>
      </x:c>
      <x:c r="J311" s="102" t="n">
        <x:v>98.63499999999999</x:v>
      </x:c>
      <x:c r="K311" s="102" t="n">
        <x:v>97.09635593220337</x:v>
      </x:c>
      <x:c r="L311" s="102" t="n">
        <x:v>10.179322033898274</x:v>
      </x:c>
      <x:c r="M311" s="102" t="n">
        <x:v>93.065</x:v>
      </x:c>
      <x:c r="N311" s="102" t="n">
        <x:v>5.530000000000001</x:v>
      </x:c>
      <x:c r="O311" s="102" t="n">
        <x:v>10.665</x:v>
      </x:c>
      <x:c r="P311" s="102" t="n">
        <x:v>0</x:v>
      </x:c>
      <x:c r="Q311" s="45" t="str">
        <x:v>USER_INPUT</x:v>
      </x:c>
      <x:c r="R311" s="45" t="str">
        <x:v>SCENARIO_GENERATION</x:v>
      </x:c>
      <x:c r="S311" s="45" t="str">
        <x:v>USER_REVIEW_REQUIRED</x:v>
      </x:c>
    </x:row>
    <x:row r="312">
      <x:c r="A312" s="45" t="str">
        <x:v>AVI_CT_2</x:v>
      </x:c>
      <x:c r="B312" s="45" t="str">
        <x:v>AVI threshold = 2 mg/L</x:v>
      </x:c>
      <x:c r="C312" s="45" t="str">
        <x:v>R10</x:v>
      </x:c>
      <x:c r="D312" s="45" t="str">
        <x:v>61–90</x:v>
      </x:c>
      <x:c r="E312" s="45" t="n">
        <x:v>2.5</x:v>
      </x:c>
      <x:c r="F312" s="45" t="n">
        <x:v>8</x:v>
      </x:c>
      <x:c r="G312" s="45" t="str">
        <x:v>INDIA2022_OXA48_KP</x:v>
      </x:c>
      <x:c r="H312" s="45" t="str">
        <x:v>OXA-48-like CR-K. pneumoniae, India</x:v>
      </x:c>
      <x:c r="I312" s="102" t="n">
        <x:v>96.16680147058821</x:v>
      </x:c>
      <x:c r="J312" s="102" t="n">
        <x:v>98.63499999999998</x:v>
      </x:c>
      <x:c r="K312" s="102" t="n">
        <x:v>94.93316176470586</x:v>
      </x:c>
      <x:c r="L312" s="102" t="n">
        <x:v>9.993566176470566</x:v>
      </x:c>
      <x:c r="M312" s="102" t="n">
        <x:v>93.065</x:v>
      </x:c>
      <x:c r="N312" s="102" t="n">
        <x:v>5.530000000000001</x:v>
      </x:c>
      <x:c r="O312" s="102" t="n">
        <x:v>10.665</x:v>
      </x:c>
      <x:c r="P312" s="102" t="n">
        <x:v>0</x:v>
      </x:c>
      <x:c r="Q312" s="45" t="str">
        <x:v>USER_INPUT</x:v>
      </x:c>
      <x:c r="R312" s="45" t="str">
        <x:v>SCENARIO_GENERATION</x:v>
      </x:c>
      <x:c r="S312" s="45" t="str">
        <x:v>USER_REVIEW_REQUIRED</x:v>
      </x:c>
    </x:row>
    <x:row r="313">
      <x:c r="A313" s="45" t="str">
        <x:v>AVI_CT_2</x:v>
      </x:c>
      <x:c r="B313" s="45" t="str">
        <x:v>AVI threshold = 2 mg/L</x:v>
      </x:c>
      <x:c r="C313" s="45" t="str">
        <x:v>R10</x:v>
      </x:c>
      <x:c r="D313" s="45" t="str">
        <x:v>61–90</x:v>
      </x:c>
      <x:c r="E313" s="45" t="n">
        <x:v>2.5</x:v>
      </x:c>
      <x:c r="F313" s="45" t="n">
        <x:v>8</x:v>
      </x:c>
      <x:c r="G313" s="45" t="str">
        <x:v>FR2024_OXA484_SERINE_ONLY</x:v>
      </x:c>
      <x:c r="H313" s="45" t="str">
        <x:v>French OXA-484 Enterobacterales, serine-only</x:v>
      </x:c>
      <x:c r="I313" s="102" t="n">
        <x:v>99.80858333333335</x:v>
      </x:c>
      <x:c r="J313" s="102" t="n">
        <x:v>98.63499999999999</x:v>
      </x:c>
      <x:c r="K313" s="102" t="n">
        <x:v>98.53391666666667</x:v>
      </x:c>
      <x:c r="L313" s="102" t="n">
        <x:v>10.403999999999996</x:v>
      </x:c>
      <x:c r="M313" s="102" t="n">
        <x:v>93.065</x:v>
      </x:c>
      <x:c r="N313" s="102" t="n">
        <x:v>5.530000000000001</x:v>
      </x:c>
      <x:c r="O313" s="102" t="n">
        <x:v>10.665</x:v>
      </x:c>
      <x:c r="P313" s="102" t="n">
        <x:v>0</x:v>
      </x:c>
      <x:c r="Q313" s="45" t="str">
        <x:v>USER_INPUT</x:v>
      </x:c>
      <x:c r="R313" s="45" t="str">
        <x:v>SCENARIO_GENERATION</x:v>
      </x:c>
      <x:c r="S313" s="45" t="str">
        <x:v>USER_REVIEW_REQUIRED</x:v>
      </x:c>
    </x:row>
    <x:row r="314">
      <x:c r="A314" s="45" t="str">
        <x:v>AVI_CT_2</x:v>
      </x:c>
      <x:c r="B314" s="45" t="str">
        <x:v>AVI threshold = 2 mg/L</x:v>
      </x:c>
      <x:c r="C314" s="45" t="str">
        <x:v>R12</x:v>
      </x:c>
      <x:c r="D314" s="45" t="str">
        <x:v>91–120</x:v>
      </x:c>
      <x:c r="E314" s="45" t="n">
        <x:v>2.5</x:v>
      </x:c>
      <x:c r="F314" s="45" t="n">
        <x:v>6</x:v>
      </x:c>
      <x:c r="G314" s="45" t="str">
        <x:v>LEE2022_KPC_KP</x:v>
      </x:c>
      <x:c r="H314" s="45" t="str">
        <x:v>KPC-like CR-K. pneumoniae, ATLAS 2020</x:v>
      </x:c>
      <x:c r="I314" s="102" t="n">
        <x:v>98.59763852242745</x:v>
      </x:c>
      <x:c r="J314" s="102" t="n">
        <x:v>98.695</x:v>
      </x:c>
      <x:c r="K314" s="102" t="n">
        <x:v>97.51733509234828</x:v>
      </x:c>
      <x:c r="L314" s="102" t="n">
        <x:v>10.026609498680727</x:v>
      </x:c>
      <x:c r="M314" s="102" t="n">
        <x:v>94.11</x:v>
      </x:c>
      <x:c r="N314" s="102" t="n">
        <x:v>6.349999999999994</x:v>
      </x:c>
      <x:c r="O314" s="102" t="n">
        <x:v>11.82</x:v>
      </x:c>
      <x:c r="P314" s="102" t="n">
        <x:v>0</x:v>
      </x:c>
      <x:c r="Q314" s="45" t="str">
        <x:v>USER_INPUT</x:v>
      </x:c>
      <x:c r="R314" s="45" t="str">
        <x:v>SCENARIO_GENERATION</x:v>
      </x:c>
      <x:c r="S314" s="45" t="str">
        <x:v>USER_REVIEW_REQUIRED</x:v>
      </x:c>
    </x:row>
    <x:row r="315">
      <x:c r="A315" s="45" t="str">
        <x:v>AVI_CT_2</x:v>
      </x:c>
      <x:c r="B315" s="45" t="str">
        <x:v>AVI threshold = 2 mg/L</x:v>
      </x:c>
      <x:c r="C315" s="45" t="str">
        <x:v>R12</x:v>
      </x:c>
      <x:c r="D315" s="45" t="str">
        <x:v>91–120</x:v>
      </x:c>
      <x:c r="E315" s="45" t="n">
        <x:v>2.5</x:v>
      </x:c>
      <x:c r="F315" s="45" t="n">
        <x:v>6</x:v>
      </x:c>
      <x:c r="G315" s="45" t="str">
        <x:v>LEE2022_OXA_KP</x:v>
      </x:c>
      <x:c r="H315" s="45" t="str">
        <x:v>OXA-like CR-K. pneumoniae, ATLAS 2020</x:v>
      </x:c>
      <x:c r="I315" s="102" t="n">
        <x:v>98.37855932203391</x:v>
      </x:c>
      <x:c r="J315" s="102" t="n">
        <x:v>98.695</x:v>
      </x:c>
      <x:c r="K315" s="102" t="n">
        <x:v>97.2035593220339</x:v>
      </x:c>
      <x:c r="L315" s="102" t="n">
        <x:v>10.26408898305084</x:v>
      </x:c>
      <x:c r="M315" s="102" t="n">
        <x:v>94.11</x:v>
      </x:c>
      <x:c r="N315" s="102" t="n">
        <x:v>6.349999999999994</x:v>
      </x:c>
      <x:c r="O315" s="102" t="n">
        <x:v>11.82</x:v>
      </x:c>
      <x:c r="P315" s="102" t="n">
        <x:v>0</x:v>
      </x:c>
      <x:c r="Q315" s="45" t="str">
        <x:v>USER_INPUT</x:v>
      </x:c>
      <x:c r="R315" s="45" t="str">
        <x:v>SCENARIO_GENERATION</x:v>
      </x:c>
      <x:c r="S315" s="45" t="str">
        <x:v>USER_REVIEW_REQUIRED</x:v>
      </x:c>
    </x:row>
    <x:row r="316">
      <x:c r="A316" s="45" t="str">
        <x:v>AVI_CT_2</x:v>
      </x:c>
      <x:c r="B316" s="45" t="str">
        <x:v>AVI threshold = 2 mg/L</x:v>
      </x:c>
      <x:c r="C316" s="45" t="str">
        <x:v>R12</x:v>
      </x:c>
      <x:c r="D316" s="45" t="str">
        <x:v>91–120</x:v>
      </x:c>
      <x:c r="E316" s="45" t="n">
        <x:v>2.5</x:v>
      </x:c>
      <x:c r="F316" s="45" t="n">
        <x:v>6</x:v>
      </x:c>
      <x:c r="G316" s="45" t="str">
        <x:v>INDIA2022_OXA48_KP</x:v>
      </x:c>
      <x:c r="H316" s="45" t="str">
        <x:v>OXA-48-like CR-K. pneumoniae, India</x:v>
      </x:c>
      <x:c r="I316" s="102" t="n">
        <x:v>96.21154411764707</x:v>
      </x:c>
      <x:c r="J316" s="102" t="n">
        <x:v>98.695</x:v>
      </x:c>
      <x:c r="K316" s="102" t="n">
        <x:v>95.02202205882354</x:v>
      </x:c>
      <x:c r="L316" s="102" t="n">
        <x:v>10.071433823529418</x:v>
      </x:c>
      <x:c r="M316" s="102" t="n">
        <x:v>94.11</x:v>
      </x:c>
      <x:c r="N316" s="102" t="n">
        <x:v>6.349999999999994</x:v>
      </x:c>
      <x:c r="O316" s="102" t="n">
        <x:v>11.82</x:v>
      </x:c>
      <x:c r="P316" s="102" t="n">
        <x:v>0</x:v>
      </x:c>
      <x:c r="Q316" s="45" t="str">
        <x:v>USER_INPUT</x:v>
      </x:c>
      <x:c r="R316" s="45" t="str">
        <x:v>SCENARIO_GENERATION</x:v>
      </x:c>
      <x:c r="S316" s="45" t="str">
        <x:v>USER_REVIEW_REQUIRED</x:v>
      </x:c>
    </x:row>
    <x:row r="317">
      <x:c r="A317" s="45" t="str">
        <x:v>AVI_CT_2</x:v>
      </x:c>
      <x:c r="B317" s="45" t="str">
        <x:v>AVI threshold = 2 mg/L</x:v>
      </x:c>
      <x:c r="C317" s="45" t="str">
        <x:v>R12</x:v>
      </x:c>
      <x:c r="D317" s="45" t="str">
        <x:v>91–120</x:v>
      </x:c>
      <x:c r="E317" s="45" t="n">
        <x:v>2.5</x:v>
      </x:c>
      <x:c r="F317" s="45" t="n">
        <x:v>6</x:v>
      </x:c>
      <x:c r="G317" s="45" t="str">
        <x:v>FR2024_OXA484_SERINE_ONLY</x:v>
      </x:c>
      <x:c r="H317" s="45" t="str">
        <x:v>French OXA-484 Enterobacterales, serine-only</x:v>
      </x:c>
      <x:c r="I317" s="102" t="n">
        <x:v>99.84516666666667</x:v>
      </x:c>
      <x:c r="J317" s="102" t="n">
        <x:v>98.69499999999998</x:v>
      </x:c>
      <x:c r="K317" s="102" t="n">
        <x:v>98.61483333333332</x:v>
      </x:c>
      <x:c r="L317" s="102" t="n">
        <x:v>10.481166666666653</x:v>
      </x:c>
      <x:c r="M317" s="102" t="n">
        <x:v>94.11</x:v>
      </x:c>
      <x:c r="N317" s="102" t="n">
        <x:v>6.349999999999994</x:v>
      </x:c>
      <x:c r="O317" s="102" t="n">
        <x:v>11.82</x:v>
      </x:c>
      <x:c r="P317" s="102" t="n">
        <x:v>0</x:v>
      </x:c>
      <x:c r="Q317" s="45" t="str">
        <x:v>USER_INPUT</x:v>
      </x:c>
      <x:c r="R317" s="45" t="str">
        <x:v>SCENARIO_GENERATION</x:v>
      </x:c>
      <x:c r="S317" s="45" t="str">
        <x:v>USER_REVIEW_REQUIRED</x:v>
      </x:c>
    </x:row>
    <x:row r="318">
      <x:c r="A318" s="45" t="str">
        <x:v>AVI_CT_2</x:v>
      </x:c>
      <x:c r="B318" s="45" t="str">
        <x:v>AVI threshold = 2 mg/L</x:v>
      </x:c>
      <x:c r="C318" s="45" t="str">
        <x:v>R13</x:v>
      </x:c>
      <x:c r="D318" s="45" t="str">
        <x:v>121–150</x:v>
      </x:c>
      <x:c r="E318" s="45" t="n">
        <x:v>2.5</x:v>
      </x:c>
      <x:c r="F318" s="45" t="n">
        <x:v>6</x:v>
      </x:c>
      <x:c r="G318" s="45" t="str">
        <x:v>LEE2022_KPC_KP</x:v>
      </x:c>
      <x:c r="H318" s="45" t="str">
        <x:v>KPC-like CR-K. pneumoniae, ATLAS 2020</x:v>
      </x:c>
      <x:c r="I318" s="102" t="n">
        <x:v>98.02172823218997</x:v>
      </x:c>
      <x:c r="J318" s="102" t="n">
        <x:v>96.99999999999999</x:v>
      </x:c>
      <x:c r="K318" s="102" t="n">
        <x:v>95.53596306068602</x:v>
      </x:c>
      <x:c r="L318" s="102" t="n">
        <x:v>15.798812664907658</x:v>
      </x:c>
      <x:c r="M318" s="102" t="n">
        <x:v>90.275</x:v>
      </x:c>
      <x:c r="N318" s="102" t="n">
        <x:v>10.260000000000005</x:v>
      </x:c>
      <x:c r="O318" s="102" t="n">
        <x:v>7.045</x:v>
      </x:c>
      <x:c r="P318" s="102" t="n">
        <x:v>0</x:v>
      </x:c>
      <x:c r="Q318" s="45" t="str">
        <x:v>USER_INPUT</x:v>
      </x:c>
      <x:c r="R318" s="45" t="str">
        <x:v>SCENARIO_GENERATION</x:v>
      </x:c>
      <x:c r="S318" s="45" t="str">
        <x:v>USER_REVIEW_REQUIRED</x:v>
      </x:c>
    </x:row>
    <x:row r="319">
      <x:c r="A319" s="45" t="str">
        <x:v>AVI_CT_2</x:v>
      </x:c>
      <x:c r="B319" s="45" t="str">
        <x:v>AVI threshold = 2 mg/L</x:v>
      </x:c>
      <x:c r="C319" s="45" t="str">
        <x:v>R13</x:v>
      </x:c>
      <x:c r="D319" s="45" t="str">
        <x:v>121–150</x:v>
      </x:c>
      <x:c r="E319" s="45" t="n">
        <x:v>2.5</x:v>
      </x:c>
      <x:c r="F319" s="45" t="n">
        <x:v>6</x:v>
      </x:c>
      <x:c r="G319" s="45" t="str">
        <x:v>LEE2022_OXA_KP</x:v>
      </x:c>
      <x:c r="H319" s="45" t="str">
        <x:v>OXA-like CR-K. pneumoniae, ATLAS 2020</x:v>
      </x:c>
      <x:c r="I319" s="102" t="n">
        <x:v>98.12555084745763</x:v>
      </x:c>
      <x:c r="J319" s="102" t="n">
        <x:v>96.99999999999999</x:v>
      </x:c>
      <x:c r="K319" s="102" t="n">
        <x:v>95.42980932203389</x:v>
      </x:c>
      <x:c r="L319" s="102" t="n">
        <x:v>16.154661016949134</x:v>
      </x:c>
      <x:c r="M319" s="102" t="n">
        <x:v>90.275</x:v>
      </x:c>
      <x:c r="N319" s="102" t="n">
        <x:v>10.260000000000005</x:v>
      </x:c>
      <x:c r="O319" s="102" t="n">
        <x:v>7.045</x:v>
      </x:c>
      <x:c r="P319" s="102" t="n">
        <x:v>0</x:v>
      </x:c>
      <x:c r="Q319" s="45" t="str">
        <x:v>USER_INPUT</x:v>
      </x:c>
      <x:c r="R319" s="45" t="str">
        <x:v>SCENARIO_GENERATION</x:v>
      </x:c>
      <x:c r="S319" s="45" t="str">
        <x:v>USER_REVIEW_REQUIRED</x:v>
      </x:c>
    </x:row>
    <x:row r="320">
      <x:c r="A320" s="45" t="str">
        <x:v>AVI_CT_2</x:v>
      </x:c>
      <x:c r="B320" s="45" t="str">
        <x:v>AVI threshold = 2 mg/L</x:v>
      </x:c>
      <x:c r="C320" s="45" t="str">
        <x:v>R13</x:v>
      </x:c>
      <x:c r="D320" s="45" t="str">
        <x:v>121–150</x:v>
      </x:c>
      <x:c r="E320" s="45" t="n">
        <x:v>2.5</x:v>
      </x:c>
      <x:c r="F320" s="45" t="n">
        <x:v>6</x:v>
      </x:c>
      <x:c r="G320" s="45" t="str">
        <x:v>INDIA2022_OXA48_KP</x:v>
      </x:c>
      <x:c r="H320" s="45" t="str">
        <x:v>OXA-48-like CR-K. pneumoniae, India</x:v>
      </x:c>
      <x:c r="I320" s="102" t="n">
        <x:v>96.03632352941177</x:v>
      </x:c>
      <x:c r="J320" s="102" t="n">
        <x:v>97</x:v>
      </x:c>
      <x:c r="K320" s="102" t="n">
        <x:v>93.31117647058824</x:v>
      </x:c>
      <x:c r="L320" s="102" t="n">
        <x:v>15.848198529411746</x:v>
      </x:c>
      <x:c r="M320" s="102" t="n">
        <x:v>90.275</x:v>
      </x:c>
      <x:c r="N320" s="102" t="n">
        <x:v>10.260000000000005</x:v>
      </x:c>
      <x:c r="O320" s="102" t="n">
        <x:v>7.045</x:v>
      </x:c>
      <x:c r="P320" s="102" t="n">
        <x:v>0</x:v>
      </x:c>
      <x:c r="Q320" s="45" t="str">
        <x:v>USER_INPUT</x:v>
      </x:c>
      <x:c r="R320" s="45" t="str">
        <x:v>SCENARIO_GENERATION</x:v>
      </x:c>
      <x:c r="S320" s="45" t="str">
        <x:v>USER_REVIEW_REQUIRED</x:v>
      </x:c>
    </x:row>
    <x:row r="321">
      <x:c r="A321" s="45" t="str">
        <x:v>AVI_CT_2</x:v>
      </x:c>
      <x:c r="B321" s="45" t="str">
        <x:v>AVI threshold = 2 mg/L</x:v>
      </x:c>
      <x:c r="C321" s="45" t="str">
        <x:v>R13</x:v>
      </x:c>
      <x:c r="D321" s="45" t="str">
        <x:v>121–150</x:v>
      </x:c>
      <x:c r="E321" s="45" t="n">
        <x:v>2.5</x:v>
      </x:c>
      <x:c r="F321" s="45" t="n">
        <x:v>6</x:v>
      </x:c>
      <x:c r="G321" s="45" t="str">
        <x:v>FR2024_OXA484_SERINE_ONLY</x:v>
      </x:c>
      <x:c r="H321" s="45" t="str">
        <x:v>French OXA-484 Enterobacterales, serine-only</x:v>
      </x:c>
      <x:c r="I321" s="102" t="n">
        <x:v>99.71316666666667</x:v>
      </x:c>
      <x:c r="J321" s="102" t="n">
        <x:v>96.99999999999999</x:v>
      </x:c>
      <x:c r="K321" s="102" t="n">
        <x:v>96.88566666666665</x:v>
      </x:c>
      <x:c r="L321" s="102" t="n">
        <x:v>16.492083333333312</x:v>
      </x:c>
      <x:c r="M321" s="102" t="n">
        <x:v>90.275</x:v>
      </x:c>
      <x:c r="N321" s="102" t="n">
        <x:v>10.260000000000005</x:v>
      </x:c>
      <x:c r="O321" s="102" t="n">
        <x:v>7.045</x:v>
      </x:c>
      <x:c r="P321" s="102" t="n">
        <x:v>0</x:v>
      </x:c>
      <x:c r="Q321" s="45" t="str">
        <x:v>USER_INPUT</x:v>
      </x:c>
      <x:c r="R321" s="45" t="str">
        <x:v>SCENARIO_GENERATION</x:v>
      </x:c>
      <x:c r="S321" s="45" t="str">
        <x:v>USER_REVIEW_REQUIRED</x:v>
      </x:c>
    </x:row>
    <x:row r="322">
      <x:c r="A322" s="45" t="str">
        <x:v>AVI_CT_6</x:v>
      </x:c>
      <x:c r="B322" s="45" t="str">
        <x:v>AVI threshold = 6 mg/L</x:v>
      </x:c>
      <x:c r="C322" s="45" t="str">
        <x:v>R1</x:v>
      </x:c>
      <x:c r="D322" s="45" t="str">
        <x:v>0–30</x:v>
      </x:c>
      <x:c r="E322" s="45" t="n">
        <x:v>0.625</x:v>
      </x:c>
      <x:c r="F322" s="45" t="n">
        <x:v>12</x:v>
      </x:c>
      <x:c r="G322" s="45" t="str">
        <x:v>LEE2022_KPC_KP</x:v>
      </x:c>
      <x:c r="H322" s="45" t="str">
        <x:v>KPC-like CR-K. pneumoniae, ATLAS 2020</x:v>
      </x:c>
      <x:c r="I322" s="102" t="n">
        <x:v>93.65485488126649</x:v>
      </x:c>
      <x:c r="J322" s="102" t="n">
        <x:v>57.63</x:v>
      </x:c>
      <x:c r="K322" s="102" t="n">
        <x:v>57.05399736147758</x:v>
      </x:c>
      <x:c r="L322" s="102" t="n">
        <x:v>-15.750131926121362</x:v>
      </x:c>
      <x:c r="M322" s="102" t="n">
        <x:v>56.665</x:v>
      </x:c>
      <x:c r="N322" s="102" t="n">
        <x:v>-9.759999999999998</x:v>
      </x:c>
      <x:c r="O322" s="102" t="n">
        <x:v>9.42</x:v>
      </x:c>
      <x:c r="P322" s="102" t="n">
        <x:v>0</x:v>
      </x:c>
      <x:c r="Q322" s="45" t="str">
        <x:v>USER_INPUT</x:v>
      </x:c>
      <x:c r="R322" s="45" t="str">
        <x:v>SCENARIO_GENERATION</x:v>
      </x:c>
      <x:c r="S322" s="45" t="str">
        <x:v>USER_REVIEW_REQUIRED</x:v>
      </x:c>
    </x:row>
    <x:row r="323">
      <x:c r="A323" s="45" t="str">
        <x:v>AVI_CT_6</x:v>
      </x:c>
      <x:c r="B323" s="45" t="str">
        <x:v>AVI threshold = 6 mg/L</x:v>
      </x:c>
      <x:c r="C323" s="45" t="str">
        <x:v>R1</x:v>
      </x:c>
      <x:c r="D323" s="45" t="str">
        <x:v>0–30</x:v>
      </x:c>
      <x:c r="E323" s="45" t="n">
        <x:v>0.625</x:v>
      </x:c>
      <x:c r="F323" s="45" t="n">
        <x:v>12</x:v>
      </x:c>
      <x:c r="G323" s="45" t="str">
        <x:v>LEE2022_OXA_KP</x:v>
      </x:c>
      <x:c r="H323" s="45" t="str">
        <x:v>OXA-like CR-K. pneumoniae, ATLAS 2020</x:v>
      </x:c>
      <x:c r="I323" s="102" t="n">
        <x:v>95.5652966101695</x:v>
      </x:c>
      <x:c r="J323" s="102" t="n">
        <x:v>57.63000000000001</x:v>
      </x:c>
      <x:c r="K323" s="102" t="n">
        <x:v>56.818580508474575</x:v>
      </x:c>
      <x:c r="L323" s="102" t="n">
        <x:v>-16.13442796610169</x:v>
      </x:c>
      <x:c r="M323" s="102" t="n">
        <x:v>56.665</x:v>
      </x:c>
      <x:c r="N323" s="102" t="n">
        <x:v>-9.759999999999998</x:v>
      </x:c>
      <x:c r="O323" s="102" t="n">
        <x:v>9.42</x:v>
      </x:c>
      <x:c r="P323" s="102" t="n">
        <x:v>0</x:v>
      </x:c>
      <x:c r="Q323" s="45" t="str">
        <x:v>USER_INPUT</x:v>
      </x:c>
      <x:c r="R323" s="45" t="str">
        <x:v>SCENARIO_GENERATION</x:v>
      </x:c>
      <x:c r="S323" s="45" t="str">
        <x:v>USER_REVIEW_REQUIRED</x:v>
      </x:c>
    </x:row>
    <x:row r="324">
      <x:c r="A324" s="45" t="str">
        <x:v>AVI_CT_6</x:v>
      </x:c>
      <x:c r="B324" s="45" t="str">
        <x:v>AVI threshold = 6 mg/L</x:v>
      </x:c>
      <x:c r="C324" s="45" t="str">
        <x:v>R1</x:v>
      </x:c>
      <x:c r="D324" s="45" t="str">
        <x:v>0–30</x:v>
      </x:c>
      <x:c r="E324" s="45" t="n">
        <x:v>0.625</x:v>
      </x:c>
      <x:c r="F324" s="45" t="n">
        <x:v>12</x:v>
      </x:c>
      <x:c r="G324" s="45" t="str">
        <x:v>INDIA2022_OXA48_KP</x:v>
      </x:c>
      <x:c r="H324" s="45" t="str">
        <x:v>OXA-48-like CR-K. pneumoniae, India</x:v>
      </x:c>
      <x:c r="I324" s="102" t="n">
        <x:v>94.45033088235294</x:v>
      </x:c>
      <x:c r="J324" s="102" t="n">
        <x:v>57.63000000000001</x:v>
      </x:c>
      <x:c r="K324" s="102" t="n">
        <x:v>55.61341911764707</x:v>
      </x:c>
      <x:c r="L324" s="102" t="n">
        <x:v>-15.828860294117646</x:v>
      </x:c>
      <x:c r="M324" s="102" t="n">
        <x:v>56.665</x:v>
      </x:c>
      <x:c r="N324" s="102" t="n">
        <x:v>-9.759999999999998</x:v>
      </x:c>
      <x:c r="O324" s="102" t="n">
        <x:v>9.42</x:v>
      </x:c>
      <x:c r="P324" s="102" t="n">
        <x:v>0</x:v>
      </x:c>
      <x:c r="Q324" s="45" t="str">
        <x:v>USER_INPUT</x:v>
      </x:c>
      <x:c r="R324" s="45" t="str">
        <x:v>SCENARIO_GENERATION</x:v>
      </x:c>
      <x:c r="S324" s="45" t="str">
        <x:v>USER_REVIEW_REQUIRED</x:v>
      </x:c>
    </x:row>
    <x:row r="325">
      <x:c r="A325" s="45" t="str">
        <x:v>AVI_CT_6</x:v>
      </x:c>
      <x:c r="B325" s="45" t="str">
        <x:v>AVI threshold = 6 mg/L</x:v>
      </x:c>
      <x:c r="C325" s="45" t="str">
        <x:v>R1</x:v>
      </x:c>
      <x:c r="D325" s="45" t="str">
        <x:v>0–30</x:v>
      </x:c>
      <x:c r="E325" s="45" t="n">
        <x:v>0.625</x:v>
      </x:c>
      <x:c r="F325" s="45" t="n">
        <x:v>12</x:v>
      </x:c>
      <x:c r="G325" s="45" t="str">
        <x:v>FR2024_OXA484_SERINE_ONLY</x:v>
      </x:c>
      <x:c r="H325" s="45" t="str">
        <x:v>French OXA-484 Enterobacterales, serine-only</x:v>
      </x:c>
      <x:c r="I325" s="102" t="n">
        <x:v>98.06408333333334</x:v>
      </x:c>
      <x:c r="J325" s="102" t="n">
        <x:v>57.63</x:v>
      </x:c>
      <x:c r="K325" s="102" t="n">
        <x:v>57.61391666666667</x:v>
      </x:c>
      <x:c r="L325" s="102" t="n">
        <x:v>-16.475416666666675</x:v>
      </x:c>
      <x:c r="M325" s="102" t="n">
        <x:v>56.665</x:v>
      </x:c>
      <x:c r="N325" s="102" t="n">
        <x:v>-9.759999999999998</x:v>
      </x:c>
      <x:c r="O325" s="102" t="n">
        <x:v>9.42</x:v>
      </x:c>
      <x:c r="P325" s="102" t="n">
        <x:v>0</x:v>
      </x:c>
      <x:c r="Q325" s="45" t="str">
        <x:v>USER_INPUT</x:v>
      </x:c>
      <x:c r="R325" s="45" t="str">
        <x:v>SCENARIO_GENERATION</x:v>
      </x:c>
      <x:c r="S325" s="45" t="str">
        <x:v>USER_REVIEW_REQUIRED</x:v>
      </x:c>
    </x:row>
    <x:row r="326">
      <x:c r="A326" s="45" t="str">
        <x:v>AVI_CT_6</x:v>
      </x:c>
      <x:c r="B326" s="45" t="str">
        <x:v>AVI threshold = 6 mg/L</x:v>
      </x:c>
      <x:c r="C326" s="45" t="str">
        <x:v>R8</x:v>
      </x:c>
      <x:c r="D326" s="45" t="str">
        <x:v>31–60</x:v>
      </x:c>
      <x:c r="E326" s="45" t="n">
        <x:v>2.5</x:v>
      </x:c>
      <x:c r="F326" s="45" t="n">
        <x:v>12</x:v>
      </x:c>
      <x:c r="G326" s="45" t="str">
        <x:v>LEE2022_KPC_KP</x:v>
      </x:c>
      <x:c r="H326" s="45" t="str">
        <x:v>KPC-like CR-K. pneumoniae, ATLAS 2020</x:v>
      </x:c>
      <x:c r="I326" s="102" t="n">
        <x:v>98.2425857519789</x:v>
      </x:c>
      <x:c r="J326" s="102" t="n">
        <x:v>74.78</x:v>
      </x:c>
      <x:c r="K326" s="102" t="n">
        <x:v>74.28748021108179</x:v>
      </x:c>
      <x:c r="L326" s="102" t="n">
        <x:v>-14.125343007915575</x:v>
      </x:c>
      <x:c r="M326" s="102" t="n">
        <x:v>74.72999999999999</x:v>
      </x:c>
      <x:c r="N326" s="102" t="n">
        <x:v>-13.25500000000001</x:v>
      </x:c>
      <x:c r="O326" s="102" t="n">
        <x:v>9.62</x:v>
      </x:c>
      <x:c r="P326" s="102" t="n">
        <x:v>0</x:v>
      </x:c>
      <x:c r="Q326" s="45" t="str">
        <x:v>USER_INPUT</x:v>
      </x:c>
      <x:c r="R326" s="45" t="str">
        <x:v>SCENARIO_GENERATION</x:v>
      </x:c>
      <x:c r="S326" s="45" t="str">
        <x:v>USER_REVIEW_REQUIRED</x:v>
      </x:c>
    </x:row>
    <x:row r="327">
      <x:c r="A327" s="45" t="str">
        <x:v>AVI_CT_6</x:v>
      </x:c>
      <x:c r="B327" s="45" t="str">
        <x:v>AVI threshold = 6 mg/L</x:v>
      </x:c>
      <x:c r="C327" s="45" t="str">
        <x:v>R8</x:v>
      </x:c>
      <x:c r="D327" s="45" t="str">
        <x:v>31–60</x:v>
      </x:c>
      <x:c r="E327" s="45" t="n">
        <x:v>2.5</x:v>
      </x:c>
      <x:c r="F327" s="45" t="n">
        <x:v>12</x:v>
      </x:c>
      <x:c r="G327" s="45" t="str">
        <x:v>LEE2022_OXA_KP</x:v>
      </x:c>
      <x:c r="H327" s="45" t="str">
        <x:v>OXA-like CR-K. pneumoniae, ATLAS 2020</x:v>
      </x:c>
      <x:c r="I327" s="102" t="n">
        <x:v>98.22625000000002</x:v>
      </x:c>
      <x:c r="J327" s="102" t="n">
        <x:v>74.77999999999997</x:v>
      </x:c>
      <x:c r="K327" s="102" t="n">
        <x:v>73.78112288135593</x:v>
      </x:c>
      <x:c r="L327" s="102" t="n">
        <x:v>-14.173728813559336</x:v>
      </x:c>
      <x:c r="M327" s="102" t="n">
        <x:v>74.72999999999999</x:v>
      </x:c>
      <x:c r="N327" s="102" t="n">
        <x:v>-13.25500000000001</x:v>
      </x:c>
      <x:c r="O327" s="102" t="n">
        <x:v>9.62</x:v>
      </x:c>
      <x:c r="P327" s="102" t="n">
        <x:v>0</x:v>
      </x:c>
      <x:c r="Q327" s="45" t="str">
        <x:v>USER_INPUT</x:v>
      </x:c>
      <x:c r="R327" s="45" t="str">
        <x:v>SCENARIO_GENERATION</x:v>
      </x:c>
      <x:c r="S327" s="45" t="str">
        <x:v>USER_REVIEW_REQUIRED</x:v>
      </x:c>
    </x:row>
    <x:row r="328">
      <x:c r="A328" s="45" t="str">
        <x:v>AVI_CT_6</x:v>
      </x:c>
      <x:c r="B328" s="45" t="str">
        <x:v>AVI threshold = 6 mg/L</x:v>
      </x:c>
      <x:c r="C328" s="45" t="str">
        <x:v>R8</x:v>
      </x:c>
      <x:c r="D328" s="45" t="str">
        <x:v>31–60</x:v>
      </x:c>
      <x:c r="E328" s="45" t="n">
        <x:v>2.5</x:v>
      </x:c>
      <x:c r="F328" s="45" t="n">
        <x:v>12</x:v>
      </x:c>
      <x:c r="G328" s="45" t="str">
        <x:v>INDIA2022_OXA48_KP</x:v>
      </x:c>
      <x:c r="H328" s="45" t="str">
        <x:v>OXA-48-like CR-K. pneumoniae, India</x:v>
      </x:c>
      <x:c r="I328" s="102" t="n">
        <x:v>96.11161764705881</x:v>
      </x:c>
      <x:c r="J328" s="102" t="n">
        <x:v>74.78</x:v>
      </x:c>
      <x:c r="K328" s="102" t="n">
        <x:v>72.07569852941177</x:v>
      </x:c>
      <x:c r="L328" s="102" t="n">
        <x:v>-13.887683823529414</x:v>
      </x:c>
      <x:c r="M328" s="102" t="n">
        <x:v>74.72999999999999</x:v>
      </x:c>
      <x:c r="N328" s="102" t="n">
        <x:v>-13.25500000000001</x:v>
      </x:c>
      <x:c r="O328" s="102" t="n">
        <x:v>9.62</x:v>
      </x:c>
      <x:c r="P328" s="102" t="n">
        <x:v>0</x:v>
      </x:c>
      <x:c r="Q328" s="45" t="str">
        <x:v>USER_INPUT</x:v>
      </x:c>
      <x:c r="R328" s="45" t="str">
        <x:v>SCENARIO_GENERATION</x:v>
      </x:c>
      <x:c r="S328" s="45" t="str">
        <x:v>USER_REVIEW_REQUIRED</x:v>
      </x:c>
    </x:row>
    <x:row r="329">
      <x:c r="A329" s="45" t="str">
        <x:v>AVI_CT_6</x:v>
      </x:c>
      <x:c r="B329" s="45" t="str">
        <x:v>AVI threshold = 6 mg/L</x:v>
      </x:c>
      <x:c r="C329" s="45" t="str">
        <x:v>R8</x:v>
      </x:c>
      <x:c r="D329" s="45" t="str">
        <x:v>31–60</x:v>
      </x:c>
      <x:c r="E329" s="45" t="n">
        <x:v>2.5</x:v>
      </x:c>
      <x:c r="F329" s="45" t="n">
        <x:v>12</x:v>
      </x:c>
      <x:c r="G329" s="45" t="str">
        <x:v>FR2024_OXA484_SERINE_ONLY</x:v>
      </x:c>
      <x:c r="H329" s="45" t="str">
        <x:v>French OXA-484 Enterobacterales, serine-only</x:v>
      </x:c>
      <x:c r="I329" s="102" t="n">
        <x:v>99.76208333333334</x:v>
      </x:c>
      <x:c r="J329" s="102" t="n">
        <x:v>74.78000000000002</x:v>
      </x:c>
      <x:c r="K329" s="102" t="n">
        <x:v>74.77916666666667</x:v>
      </x:c>
      <x:c r="L329" s="102" t="n">
        <x:v>-14.425166666666641</x:v>
      </x:c>
      <x:c r="M329" s="102" t="n">
        <x:v>74.72999999999999</x:v>
      </x:c>
      <x:c r="N329" s="102" t="n">
        <x:v>-13.25500000000001</x:v>
      </x:c>
      <x:c r="O329" s="102" t="n">
        <x:v>9.62</x:v>
      </x:c>
      <x:c r="P329" s="102" t="n">
        <x:v>0</x:v>
      </x:c>
      <x:c r="Q329" s="45" t="str">
        <x:v>USER_INPUT</x:v>
      </x:c>
      <x:c r="R329" s="45" t="str">
        <x:v>SCENARIO_GENERATION</x:v>
      </x:c>
      <x:c r="S329" s="45" t="str">
        <x:v>USER_REVIEW_REQUIRED</x:v>
      </x:c>
    </x:row>
    <x:row r="330">
      <x:c r="A330" s="45" t="str">
        <x:v>AVI_CT_6</x:v>
      </x:c>
      <x:c r="B330" s="45" t="str">
        <x:v>AVI threshold = 6 mg/L</x:v>
      </x:c>
      <x:c r="C330" s="45" t="str">
        <x:v>R10</x:v>
      </x:c>
      <x:c r="D330" s="45" t="str">
        <x:v>61–90</x:v>
      </x:c>
      <x:c r="E330" s="45" t="n">
        <x:v>2.5</x:v>
      </x:c>
      <x:c r="F330" s="45" t="n">
        <x:v>8</x:v>
      </x:c>
      <x:c r="G330" s="45" t="str">
        <x:v>LEE2022_KPC_KP</x:v>
      </x:c>
      <x:c r="H330" s="45" t="str">
        <x:v>KPC-like CR-K. pneumoniae, ATLAS 2020</x:v>
      </x:c>
      <x:c r="I330" s="102" t="n">
        <x:v>98.4327308707124</x:v>
      </x:c>
      <x:c r="J330" s="102" t="n">
        <x:v>72.49000000000001</x:v>
      </x:c>
      <x:c r="K330" s="102" t="n">
        <x:v>72.06052770448551</x:v>
      </x:c>
      <x:c r="L330" s="102" t="n">
        <x:v>-15.36862796833772</x:v>
      </x:c>
      <x:c r="M330" s="102" t="n">
        <x:v>72.48</x:v>
      </x:c>
      <x:c r="N330" s="102" t="n">
        <x:v>-15.054999999999993</x:v>
      </x:c>
      <x:c r="O330" s="102" t="n">
        <x:v>10.665</x:v>
      </x:c>
      <x:c r="P330" s="102" t="n">
        <x:v>0</x:v>
      </x:c>
      <x:c r="Q330" s="45" t="str">
        <x:v>USER_INPUT</x:v>
      </x:c>
      <x:c r="R330" s="45" t="str">
        <x:v>SCENARIO_GENERATION</x:v>
      </x:c>
      <x:c r="S330" s="45" t="str">
        <x:v>USER_REVIEW_REQUIRED</x:v>
      </x:c>
    </x:row>
    <x:row r="331">
      <x:c r="A331" s="45" t="str">
        <x:v>AVI_CT_6</x:v>
      </x:c>
      <x:c r="B331" s="45" t="str">
        <x:v>AVI threshold = 6 mg/L</x:v>
      </x:c>
      <x:c r="C331" s="45" t="str">
        <x:v>R10</x:v>
      </x:c>
      <x:c r="D331" s="45" t="str">
        <x:v>61–90</x:v>
      </x:c>
      <x:c r="E331" s="45" t="n">
        <x:v>2.5</x:v>
      </x:c>
      <x:c r="F331" s="45" t="n">
        <x:v>8</x:v>
      </x:c>
      <x:c r="G331" s="45" t="str">
        <x:v>LEE2022_OXA_KP</x:v>
      </x:c>
      <x:c r="H331" s="45" t="str">
        <x:v>OXA-like CR-K. pneumoniae, ATLAS 2020</x:v>
      </x:c>
      <x:c r="I331" s="102" t="n">
        <x:v>98.30724576271186</x:v>
      </x:c>
      <x:c r="J331" s="102" t="n">
        <x:v>72.49</x:v>
      </x:c>
      <x:c r="K331" s="102" t="n">
        <x:v>71.54074152542373</x:v>
      </x:c>
      <x:c r="L331" s="102" t="n">
        <x:v>-15.376292372881366</x:v>
      </x:c>
      <x:c r="M331" s="102" t="n">
        <x:v>72.48</x:v>
      </x:c>
      <x:c r="N331" s="102" t="n">
        <x:v>-15.054999999999993</x:v>
      </x:c>
      <x:c r="O331" s="102" t="n">
        <x:v>10.665</x:v>
      </x:c>
      <x:c r="P331" s="102" t="n">
        <x:v>0</x:v>
      </x:c>
      <x:c r="Q331" s="45" t="str">
        <x:v>USER_INPUT</x:v>
      </x:c>
      <x:c r="R331" s="45" t="str">
        <x:v>SCENARIO_GENERATION</x:v>
      </x:c>
      <x:c r="S331" s="45" t="str">
        <x:v>USER_REVIEW_REQUIRED</x:v>
      </x:c>
    </x:row>
    <x:row r="332">
      <x:c r="A332" s="45" t="str">
        <x:v>AVI_CT_6</x:v>
      </x:c>
      <x:c r="B332" s="45" t="str">
        <x:v>AVI threshold = 6 mg/L</x:v>
      </x:c>
      <x:c r="C332" s="45" t="str">
        <x:v>R10</x:v>
      </x:c>
      <x:c r="D332" s="45" t="str">
        <x:v>61–90</x:v>
      </x:c>
      <x:c r="E332" s="45" t="n">
        <x:v>2.5</x:v>
      </x:c>
      <x:c r="F332" s="45" t="n">
        <x:v>8</x:v>
      </x:c>
      <x:c r="G332" s="45" t="str">
        <x:v>INDIA2022_OXA48_KP</x:v>
      </x:c>
      <x:c r="H332" s="45" t="str">
        <x:v>OXA-48-like CR-K. pneumoniae, India</x:v>
      </x:c>
      <x:c r="I332" s="102" t="n">
        <x:v>96.16680147058821</x:v>
      </x:c>
      <x:c r="J332" s="102" t="n">
        <x:v>72.48999999999998</x:v>
      </x:c>
      <x:c r="K332" s="102" t="n">
        <x:v>69.8780882352941</x:v>
      </x:c>
      <x:c r="L332" s="102" t="n">
        <x:v>-15.061507352941192</x:v>
      </x:c>
      <x:c r="M332" s="102" t="n">
        <x:v>72.48</x:v>
      </x:c>
      <x:c r="N332" s="102" t="n">
        <x:v>-15.054999999999993</x:v>
      </x:c>
      <x:c r="O332" s="102" t="n">
        <x:v>10.665</x:v>
      </x:c>
      <x:c r="P332" s="102" t="n">
        <x:v>0</x:v>
      </x:c>
      <x:c r="Q332" s="45" t="str">
        <x:v>USER_INPUT</x:v>
      </x:c>
      <x:c r="R332" s="45" t="str">
        <x:v>SCENARIO_GENERATION</x:v>
      </x:c>
      <x:c r="S332" s="45" t="str">
        <x:v>USER_REVIEW_REQUIRED</x:v>
      </x:c>
    </x:row>
    <x:row r="333">
      <x:c r="A333" s="45" t="str">
        <x:v>AVI_CT_6</x:v>
      </x:c>
      <x:c r="B333" s="45" t="str">
        <x:v>AVI threshold = 6 mg/L</x:v>
      </x:c>
      <x:c r="C333" s="45" t="str">
        <x:v>R10</x:v>
      </x:c>
      <x:c r="D333" s="45" t="str">
        <x:v>61–90</x:v>
      </x:c>
      <x:c r="E333" s="45" t="n">
        <x:v>2.5</x:v>
      </x:c>
      <x:c r="F333" s="45" t="n">
        <x:v>8</x:v>
      </x:c>
      <x:c r="G333" s="45" t="str">
        <x:v>FR2024_OXA484_SERINE_ONLY</x:v>
      </x:c>
      <x:c r="H333" s="45" t="str">
        <x:v>French OXA-484 Enterobacterales, serine-only</x:v>
      </x:c>
      <x:c r="I333" s="102" t="n">
        <x:v>99.80858333333335</x:v>
      </x:c>
      <x:c r="J333" s="102" t="n">
        <x:v>72.49</x:v>
      </x:c>
      <x:c r="K333" s="102" t="n">
        <x:v>72.48983333333332</x:v>
      </x:c>
      <x:c r="L333" s="102" t="n">
        <x:v>-15.64008333333335</x:v>
      </x:c>
      <x:c r="M333" s="102" t="n">
        <x:v>72.48</x:v>
      </x:c>
      <x:c r="N333" s="102" t="n">
        <x:v>-15.054999999999993</x:v>
      </x:c>
      <x:c r="O333" s="102" t="n">
        <x:v>10.665</x:v>
      </x:c>
      <x:c r="P333" s="102" t="n">
        <x:v>0</x:v>
      </x:c>
      <x:c r="Q333" s="45" t="str">
        <x:v>USER_INPUT</x:v>
      </x:c>
      <x:c r="R333" s="45" t="str">
        <x:v>SCENARIO_GENERATION</x:v>
      </x:c>
      <x:c r="S333" s="45" t="str">
        <x:v>USER_REVIEW_REQUIRED</x:v>
      </x:c>
    </x:row>
    <x:row r="334">
      <x:c r="A334" s="45" t="str">
        <x:v>AVI_CT_6</x:v>
      </x:c>
      <x:c r="B334" s="45" t="str">
        <x:v>AVI threshold = 6 mg/L</x:v>
      </x:c>
      <x:c r="C334" s="45" t="str">
        <x:v>R12</x:v>
      </x:c>
      <x:c r="D334" s="45" t="str">
        <x:v>91–120</x:v>
      </x:c>
      <x:c r="E334" s="45" t="n">
        <x:v>2.5</x:v>
      </x:c>
      <x:c r="F334" s="45" t="n">
        <x:v>6</x:v>
      </x:c>
      <x:c r="G334" s="45" t="str">
        <x:v>LEE2022_KPC_KP</x:v>
      </x:c>
      <x:c r="H334" s="45" t="str">
        <x:v>KPC-like CR-K. pneumoniae, ATLAS 2020</x:v>
      </x:c>
      <x:c r="I334" s="102" t="n">
        <x:v>98.59763852242745</x:v>
      </x:c>
      <x:c r="J334" s="102" t="n">
        <x:v>72.045</x:v>
      </x:c>
      <x:c r="K334" s="102" t="n">
        <x:v>71.65300791556729</x:v>
      </x:c>
      <x:c r="L334" s="102" t="n">
        <x:v>-15.837717678100262</x:v>
      </x:c>
      <x:c r="M334" s="102" t="n">
        <x:v>72.045</x:v>
      </x:c>
      <x:c r="N334" s="102" t="n">
        <x:v>-15.715000000000003</x:v>
      </x:c>
      <x:c r="O334" s="102" t="n">
        <x:v>11.82</x:v>
      </x:c>
      <x:c r="P334" s="102" t="n">
        <x:v>0</x:v>
      </x:c>
      <x:c r="Q334" s="45" t="str">
        <x:v>USER_INPUT</x:v>
      </x:c>
      <x:c r="R334" s="45" t="str">
        <x:v>SCENARIO_GENERATION</x:v>
      </x:c>
      <x:c r="S334" s="45" t="str">
        <x:v>USER_REVIEW_REQUIRED</x:v>
      </x:c>
    </x:row>
    <x:row r="335">
      <x:c r="A335" s="45" t="str">
        <x:v>AVI_CT_6</x:v>
      </x:c>
      <x:c r="B335" s="45" t="str">
        <x:v>AVI threshold = 6 mg/L</x:v>
      </x:c>
      <x:c r="C335" s="45" t="str">
        <x:v>R12</x:v>
      </x:c>
      <x:c r="D335" s="45" t="str">
        <x:v>91–120</x:v>
      </x:c>
      <x:c r="E335" s="45" t="n">
        <x:v>2.5</x:v>
      </x:c>
      <x:c r="F335" s="45" t="n">
        <x:v>6</x:v>
      </x:c>
      <x:c r="G335" s="45" t="str">
        <x:v>LEE2022_OXA_KP</x:v>
      </x:c>
      <x:c r="H335" s="45" t="str">
        <x:v>OXA-like CR-K. pneumoniae, ATLAS 2020</x:v>
      </x:c>
      <x:c r="I335" s="102" t="n">
        <x:v>98.37855932203391</x:v>
      </x:c>
      <x:c r="J335" s="102" t="n">
        <x:v>72.045</x:v>
      </x:c>
      <x:c r="K335" s="102" t="n">
        <x:v>71.11504237288135</x:v>
      </x:c>
      <x:c r="L335" s="102" t="n">
        <x:v>-15.824427966101709</x:v>
      </x:c>
      <x:c r="M335" s="102" t="n">
        <x:v>72.045</x:v>
      </x:c>
      <x:c r="N335" s="102" t="n">
        <x:v>-15.715000000000003</x:v>
      </x:c>
      <x:c r="O335" s="102" t="n">
        <x:v>11.82</x:v>
      </x:c>
      <x:c r="P335" s="102" t="n">
        <x:v>0</x:v>
      </x:c>
      <x:c r="Q335" s="45" t="str">
        <x:v>USER_INPUT</x:v>
      </x:c>
      <x:c r="R335" s="45" t="str">
        <x:v>SCENARIO_GENERATION</x:v>
      </x:c>
      <x:c r="S335" s="45" t="str">
        <x:v>USER_REVIEW_REQUIRED</x:v>
      </x:c>
    </x:row>
    <x:row r="336">
      <x:c r="A336" s="45" t="str">
        <x:v>AVI_CT_6</x:v>
      </x:c>
      <x:c r="B336" s="45" t="str">
        <x:v>AVI threshold = 6 mg/L</x:v>
      </x:c>
      <x:c r="C336" s="45" t="str">
        <x:v>R12</x:v>
      </x:c>
      <x:c r="D336" s="45" t="str">
        <x:v>91–120</x:v>
      </x:c>
      <x:c r="E336" s="45" t="n">
        <x:v>2.5</x:v>
      </x:c>
      <x:c r="F336" s="45" t="n">
        <x:v>6</x:v>
      </x:c>
      <x:c r="G336" s="45" t="str">
        <x:v>INDIA2022_OXA48_KP</x:v>
      </x:c>
      <x:c r="H336" s="45" t="str">
        <x:v>OXA-48-like CR-K. pneumoniae, India</x:v>
      </x:c>
      <x:c r="I336" s="102" t="n">
        <x:v>96.21154411764707</x:v>
      </x:c>
      <x:c r="J336" s="102" t="n">
        <x:v>72.04500000000002</x:v>
      </x:c>
      <x:c r="K336" s="102" t="n">
        <x:v>69.45569852941178</x:v>
      </x:c>
      <x:c r="L336" s="102" t="n">
        <x:v>-15.494889705882343</x:v>
      </x:c>
      <x:c r="M336" s="102" t="n">
        <x:v>72.045</x:v>
      </x:c>
      <x:c r="N336" s="102" t="n">
        <x:v>-15.715000000000003</x:v>
      </x:c>
      <x:c r="O336" s="102" t="n">
        <x:v>11.82</x:v>
      </x:c>
      <x:c r="P336" s="102" t="n">
        <x:v>0</x:v>
      </x:c>
      <x:c r="Q336" s="45" t="str">
        <x:v>USER_INPUT</x:v>
      </x:c>
      <x:c r="R336" s="45" t="str">
        <x:v>SCENARIO_GENERATION</x:v>
      </x:c>
      <x:c r="S336" s="45" t="str">
        <x:v>USER_REVIEW_REQUIRED</x:v>
      </x:c>
    </x:row>
    <x:row r="337">
      <x:c r="A337" s="45" t="str">
        <x:v>AVI_CT_6</x:v>
      </x:c>
      <x:c r="B337" s="45" t="str">
        <x:v>AVI threshold = 6 mg/L</x:v>
      </x:c>
      <x:c r="C337" s="45" t="str">
        <x:v>R12</x:v>
      </x:c>
      <x:c r="D337" s="45" t="str">
        <x:v>91–120</x:v>
      </x:c>
      <x:c r="E337" s="45" t="n">
        <x:v>2.5</x:v>
      </x:c>
      <x:c r="F337" s="45" t="n">
        <x:v>6</x:v>
      </x:c>
      <x:c r="G337" s="45" t="str">
        <x:v>FR2024_OXA484_SERINE_ONLY</x:v>
      </x:c>
      <x:c r="H337" s="45" t="str">
        <x:v>French OXA-484 Enterobacterales, serine-only</x:v>
      </x:c>
      <x:c r="I337" s="102" t="n">
        <x:v>99.84516666666667</x:v>
      </x:c>
      <x:c r="J337" s="102" t="n">
        <x:v>72.045</x:v>
      </x:c>
      <x:c r="K337" s="102" t="n">
        <x:v>72.045</x:v>
      </x:c>
      <x:c r="L337" s="102" t="n">
        <x:v>-16.08866666666667</x:v>
      </x:c>
      <x:c r="M337" s="102" t="n">
        <x:v>72.045</x:v>
      </x:c>
      <x:c r="N337" s="102" t="n">
        <x:v>-15.715000000000003</x:v>
      </x:c>
      <x:c r="O337" s="102" t="n">
        <x:v>11.82</x:v>
      </x:c>
      <x:c r="P337" s="102" t="n">
        <x:v>0</x:v>
      </x:c>
      <x:c r="Q337" s="45" t="str">
        <x:v>USER_INPUT</x:v>
      </x:c>
      <x:c r="R337" s="45" t="str">
        <x:v>SCENARIO_GENERATION</x:v>
      </x:c>
      <x:c r="S337" s="45" t="str">
        <x:v>USER_REVIEW_REQUIRED</x:v>
      </x:c>
    </x:row>
    <x:row r="338">
      <x:c r="A338" s="45" t="str">
        <x:v>AVI_CT_6</x:v>
      </x:c>
      <x:c r="B338" s="45" t="str">
        <x:v>AVI threshold = 6 mg/L</x:v>
      </x:c>
      <x:c r="C338" s="45" t="str">
        <x:v>R13</x:v>
      </x:c>
      <x:c r="D338" s="45" t="str">
        <x:v>121–150</x:v>
      </x:c>
      <x:c r="E338" s="45" t="n">
        <x:v>2.5</x:v>
      </x:c>
      <x:c r="F338" s="45" t="n">
        <x:v>6</x:v>
      </x:c>
      <x:c r="G338" s="45" t="str">
        <x:v>LEE2022_KPC_KP</x:v>
      </x:c>
      <x:c r="H338" s="45" t="str">
        <x:v>KPC-like CR-K. pneumoniae, ATLAS 2020</x:v>
      </x:c>
      <x:c r="I338" s="102" t="n">
        <x:v>98.02172823218997</x:v>
      </x:c>
      <x:c r="J338" s="102" t="n">
        <x:v>60.64000000000001</x:v>
      </x:c>
      <x:c r="K338" s="102" t="n">
        <x:v>60.284643799472306</x:v>
      </x:c>
      <x:c r="L338" s="102" t="n">
        <x:v>-19.45250659630605</x:v>
      </x:c>
      <x:c r="M338" s="102" t="n">
        <x:v>60.63499999999999</x:v>
      </x:c>
      <x:c r="N338" s="102" t="n">
        <x:v>-19.38000000000001</x:v>
      </x:c>
      <x:c r="O338" s="102" t="n">
        <x:v>7.045</x:v>
      </x:c>
      <x:c r="P338" s="102" t="n">
        <x:v>0</x:v>
      </x:c>
      <x:c r="Q338" s="45" t="str">
        <x:v>USER_INPUT</x:v>
      </x:c>
      <x:c r="R338" s="45" t="str">
        <x:v>SCENARIO_GENERATION</x:v>
      </x:c>
      <x:c r="S338" s="45" t="str">
        <x:v>USER_REVIEW_REQUIRED</x:v>
      </x:c>
    </x:row>
    <x:row r="339">
      <x:c r="A339" s="45" t="str">
        <x:v>AVI_CT_6</x:v>
      </x:c>
      <x:c r="B339" s="45" t="str">
        <x:v>AVI threshold = 6 mg/L</x:v>
      </x:c>
      <x:c r="C339" s="45" t="str">
        <x:v>R13</x:v>
      </x:c>
      <x:c r="D339" s="45" t="str">
        <x:v>121–150</x:v>
      </x:c>
      <x:c r="E339" s="45" t="n">
        <x:v>2.5</x:v>
      </x:c>
      <x:c r="F339" s="45" t="n">
        <x:v>6</x:v>
      </x:c>
      <x:c r="G339" s="45" t="str">
        <x:v>LEE2022_OXA_KP</x:v>
      </x:c>
      <x:c r="H339" s="45" t="str">
        <x:v>OXA-like CR-K. pneumoniae, ATLAS 2020</x:v>
      </x:c>
      <x:c r="I339" s="102" t="n">
        <x:v>98.12555084745763</x:v>
      </x:c>
      <x:c r="J339" s="102" t="n">
        <x:v>60.640000000000015</x:v>
      </x:c>
      <x:c r="K339" s="102" t="n">
        <x:v>59.844703389830514</x:v>
      </x:c>
      <x:c r="L339" s="102" t="n">
        <x:v>-19.430444915254242</x:v>
      </x:c>
      <x:c r="M339" s="102" t="n">
        <x:v>60.63499999999999</x:v>
      </x:c>
      <x:c r="N339" s="102" t="n">
        <x:v>-19.38000000000001</x:v>
      </x:c>
      <x:c r="O339" s="102" t="n">
        <x:v>7.045</x:v>
      </x:c>
      <x:c r="P339" s="102" t="n">
        <x:v>0</x:v>
      </x:c>
      <x:c r="Q339" s="45" t="str">
        <x:v>USER_INPUT</x:v>
      </x:c>
      <x:c r="R339" s="45" t="str">
        <x:v>SCENARIO_GENERATION</x:v>
      </x:c>
      <x:c r="S339" s="45" t="str">
        <x:v>USER_REVIEW_REQUIRED</x:v>
      </x:c>
    </x:row>
    <x:row r="340">
      <x:c r="A340" s="45" t="str">
        <x:v>AVI_CT_6</x:v>
      </x:c>
      <x:c r="B340" s="45" t="str">
        <x:v>AVI threshold = 6 mg/L</x:v>
      </x:c>
      <x:c r="C340" s="45" t="str">
        <x:v>R13</x:v>
      </x:c>
      <x:c r="D340" s="45" t="str">
        <x:v>121–150</x:v>
      </x:c>
      <x:c r="E340" s="45" t="n">
        <x:v>2.5</x:v>
      </x:c>
      <x:c r="F340" s="45" t="n">
        <x:v>6</x:v>
      </x:c>
      <x:c r="G340" s="45" t="str">
        <x:v>INDIA2022_OXA48_KP</x:v>
      </x:c>
      <x:c r="H340" s="45" t="str">
        <x:v>OXA-48-like CR-K. pneumoniae, India</x:v>
      </x:c>
      <x:c r="I340" s="102" t="n">
        <x:v>96.03632352941177</x:v>
      </x:c>
      <x:c r="J340" s="102" t="n">
        <x:v>60.64</x:v>
      </x:c>
      <x:c r="K340" s="102" t="n">
        <x:v>58.43783088235294</x:v>
      </x:c>
      <x:c r="L340" s="102" t="n">
        <x:v>-19.02514705882355</x:v>
      </x:c>
      <x:c r="M340" s="102" t="n">
        <x:v>60.63499999999999</x:v>
      </x:c>
      <x:c r="N340" s="102" t="n">
        <x:v>-19.38000000000001</x:v>
      </x:c>
      <x:c r="O340" s="102" t="n">
        <x:v>7.045</x:v>
      </x:c>
      <x:c r="P340" s="102" t="n">
        <x:v>0</x:v>
      </x:c>
      <x:c r="Q340" s="45" t="str">
        <x:v>USER_INPUT</x:v>
      </x:c>
      <x:c r="R340" s="45" t="str">
        <x:v>SCENARIO_GENERATION</x:v>
      </x:c>
      <x:c r="S340" s="45" t="str">
        <x:v>USER_REVIEW_REQUIRED</x:v>
      </x:c>
    </x:row>
    <x:row r="341">
      <x:c r="A341" s="45" t="str">
        <x:v>AVI_CT_6</x:v>
      </x:c>
      <x:c r="B341" s="45" t="str">
        <x:v>AVI threshold = 6 mg/L</x:v>
      </x:c>
      <x:c r="C341" s="45" t="str">
        <x:v>R13</x:v>
      </x:c>
      <x:c r="D341" s="45" t="str">
        <x:v>121–150</x:v>
      </x:c>
      <x:c r="E341" s="45" t="n">
        <x:v>2.5</x:v>
      </x:c>
      <x:c r="F341" s="45" t="n">
        <x:v>6</x:v>
      </x:c>
      <x:c r="G341" s="45" t="str">
        <x:v>FR2024_OXA484_SERINE_ONLY</x:v>
      </x:c>
      <x:c r="H341" s="45" t="str">
        <x:v>French OXA-484 Enterobacterales, serine-only</x:v>
      </x:c>
      <x:c r="I341" s="102" t="n">
        <x:v>99.71316666666667</x:v>
      </x:c>
      <x:c r="J341" s="102" t="n">
        <x:v>60.64</x:v>
      </x:c>
      <x:c r="K341" s="102" t="n">
        <x:v>60.63991666666667</x:v>
      </x:c>
      <x:c r="L341" s="102" t="n">
        <x:v>-19.753666666666668</x:v>
      </x:c>
      <x:c r="M341" s="102" t="n">
        <x:v>60.63499999999999</x:v>
      </x:c>
      <x:c r="N341" s="102" t="n">
        <x:v>-19.38000000000001</x:v>
      </x:c>
      <x:c r="O341" s="102" t="n">
        <x:v>7.045</x:v>
      </x:c>
      <x:c r="P341" s="102" t="n">
        <x:v>0</x:v>
      </x:c>
      <x:c r="Q341" s="45" t="str">
        <x:v>USER_INPUT</x:v>
      </x:c>
      <x:c r="R341" s="45" t="str">
        <x:v>SCENARIO_GENERATION</x:v>
      </x:c>
      <x:c r="S341" s="45" t="str">
        <x:v>USER_REVIEW_REQUIRED</x:v>
      </x:c>
    </x:row>
    <x:row r="342">
      <x:c r="A342" s="45" t="str">
        <x:v>TOX_80</x:v>
      </x:c>
      <x:c r="B342" s="45" t="str">
        <x:v>CAZ toxicity threshold = 80 mg/L</x:v>
      </x:c>
      <x:c r="C342" s="45" t="str">
        <x:v>R1</x:v>
      </x:c>
      <x:c r="D342" s="45" t="str">
        <x:v>0–30</x:v>
      </x:c>
      <x:c r="E342" s="45" t="n">
        <x:v>0.625</x:v>
      </x:c>
      <x:c r="F342" s="45" t="n">
        <x:v>12</x:v>
      </x:c>
      <x:c r="G342" s="45" t="str">
        <x:v>LEE2022_KPC_KP</x:v>
      </x:c>
      <x:c r="H342" s="45" t="str">
        <x:v>KPC-like CR-K. pneumoniae, ATLAS 2020</x:v>
      </x:c>
      <x:c r="I342" s="102" t="n">
        <x:v>93.65485488126649</x:v>
      </x:c>
      <x:c r="J342" s="102" t="n">
        <x:v>74.22</x:v>
      </x:c>
      <x:c r="K342" s="102" t="n">
        <x:v>72.80412928759894</x:v>
      </x:c>
      <x:c r="L342" s="102" t="n">
        <x:v>0</x:v>
      </x:c>
      <x:c r="M342" s="102" t="n">
        <x:v>66.425</x:v>
      </x:c>
      <x:c r="N342" s="102" t="n">
        <x:v>0</x:v>
      </x:c>
      <x:c r="O342" s="102" t="n">
        <x:v>13.36</x:v>
      </x:c>
      <x:c r="P342" s="102" t="n">
        <x:v>3.9399999999999995</x:v>
      </x:c>
      <x:c r="Q342" s="45" t="str">
        <x:v>USER_INPUT</x:v>
      </x:c>
      <x:c r="R342" s="45" t="str">
        <x:v>SCENARIO_GENERATION</x:v>
      </x:c>
      <x:c r="S342" s="45" t="str">
        <x:v>USER_REVIEW_REQUIRED</x:v>
      </x:c>
    </x:row>
    <x:row r="343">
      <x:c r="A343" s="45" t="str">
        <x:v>TOX_80</x:v>
      </x:c>
      <x:c r="B343" s="45" t="str">
        <x:v>CAZ toxicity threshold = 80 mg/L</x:v>
      </x:c>
      <x:c r="C343" s="45" t="str">
        <x:v>R1</x:v>
      </x:c>
      <x:c r="D343" s="45" t="str">
        <x:v>0–30</x:v>
      </x:c>
      <x:c r="E343" s="45" t="n">
        <x:v>0.625</x:v>
      </x:c>
      <x:c r="F343" s="45" t="n">
        <x:v>12</x:v>
      </x:c>
      <x:c r="G343" s="45" t="str">
        <x:v>LEE2022_OXA_KP</x:v>
      </x:c>
      <x:c r="H343" s="45" t="str">
        <x:v>OXA-like CR-K. pneumoniae, ATLAS 2020</x:v>
      </x:c>
      <x:c r="I343" s="102" t="n">
        <x:v>95.5652966101695</x:v>
      </x:c>
      <x:c r="J343" s="102" t="n">
        <x:v>74.22</x:v>
      </x:c>
      <x:c r="K343" s="102" t="n">
        <x:v>72.95300847457627</x:v>
      </x:c>
      <x:c r="L343" s="102" t="n">
        <x:v>0</x:v>
      </x:c>
      <x:c r="M343" s="102" t="n">
        <x:v>66.425</x:v>
      </x:c>
      <x:c r="N343" s="102" t="n">
        <x:v>0</x:v>
      </x:c>
      <x:c r="O343" s="102" t="n">
        <x:v>13.36</x:v>
      </x:c>
      <x:c r="P343" s="102" t="n">
        <x:v>3.9399999999999995</x:v>
      </x:c>
      <x:c r="Q343" s="45" t="str">
        <x:v>USER_INPUT</x:v>
      </x:c>
      <x:c r="R343" s="45" t="str">
        <x:v>SCENARIO_GENERATION</x:v>
      </x:c>
      <x:c r="S343" s="45" t="str">
        <x:v>USER_REVIEW_REQUIRED</x:v>
      </x:c>
    </x:row>
    <x:row r="344">
      <x:c r="A344" s="45" t="str">
        <x:v>TOX_80</x:v>
      </x:c>
      <x:c r="B344" s="45" t="str">
        <x:v>CAZ toxicity threshold = 80 mg/L</x:v>
      </x:c>
      <x:c r="C344" s="45" t="str">
        <x:v>R1</x:v>
      </x:c>
      <x:c r="D344" s="45" t="str">
        <x:v>0–30</x:v>
      </x:c>
      <x:c r="E344" s="45" t="n">
        <x:v>0.625</x:v>
      </x:c>
      <x:c r="F344" s="45" t="n">
        <x:v>12</x:v>
      </x:c>
      <x:c r="G344" s="45" t="str">
        <x:v>INDIA2022_OXA48_KP</x:v>
      </x:c>
      <x:c r="H344" s="45" t="str">
        <x:v>OXA-48-like CR-K. pneumoniae, India</x:v>
      </x:c>
      <x:c r="I344" s="102" t="n">
        <x:v>94.45033088235294</x:v>
      </x:c>
      <x:c r="J344" s="102" t="n">
        <x:v>74.22000000000001</x:v>
      </x:c>
      <x:c r="K344" s="102" t="n">
        <x:v>71.44227941176472</x:v>
      </x:c>
      <x:c r="L344" s="102" t="n">
        <x:v>0</x:v>
      </x:c>
      <x:c r="M344" s="102" t="n">
        <x:v>66.425</x:v>
      </x:c>
      <x:c r="N344" s="102" t="n">
        <x:v>0</x:v>
      </x:c>
      <x:c r="O344" s="102" t="n">
        <x:v>13.36</x:v>
      </x:c>
      <x:c r="P344" s="102" t="n">
        <x:v>3.9399999999999995</x:v>
      </x:c>
      <x:c r="Q344" s="45" t="str">
        <x:v>USER_INPUT</x:v>
      </x:c>
      <x:c r="R344" s="45" t="str">
        <x:v>SCENARIO_GENERATION</x:v>
      </x:c>
      <x:c r="S344" s="45" t="str">
        <x:v>USER_REVIEW_REQUIRED</x:v>
      </x:c>
    </x:row>
    <x:row r="345">
      <x:c r="A345" s="45" t="str">
        <x:v>TOX_80</x:v>
      </x:c>
      <x:c r="B345" s="45" t="str">
        <x:v>CAZ toxicity threshold = 80 mg/L</x:v>
      </x:c>
      <x:c r="C345" s="45" t="str">
        <x:v>R1</x:v>
      </x:c>
      <x:c r="D345" s="45" t="str">
        <x:v>0–30</x:v>
      </x:c>
      <x:c r="E345" s="45" t="n">
        <x:v>0.625</x:v>
      </x:c>
      <x:c r="F345" s="45" t="n">
        <x:v>12</x:v>
      </x:c>
      <x:c r="G345" s="45" t="str">
        <x:v>FR2024_OXA484_SERINE_ONLY</x:v>
      </x:c>
      <x:c r="H345" s="45" t="str">
        <x:v>French OXA-484 Enterobacterales, serine-only</x:v>
      </x:c>
      <x:c r="I345" s="102" t="n">
        <x:v>98.06408333333334</x:v>
      </x:c>
      <x:c r="J345" s="102" t="n">
        <x:v>74.22</x:v>
      </x:c>
      <x:c r="K345" s="102" t="n">
        <x:v>74.08933333333334</x:v>
      </x:c>
      <x:c r="L345" s="102" t="n">
        <x:v>0</x:v>
      </x:c>
      <x:c r="M345" s="102" t="n">
        <x:v>66.425</x:v>
      </x:c>
      <x:c r="N345" s="102" t="n">
        <x:v>0</x:v>
      </x:c>
      <x:c r="O345" s="102" t="n">
        <x:v>13.36</x:v>
      </x:c>
      <x:c r="P345" s="102" t="n">
        <x:v>3.9399999999999995</x:v>
      </x:c>
      <x:c r="Q345" s="45" t="str">
        <x:v>USER_INPUT</x:v>
      </x:c>
      <x:c r="R345" s="45" t="str">
        <x:v>SCENARIO_GENERATION</x:v>
      </x:c>
      <x:c r="S345" s="45" t="str">
        <x:v>USER_REVIEW_REQUIRED</x:v>
      </x:c>
    </x:row>
    <x:row r="346">
      <x:c r="A346" s="45" t="str">
        <x:v>TOX_80</x:v>
      </x:c>
      <x:c r="B346" s="45" t="str">
        <x:v>CAZ toxicity threshold = 80 mg/L</x:v>
      </x:c>
      <x:c r="C346" s="45" t="str">
        <x:v>R8</x:v>
      </x:c>
      <x:c r="D346" s="45" t="str">
        <x:v>31–60</x:v>
      </x:c>
      <x:c r="E346" s="45" t="n">
        <x:v>2.5</x:v>
      </x:c>
      <x:c r="F346" s="45" t="n">
        <x:v>12</x:v>
      </x:c>
      <x:c r="G346" s="45" t="str">
        <x:v>LEE2022_KPC_KP</x:v>
      </x:c>
      <x:c r="H346" s="45" t="str">
        <x:v>KPC-like CR-K. pneumoniae, ATLAS 2020</x:v>
      </x:c>
      <x:c r="I346" s="102" t="n">
        <x:v>98.2425857519789</x:v>
      </x:c>
      <x:c r="J346" s="102" t="n">
        <x:v>89.22500000000001</x:v>
      </x:c>
      <x:c r="K346" s="102" t="n">
        <x:v>88.41282321899736</x:v>
      </x:c>
      <x:c r="L346" s="102" t="n">
        <x:v>0</x:v>
      </x:c>
      <x:c r="M346" s="102" t="n">
        <x:v>87.985</x:v>
      </x:c>
      <x:c r="N346" s="102" t="n">
        <x:v>0</x:v>
      </x:c>
      <x:c r="O346" s="102" t="n">
        <x:v>18.915000000000003</x:v>
      </x:c>
      <x:c r="P346" s="102" t="n">
        <x:v>9.295000000000003</x:v>
      </x:c>
      <x:c r="Q346" s="45" t="str">
        <x:v>USER_INPUT</x:v>
      </x:c>
      <x:c r="R346" s="45" t="str">
        <x:v>SCENARIO_GENERATION</x:v>
      </x:c>
      <x:c r="S346" s="45" t="str">
        <x:v>USER_REVIEW_REQUIRED</x:v>
      </x:c>
    </x:row>
    <x:row r="347">
      <x:c r="A347" s="45" t="str">
        <x:v>TOX_80</x:v>
      </x:c>
      <x:c r="B347" s="45" t="str">
        <x:v>CAZ toxicity threshold = 80 mg/L</x:v>
      </x:c>
      <x:c r="C347" s="45" t="str">
        <x:v>R8</x:v>
      </x:c>
      <x:c r="D347" s="45" t="str">
        <x:v>31–60</x:v>
      </x:c>
      <x:c r="E347" s="45" t="n">
        <x:v>2.5</x:v>
      </x:c>
      <x:c r="F347" s="45" t="n">
        <x:v>12</x:v>
      </x:c>
      <x:c r="G347" s="45" t="str">
        <x:v>LEE2022_OXA_KP</x:v>
      </x:c>
      <x:c r="H347" s="45" t="str">
        <x:v>OXA-like CR-K. pneumoniae, ATLAS 2020</x:v>
      </x:c>
      <x:c r="I347" s="102" t="n">
        <x:v>98.22625000000002</x:v>
      </x:c>
      <x:c r="J347" s="102" t="n">
        <x:v>89.22500000000001</x:v>
      </x:c>
      <x:c r="K347" s="102" t="n">
        <x:v>87.95485169491526</x:v>
      </x:c>
      <x:c r="L347" s="102" t="n">
        <x:v>0</x:v>
      </x:c>
      <x:c r="M347" s="102" t="n">
        <x:v>87.985</x:v>
      </x:c>
      <x:c r="N347" s="102" t="n">
        <x:v>0</x:v>
      </x:c>
      <x:c r="O347" s="102" t="n">
        <x:v>18.915000000000003</x:v>
      </x:c>
      <x:c r="P347" s="102" t="n">
        <x:v>9.295000000000003</x:v>
      </x:c>
      <x:c r="Q347" s="45" t="str">
        <x:v>USER_INPUT</x:v>
      </x:c>
      <x:c r="R347" s="45" t="str">
        <x:v>SCENARIO_GENERATION</x:v>
      </x:c>
      <x:c r="S347" s="45" t="str">
        <x:v>USER_REVIEW_REQUIRED</x:v>
      </x:c>
    </x:row>
    <x:row r="348">
      <x:c r="A348" s="45" t="str">
        <x:v>TOX_80</x:v>
      </x:c>
      <x:c r="B348" s="45" t="str">
        <x:v>CAZ toxicity threshold = 80 mg/L</x:v>
      </x:c>
      <x:c r="C348" s="45" t="str">
        <x:v>R8</x:v>
      </x:c>
      <x:c r="D348" s="45" t="str">
        <x:v>31–60</x:v>
      </x:c>
      <x:c r="E348" s="45" t="n">
        <x:v>2.5</x:v>
      </x:c>
      <x:c r="F348" s="45" t="n">
        <x:v>12</x:v>
      </x:c>
      <x:c r="G348" s="45" t="str">
        <x:v>INDIA2022_OXA48_KP</x:v>
      </x:c>
      <x:c r="H348" s="45" t="str">
        <x:v>OXA-48-like CR-K. pneumoniae, India</x:v>
      </x:c>
      <x:c r="I348" s="102" t="n">
        <x:v>96.11161764705881</x:v>
      </x:c>
      <x:c r="J348" s="102" t="n">
        <x:v>89.22500000000001</x:v>
      </x:c>
      <x:c r="K348" s="102" t="n">
        <x:v>85.96338235294118</x:v>
      </x:c>
      <x:c r="L348" s="102" t="n">
        <x:v>0</x:v>
      </x:c>
      <x:c r="M348" s="102" t="n">
        <x:v>87.985</x:v>
      </x:c>
      <x:c r="N348" s="102" t="n">
        <x:v>0</x:v>
      </x:c>
      <x:c r="O348" s="102" t="n">
        <x:v>18.915000000000003</x:v>
      </x:c>
      <x:c r="P348" s="102" t="n">
        <x:v>9.295000000000003</x:v>
      </x:c>
      <x:c r="Q348" s="45" t="str">
        <x:v>USER_INPUT</x:v>
      </x:c>
      <x:c r="R348" s="45" t="str">
        <x:v>SCENARIO_GENERATION</x:v>
      </x:c>
      <x:c r="S348" s="45" t="str">
        <x:v>USER_REVIEW_REQUIRED</x:v>
      </x:c>
    </x:row>
    <x:row r="349">
      <x:c r="A349" s="45" t="str">
        <x:v>TOX_80</x:v>
      </x:c>
      <x:c r="B349" s="45" t="str">
        <x:v>CAZ toxicity threshold = 80 mg/L</x:v>
      </x:c>
      <x:c r="C349" s="45" t="str">
        <x:v>R8</x:v>
      </x:c>
      <x:c r="D349" s="45" t="str">
        <x:v>31–60</x:v>
      </x:c>
      <x:c r="E349" s="45" t="n">
        <x:v>2.5</x:v>
      </x:c>
      <x:c r="F349" s="45" t="n">
        <x:v>12</x:v>
      </x:c>
      <x:c r="G349" s="45" t="str">
        <x:v>FR2024_OXA484_SERINE_ONLY</x:v>
      </x:c>
      <x:c r="H349" s="45" t="str">
        <x:v>French OXA-484 Enterobacterales, serine-only</x:v>
      </x:c>
      <x:c r="I349" s="102" t="n">
        <x:v>99.76208333333334</x:v>
      </x:c>
      <x:c r="J349" s="102" t="n">
        <x:v>89.22499999999998</x:v>
      </x:c>
      <x:c r="K349" s="102" t="n">
        <x:v>89.20433333333331</x:v>
      </x:c>
      <x:c r="L349" s="102" t="n">
        <x:v>0</x:v>
      </x:c>
      <x:c r="M349" s="102" t="n">
        <x:v>87.985</x:v>
      </x:c>
      <x:c r="N349" s="102" t="n">
        <x:v>0</x:v>
      </x:c>
      <x:c r="O349" s="102" t="n">
        <x:v>18.915000000000003</x:v>
      </x:c>
      <x:c r="P349" s="102" t="n">
        <x:v>9.295000000000003</x:v>
      </x:c>
      <x:c r="Q349" s="45" t="str">
        <x:v>USER_INPUT</x:v>
      </x:c>
      <x:c r="R349" s="45" t="str">
        <x:v>SCENARIO_GENERATION</x:v>
      </x:c>
      <x:c r="S349" s="45" t="str">
        <x:v>USER_REVIEW_REQUIRED</x:v>
      </x:c>
    </x:row>
    <x:row r="350">
      <x:c r="A350" s="45" t="str">
        <x:v>TOX_80</x:v>
      </x:c>
      <x:c r="B350" s="45" t="str">
        <x:v>CAZ toxicity threshold = 80 mg/L</x:v>
      </x:c>
      <x:c r="C350" s="45" t="str">
        <x:v>R10</x:v>
      </x:c>
      <x:c r="D350" s="45" t="str">
        <x:v>61–90</x:v>
      </x:c>
      <x:c r="E350" s="45" t="n">
        <x:v>2.5</x:v>
      </x:c>
      <x:c r="F350" s="45" t="n">
        <x:v>8</x:v>
      </x:c>
      <x:c r="G350" s="45" t="str">
        <x:v>LEE2022_KPC_KP</x:v>
      </x:c>
      <x:c r="H350" s="45" t="str">
        <x:v>KPC-like CR-K. pneumoniae, ATLAS 2020</x:v>
      </x:c>
      <x:c r="I350" s="102" t="n">
        <x:v>98.4327308707124</x:v>
      </x:c>
      <x:c r="J350" s="102" t="n">
        <x:v>88.14</x:v>
      </x:c>
      <x:c r="K350" s="102" t="n">
        <x:v>87.42915567282323</x:v>
      </x:c>
      <x:c r="L350" s="102" t="n">
        <x:v>0</x:v>
      </x:c>
      <x:c r="M350" s="102" t="n">
        <x:v>87.535</x:v>
      </x:c>
      <x:c r="N350" s="102" t="n">
        <x:v>0</x:v>
      </x:c>
      <x:c r="O350" s="102" t="n">
        <x:v>20.43</x:v>
      </x:c>
      <x:c r="P350" s="102" t="n">
        <x:v>9.765</x:v>
      </x:c>
      <x:c r="Q350" s="45" t="str">
        <x:v>USER_INPUT</x:v>
      </x:c>
      <x:c r="R350" s="45" t="str">
        <x:v>SCENARIO_GENERATION</x:v>
      </x:c>
      <x:c r="S350" s="45" t="str">
        <x:v>USER_REVIEW_REQUIRED</x:v>
      </x:c>
    </x:row>
    <x:row r="351">
      <x:c r="A351" s="45" t="str">
        <x:v>TOX_80</x:v>
      </x:c>
      <x:c r="B351" s="45" t="str">
        <x:v>CAZ toxicity threshold = 80 mg/L</x:v>
      </x:c>
      <x:c r="C351" s="45" t="str">
        <x:v>R10</x:v>
      </x:c>
      <x:c r="D351" s="45" t="str">
        <x:v>61–90</x:v>
      </x:c>
      <x:c r="E351" s="45" t="n">
        <x:v>2.5</x:v>
      </x:c>
      <x:c r="F351" s="45" t="n">
        <x:v>8</x:v>
      </x:c>
      <x:c r="G351" s="45" t="str">
        <x:v>LEE2022_OXA_KP</x:v>
      </x:c>
      <x:c r="H351" s="45" t="str">
        <x:v>OXA-like CR-K. pneumoniae, ATLAS 2020</x:v>
      </x:c>
      <x:c r="I351" s="102" t="n">
        <x:v>98.30724576271186</x:v>
      </x:c>
      <x:c r="J351" s="102" t="n">
        <x:v>88.14000000000003</x:v>
      </x:c>
      <x:c r="K351" s="102" t="n">
        <x:v>86.91703389830509</x:v>
      </x:c>
      <x:c r="L351" s="102" t="n">
        <x:v>0</x:v>
      </x:c>
      <x:c r="M351" s="102" t="n">
        <x:v>87.535</x:v>
      </x:c>
      <x:c r="N351" s="102" t="n">
        <x:v>0</x:v>
      </x:c>
      <x:c r="O351" s="102" t="n">
        <x:v>20.43</x:v>
      </x:c>
      <x:c r="P351" s="102" t="n">
        <x:v>9.765</x:v>
      </x:c>
      <x:c r="Q351" s="45" t="str">
        <x:v>USER_INPUT</x:v>
      </x:c>
      <x:c r="R351" s="45" t="str">
        <x:v>SCENARIO_GENERATION</x:v>
      </x:c>
      <x:c r="S351" s="45" t="str">
        <x:v>USER_REVIEW_REQUIRED</x:v>
      </x:c>
    </x:row>
    <x:row r="352">
      <x:c r="A352" s="45" t="str">
        <x:v>TOX_80</x:v>
      </x:c>
      <x:c r="B352" s="45" t="str">
        <x:v>CAZ toxicity threshold = 80 mg/L</x:v>
      </x:c>
      <x:c r="C352" s="45" t="str">
        <x:v>R10</x:v>
      </x:c>
      <x:c r="D352" s="45" t="str">
        <x:v>61–90</x:v>
      </x:c>
      <x:c r="E352" s="45" t="n">
        <x:v>2.5</x:v>
      </x:c>
      <x:c r="F352" s="45" t="n">
        <x:v>8</x:v>
      </x:c>
      <x:c r="G352" s="45" t="str">
        <x:v>INDIA2022_OXA48_KP</x:v>
      </x:c>
      <x:c r="H352" s="45" t="str">
        <x:v>OXA-48-like CR-K. pneumoniae, India</x:v>
      </x:c>
      <x:c r="I352" s="102" t="n">
        <x:v>96.16680147058821</x:v>
      </x:c>
      <x:c r="J352" s="102" t="n">
        <x:v>88.13999999999999</x:v>
      </x:c>
      <x:c r="K352" s="102" t="n">
        <x:v>84.93959558823529</x:v>
      </x:c>
      <x:c r="L352" s="102" t="n">
        <x:v>0</x:v>
      </x:c>
      <x:c r="M352" s="102" t="n">
        <x:v>87.535</x:v>
      </x:c>
      <x:c r="N352" s="102" t="n">
        <x:v>0</x:v>
      </x:c>
      <x:c r="O352" s="102" t="n">
        <x:v>20.43</x:v>
      </x:c>
      <x:c r="P352" s="102" t="n">
        <x:v>9.765</x:v>
      </x:c>
      <x:c r="Q352" s="45" t="str">
        <x:v>USER_INPUT</x:v>
      </x:c>
      <x:c r="R352" s="45" t="str">
        <x:v>SCENARIO_GENERATION</x:v>
      </x:c>
      <x:c r="S352" s="45" t="str">
        <x:v>USER_REVIEW_REQUIRED</x:v>
      </x:c>
    </x:row>
    <x:row r="353">
      <x:c r="A353" s="45" t="str">
        <x:v>TOX_80</x:v>
      </x:c>
      <x:c r="B353" s="45" t="str">
        <x:v>CAZ toxicity threshold = 80 mg/L</x:v>
      </x:c>
      <x:c r="C353" s="45" t="str">
        <x:v>R10</x:v>
      </x:c>
      <x:c r="D353" s="45" t="str">
        <x:v>61–90</x:v>
      </x:c>
      <x:c r="E353" s="45" t="n">
        <x:v>2.5</x:v>
      </x:c>
      <x:c r="F353" s="45" t="n">
        <x:v>8</x:v>
      </x:c>
      <x:c r="G353" s="45" t="str">
        <x:v>FR2024_OXA484_SERINE_ONLY</x:v>
      </x:c>
      <x:c r="H353" s="45" t="str">
        <x:v>French OXA-484 Enterobacterales, serine-only</x:v>
      </x:c>
      <x:c r="I353" s="102" t="n">
        <x:v>99.80858333333335</x:v>
      </x:c>
      <x:c r="J353" s="102" t="n">
        <x:v>88.14</x:v>
      </x:c>
      <x:c r="K353" s="102" t="n">
        <x:v>88.12991666666667</x:v>
      </x:c>
      <x:c r="L353" s="102" t="n">
        <x:v>0</x:v>
      </x:c>
      <x:c r="M353" s="102" t="n">
        <x:v>87.535</x:v>
      </x:c>
      <x:c r="N353" s="102" t="n">
        <x:v>0</x:v>
      </x:c>
      <x:c r="O353" s="102" t="n">
        <x:v>20.43</x:v>
      </x:c>
      <x:c r="P353" s="102" t="n">
        <x:v>9.765</x:v>
      </x:c>
      <x:c r="Q353" s="45" t="str">
        <x:v>USER_INPUT</x:v>
      </x:c>
      <x:c r="R353" s="45" t="str">
        <x:v>SCENARIO_GENERATION</x:v>
      </x:c>
      <x:c r="S353" s="45" t="str">
        <x:v>USER_REVIEW_REQUIRED</x:v>
      </x:c>
    </x:row>
    <x:row r="354">
      <x:c r="A354" s="45" t="str">
        <x:v>TOX_80</x:v>
      </x:c>
      <x:c r="B354" s="45" t="str">
        <x:v>CAZ toxicity threshold = 80 mg/L</x:v>
      </x:c>
      <x:c r="C354" s="45" t="str">
        <x:v>R12</x:v>
      </x:c>
      <x:c r="D354" s="45" t="str">
        <x:v>91–120</x:v>
      </x:c>
      <x:c r="E354" s="45" t="n">
        <x:v>2.5</x:v>
      </x:c>
      <x:c r="F354" s="45" t="n">
        <x:v>6</x:v>
      </x:c>
      <x:c r="G354" s="45" t="str">
        <x:v>LEE2022_KPC_KP</x:v>
      </x:c>
      <x:c r="H354" s="45" t="str">
        <x:v>KPC-like CR-K. pneumoniae, ATLAS 2020</x:v>
      </x:c>
      <x:c r="I354" s="102" t="n">
        <x:v>98.59763852242745</x:v>
      </x:c>
      <x:c r="J354" s="102" t="n">
        <x:v>88.14</x:v>
      </x:c>
      <x:c r="K354" s="102" t="n">
        <x:v>87.49072559366755</x:v>
      </x:c>
      <x:c r="L354" s="102" t="n">
        <x:v>0</x:v>
      </x:c>
      <x:c r="M354" s="102" t="n">
        <x:v>87.76</x:v>
      </x:c>
      <x:c r="N354" s="102" t="n">
        <x:v>0</x:v>
      </x:c>
      <x:c r="O354" s="102" t="n">
        <x:v>22.33</x:v>
      </x:c>
      <x:c r="P354" s="102" t="n">
        <x:v>10.509999999999998</x:v>
      </x:c>
      <x:c r="Q354" s="45" t="str">
        <x:v>USER_INPUT</x:v>
      </x:c>
      <x:c r="R354" s="45" t="str">
        <x:v>SCENARIO_GENERATION</x:v>
      </x:c>
      <x:c r="S354" s="45" t="str">
        <x:v>USER_REVIEW_REQUIRED</x:v>
      </x:c>
    </x:row>
    <x:row r="355">
      <x:c r="A355" s="45" t="str">
        <x:v>TOX_80</x:v>
      </x:c>
      <x:c r="B355" s="45" t="str">
        <x:v>CAZ toxicity threshold = 80 mg/L</x:v>
      </x:c>
      <x:c r="C355" s="45" t="str">
        <x:v>R12</x:v>
      </x:c>
      <x:c r="D355" s="45" t="str">
        <x:v>91–120</x:v>
      </x:c>
      <x:c r="E355" s="45" t="n">
        <x:v>2.5</x:v>
      </x:c>
      <x:c r="F355" s="45" t="n">
        <x:v>6</x:v>
      </x:c>
      <x:c r="G355" s="45" t="str">
        <x:v>LEE2022_OXA_KP</x:v>
      </x:c>
      <x:c r="H355" s="45" t="str">
        <x:v>OXA-like CR-K. pneumoniae, ATLAS 2020</x:v>
      </x:c>
      <x:c r="I355" s="102" t="n">
        <x:v>98.37855932203391</x:v>
      </x:c>
      <x:c r="J355" s="102" t="n">
        <x:v>88.14000000000003</x:v>
      </x:c>
      <x:c r="K355" s="102" t="n">
        <x:v>86.93947033898306</x:v>
      </x:c>
      <x:c r="L355" s="102" t="n">
        <x:v>0</x:v>
      </x:c>
      <x:c r="M355" s="102" t="n">
        <x:v>87.76</x:v>
      </x:c>
      <x:c r="N355" s="102" t="n">
        <x:v>0</x:v>
      </x:c>
      <x:c r="O355" s="102" t="n">
        <x:v>22.33</x:v>
      </x:c>
      <x:c r="P355" s="102" t="n">
        <x:v>10.509999999999998</x:v>
      </x:c>
      <x:c r="Q355" s="45" t="str">
        <x:v>USER_INPUT</x:v>
      </x:c>
      <x:c r="R355" s="45" t="str">
        <x:v>SCENARIO_GENERATION</x:v>
      </x:c>
      <x:c r="S355" s="45" t="str">
        <x:v>USER_REVIEW_REQUIRED</x:v>
      </x:c>
    </x:row>
    <x:row r="356">
      <x:c r="A356" s="45" t="str">
        <x:v>TOX_80</x:v>
      </x:c>
      <x:c r="B356" s="45" t="str">
        <x:v>CAZ toxicity threshold = 80 mg/L</x:v>
      </x:c>
      <x:c r="C356" s="45" t="str">
        <x:v>R12</x:v>
      </x:c>
      <x:c r="D356" s="45" t="str">
        <x:v>91–120</x:v>
      </x:c>
      <x:c r="E356" s="45" t="n">
        <x:v>2.5</x:v>
      </x:c>
      <x:c r="F356" s="45" t="n">
        <x:v>6</x:v>
      </x:c>
      <x:c r="G356" s="45" t="str">
        <x:v>INDIA2022_OXA48_KP</x:v>
      </x:c>
      <x:c r="H356" s="45" t="str">
        <x:v>OXA-48-like CR-K. pneumoniae, India</x:v>
      </x:c>
      <x:c r="I356" s="102" t="n">
        <x:v>96.21154411764707</x:v>
      </x:c>
      <x:c r="J356" s="102" t="n">
        <x:v>88.13999999999999</x:v>
      </x:c>
      <x:c r="K356" s="102" t="n">
        <x:v>84.95058823529412</x:v>
      </x:c>
      <x:c r="L356" s="102" t="n">
        <x:v>0</x:v>
      </x:c>
      <x:c r="M356" s="102" t="n">
        <x:v>87.76</x:v>
      </x:c>
      <x:c r="N356" s="102" t="n">
        <x:v>0</x:v>
      </x:c>
      <x:c r="O356" s="102" t="n">
        <x:v>22.33</x:v>
      </x:c>
      <x:c r="P356" s="102" t="n">
        <x:v>10.509999999999998</x:v>
      </x:c>
      <x:c r="Q356" s="45" t="str">
        <x:v>USER_INPUT</x:v>
      </x:c>
      <x:c r="R356" s="45" t="str">
        <x:v>SCENARIO_GENERATION</x:v>
      </x:c>
      <x:c r="S356" s="45" t="str">
        <x:v>USER_REVIEW_REQUIRED</x:v>
      </x:c>
    </x:row>
    <x:row r="357">
      <x:c r="A357" s="45" t="str">
        <x:v>TOX_80</x:v>
      </x:c>
      <x:c r="B357" s="45" t="str">
        <x:v>CAZ toxicity threshold = 80 mg/L</x:v>
      </x:c>
      <x:c r="C357" s="45" t="str">
        <x:v>R12</x:v>
      </x:c>
      <x:c r="D357" s="45" t="str">
        <x:v>91–120</x:v>
      </x:c>
      <x:c r="E357" s="45" t="n">
        <x:v>2.5</x:v>
      </x:c>
      <x:c r="F357" s="45" t="n">
        <x:v>6</x:v>
      </x:c>
      <x:c r="G357" s="45" t="str">
        <x:v>FR2024_OXA484_SERINE_ONLY</x:v>
      </x:c>
      <x:c r="H357" s="45" t="str">
        <x:v>French OXA-484 Enterobacterales, serine-only</x:v>
      </x:c>
      <x:c r="I357" s="102" t="n">
        <x:v>99.84516666666667</x:v>
      </x:c>
      <x:c r="J357" s="102" t="n">
        <x:v>88.14</x:v>
      </x:c>
      <x:c r="K357" s="102" t="n">
        <x:v>88.13366666666667</x:v>
      </x:c>
      <x:c r="L357" s="102" t="n">
        <x:v>0</x:v>
      </x:c>
      <x:c r="M357" s="102" t="n">
        <x:v>87.76</x:v>
      </x:c>
      <x:c r="N357" s="102" t="n">
        <x:v>0</x:v>
      </x:c>
      <x:c r="O357" s="102" t="n">
        <x:v>22.33</x:v>
      </x:c>
      <x:c r="P357" s="102" t="n">
        <x:v>10.509999999999998</x:v>
      </x:c>
      <x:c r="Q357" s="45" t="str">
        <x:v>USER_INPUT</x:v>
      </x:c>
      <x:c r="R357" s="45" t="str">
        <x:v>SCENARIO_GENERATION</x:v>
      </x:c>
      <x:c r="S357" s="45" t="str">
        <x:v>USER_REVIEW_REQUIRED</x:v>
      </x:c>
    </x:row>
    <x:row r="358">
      <x:c r="A358" s="45" t="str">
        <x:v>TOX_80</x:v>
      </x:c>
      <x:c r="B358" s="45" t="str">
        <x:v>CAZ toxicity threshold = 80 mg/L</x:v>
      </x:c>
      <x:c r="C358" s="45" t="str">
        <x:v>R13</x:v>
      </x:c>
      <x:c r="D358" s="45" t="str">
        <x:v>121–150</x:v>
      </x:c>
      <x:c r="E358" s="45" t="n">
        <x:v>2.5</x:v>
      </x:c>
      <x:c r="F358" s="45" t="n">
        <x:v>6</x:v>
      </x:c>
      <x:c r="G358" s="45" t="str">
        <x:v>LEE2022_KPC_KP</x:v>
      </x:c>
      <x:c r="H358" s="45" t="str">
        <x:v>KPC-like CR-K. pneumoniae, ATLAS 2020</x:v>
      </x:c>
      <x:c r="I358" s="102" t="n">
        <x:v>98.02172823218997</x:v>
      </x:c>
      <x:c r="J358" s="102" t="n">
        <x:v>80.39999999999998</x:v>
      </x:c>
      <x:c r="K358" s="102" t="n">
        <x:v>79.73715039577836</x:v>
      </x:c>
      <x:c r="L358" s="102" t="n">
        <x:v>0</x:v>
      </x:c>
      <x:c r="M358" s="102" t="n">
        <x:v>80.015</x:v>
      </x:c>
      <x:c r="N358" s="102" t="n">
        <x:v>0</x:v>
      </x:c>
      <x:c r="O358" s="102" t="n">
        <x:v>14.804999999999998</x:v>
      </x:c>
      <x:c r="P358" s="102" t="n">
        <x:v>7.759999999999998</x:v>
      </x:c>
      <x:c r="Q358" s="45" t="str">
        <x:v>USER_INPUT</x:v>
      </x:c>
      <x:c r="R358" s="45" t="str">
        <x:v>SCENARIO_GENERATION</x:v>
      </x:c>
      <x:c r="S358" s="45" t="str">
        <x:v>USER_REVIEW_REQUIRED</x:v>
      </x:c>
    </x:row>
    <x:row r="359">
      <x:c r="A359" s="45" t="str">
        <x:v>TOX_80</x:v>
      </x:c>
      <x:c r="B359" s="45" t="str">
        <x:v>CAZ toxicity threshold = 80 mg/L</x:v>
      </x:c>
      <x:c r="C359" s="45" t="str">
        <x:v>R13</x:v>
      </x:c>
      <x:c r="D359" s="45" t="str">
        <x:v>121–150</x:v>
      </x:c>
      <x:c r="E359" s="45" t="n">
        <x:v>2.5</x:v>
      </x:c>
      <x:c r="F359" s="45" t="n">
        <x:v>6</x:v>
      </x:c>
      <x:c r="G359" s="45" t="str">
        <x:v>LEE2022_OXA_KP</x:v>
      </x:c>
      <x:c r="H359" s="45" t="str">
        <x:v>OXA-like CR-K. pneumoniae, ATLAS 2020</x:v>
      </x:c>
      <x:c r="I359" s="102" t="n">
        <x:v>98.12555084745763</x:v>
      </x:c>
      <x:c r="J359" s="102" t="n">
        <x:v>80.4</x:v>
      </x:c>
      <x:c r="K359" s="102" t="n">
        <x:v>79.27514830508476</x:v>
      </x:c>
      <x:c r="L359" s="102" t="n">
        <x:v>0</x:v>
      </x:c>
      <x:c r="M359" s="102" t="n">
        <x:v>80.015</x:v>
      </x:c>
      <x:c r="N359" s="102" t="n">
        <x:v>0</x:v>
      </x:c>
      <x:c r="O359" s="102" t="n">
        <x:v>14.804999999999998</x:v>
      </x:c>
      <x:c r="P359" s="102" t="n">
        <x:v>7.759999999999998</x:v>
      </x:c>
      <x:c r="Q359" s="45" t="str">
        <x:v>USER_INPUT</x:v>
      </x:c>
      <x:c r="R359" s="45" t="str">
        <x:v>SCENARIO_GENERATION</x:v>
      </x:c>
      <x:c r="S359" s="45" t="str">
        <x:v>USER_REVIEW_REQUIRED</x:v>
      </x:c>
    </x:row>
    <x:row r="360">
      <x:c r="A360" s="45" t="str">
        <x:v>TOX_80</x:v>
      </x:c>
      <x:c r="B360" s="45" t="str">
        <x:v>CAZ toxicity threshold = 80 mg/L</x:v>
      </x:c>
      <x:c r="C360" s="45" t="str">
        <x:v>R13</x:v>
      </x:c>
      <x:c r="D360" s="45" t="str">
        <x:v>121–150</x:v>
      </x:c>
      <x:c r="E360" s="45" t="n">
        <x:v>2.5</x:v>
      </x:c>
      <x:c r="F360" s="45" t="n">
        <x:v>6</x:v>
      </x:c>
      <x:c r="G360" s="45" t="str">
        <x:v>INDIA2022_OXA48_KP</x:v>
      </x:c>
      <x:c r="H360" s="45" t="str">
        <x:v>OXA-48-like CR-K. pneumoniae, India</x:v>
      </x:c>
      <x:c r="I360" s="102" t="n">
        <x:v>96.03632352941177</x:v>
      </x:c>
      <x:c r="J360" s="102" t="n">
        <x:v>80.40000000000003</x:v>
      </x:c>
      <x:c r="K360" s="102" t="n">
        <x:v>77.46297794117649</x:v>
      </x:c>
      <x:c r="L360" s="102" t="n">
        <x:v>0</x:v>
      </x:c>
      <x:c r="M360" s="102" t="n">
        <x:v>80.015</x:v>
      </x:c>
      <x:c r="N360" s="102" t="n">
        <x:v>0</x:v>
      </x:c>
      <x:c r="O360" s="102" t="n">
        <x:v>14.804999999999998</x:v>
      </x:c>
      <x:c r="P360" s="102" t="n">
        <x:v>7.759999999999998</x:v>
      </x:c>
      <x:c r="Q360" s="45" t="str">
        <x:v>USER_INPUT</x:v>
      </x:c>
      <x:c r="R360" s="45" t="str">
        <x:v>SCENARIO_GENERATION</x:v>
      </x:c>
      <x:c r="S360" s="45" t="str">
        <x:v>USER_REVIEW_REQUIRED</x:v>
      </x:c>
    </x:row>
    <x:row r="361">
      <x:c r="A361" s="45" t="str">
        <x:v>TOX_80</x:v>
      </x:c>
      <x:c r="B361" s="45" t="str">
        <x:v>CAZ toxicity threshold = 80 mg/L</x:v>
      </x:c>
      <x:c r="C361" s="45" t="str">
        <x:v>R13</x:v>
      </x:c>
      <x:c r="D361" s="45" t="str">
        <x:v>121–150</x:v>
      </x:c>
      <x:c r="E361" s="45" t="n">
        <x:v>2.5</x:v>
      </x:c>
      <x:c r="F361" s="45" t="n">
        <x:v>6</x:v>
      </x:c>
      <x:c r="G361" s="45" t="str">
        <x:v>FR2024_OXA484_SERINE_ONLY</x:v>
      </x:c>
      <x:c r="H361" s="45" t="str">
        <x:v>French OXA-484 Enterobacterales, serine-only</x:v>
      </x:c>
      <x:c r="I361" s="102" t="n">
        <x:v>99.71316666666667</x:v>
      </x:c>
      <x:c r="J361" s="102" t="n">
        <x:v>80.4</x:v>
      </x:c>
      <x:c r="K361" s="102" t="n">
        <x:v>80.39358333333334</x:v>
      </x:c>
      <x:c r="L361" s="102" t="n">
        <x:v>0</x:v>
      </x:c>
      <x:c r="M361" s="102" t="n">
        <x:v>80.015</x:v>
      </x:c>
      <x:c r="N361" s="102" t="n">
        <x:v>0</x:v>
      </x:c>
      <x:c r="O361" s="102" t="n">
        <x:v>14.804999999999998</x:v>
      </x:c>
      <x:c r="P361" s="102" t="n">
        <x:v>7.759999999999998</x:v>
      </x:c>
      <x:c r="Q361" s="45" t="str">
        <x:v>USER_INPUT</x:v>
      </x:c>
      <x:c r="R361" s="45" t="str">
        <x:v>SCENARIO_GENERATION</x:v>
      </x:c>
      <x:c r="S361" s="45" t="str">
        <x:v>USER_REVIEW_REQUIRED</x:v>
      </x:c>
    </x:row>
    <x:row r="362">
      <x:c r="A362" s="45" t="str">
        <x:v>TOX_128</x:v>
      </x:c>
      <x:c r="B362" s="45" t="str">
        <x:v>CAZ toxicity threshold = 128 mg/L</x:v>
      </x:c>
      <x:c r="C362" s="45" t="str">
        <x:v>R1</x:v>
      </x:c>
      <x:c r="D362" s="45" t="str">
        <x:v>0–30</x:v>
      </x:c>
      <x:c r="E362" s="45" t="n">
        <x:v>0.625</x:v>
      </x:c>
      <x:c r="F362" s="45" t="n">
        <x:v>12</x:v>
      </x:c>
      <x:c r="G362" s="45" t="str">
        <x:v>LEE2022_KPC_KP</x:v>
      </x:c>
      <x:c r="H362" s="45" t="str">
        <x:v>KPC-like CR-K. pneumoniae, ATLAS 2020</x:v>
      </x:c>
      <x:c r="I362" s="102" t="n">
        <x:v>93.65485488126649</x:v>
      </x:c>
      <x:c r="J362" s="102" t="n">
        <x:v>74.22</x:v>
      </x:c>
      <x:c r="K362" s="102" t="n">
        <x:v>72.80412928759894</x:v>
      </x:c>
      <x:c r="L362" s="102" t="n">
        <x:v>0</x:v>
      </x:c>
      <x:c r="M362" s="102" t="n">
        <x:v>66.425</x:v>
      </x:c>
      <x:c r="N362" s="102" t="n">
        <x:v>0</x:v>
      </x:c>
      <x:c r="O362" s="102" t="n">
        <x:v>6.925000000000001</x:v>
      </x:c>
      <x:c r="P362" s="102" t="n">
        <x:v>-2.494999999999999</x:v>
      </x:c>
      <x:c r="Q362" s="45" t="str">
        <x:v>USER_INPUT</x:v>
      </x:c>
      <x:c r="R362" s="45" t="str">
        <x:v>SCENARIO_GENERATION</x:v>
      </x:c>
      <x:c r="S362" s="45" t="str">
        <x:v>USER_REVIEW_REQUIRED</x:v>
      </x:c>
    </x:row>
    <x:row r="363">
      <x:c r="A363" s="45" t="str">
        <x:v>TOX_128</x:v>
      </x:c>
      <x:c r="B363" s="45" t="str">
        <x:v>CAZ toxicity threshold = 128 mg/L</x:v>
      </x:c>
      <x:c r="C363" s="45" t="str">
        <x:v>R1</x:v>
      </x:c>
      <x:c r="D363" s="45" t="str">
        <x:v>0–30</x:v>
      </x:c>
      <x:c r="E363" s="45" t="n">
        <x:v>0.625</x:v>
      </x:c>
      <x:c r="F363" s="45" t="n">
        <x:v>12</x:v>
      </x:c>
      <x:c r="G363" s="45" t="str">
        <x:v>LEE2022_OXA_KP</x:v>
      </x:c>
      <x:c r="H363" s="45" t="str">
        <x:v>OXA-like CR-K. pneumoniae, ATLAS 2020</x:v>
      </x:c>
      <x:c r="I363" s="102" t="n">
        <x:v>95.5652966101695</x:v>
      </x:c>
      <x:c r="J363" s="102" t="n">
        <x:v>74.22</x:v>
      </x:c>
      <x:c r="K363" s="102" t="n">
        <x:v>72.95300847457627</x:v>
      </x:c>
      <x:c r="L363" s="102" t="n">
        <x:v>0</x:v>
      </x:c>
      <x:c r="M363" s="102" t="n">
        <x:v>66.425</x:v>
      </x:c>
      <x:c r="N363" s="102" t="n">
        <x:v>0</x:v>
      </x:c>
      <x:c r="O363" s="102" t="n">
        <x:v>6.925000000000001</x:v>
      </x:c>
      <x:c r="P363" s="102" t="n">
        <x:v>-2.494999999999999</x:v>
      </x:c>
      <x:c r="Q363" s="45" t="str">
        <x:v>USER_INPUT</x:v>
      </x:c>
      <x:c r="R363" s="45" t="str">
        <x:v>SCENARIO_GENERATION</x:v>
      </x:c>
      <x:c r="S363" s="45" t="str">
        <x:v>USER_REVIEW_REQUIRED</x:v>
      </x:c>
    </x:row>
    <x:row r="364">
      <x:c r="A364" s="45" t="str">
        <x:v>TOX_128</x:v>
      </x:c>
      <x:c r="B364" s="45" t="str">
        <x:v>CAZ toxicity threshold = 128 mg/L</x:v>
      </x:c>
      <x:c r="C364" s="45" t="str">
        <x:v>R1</x:v>
      </x:c>
      <x:c r="D364" s="45" t="str">
        <x:v>0–30</x:v>
      </x:c>
      <x:c r="E364" s="45" t="n">
        <x:v>0.625</x:v>
      </x:c>
      <x:c r="F364" s="45" t="n">
        <x:v>12</x:v>
      </x:c>
      <x:c r="G364" s="45" t="str">
        <x:v>INDIA2022_OXA48_KP</x:v>
      </x:c>
      <x:c r="H364" s="45" t="str">
        <x:v>OXA-48-like CR-K. pneumoniae, India</x:v>
      </x:c>
      <x:c r="I364" s="102" t="n">
        <x:v>94.45033088235294</x:v>
      </x:c>
      <x:c r="J364" s="102" t="n">
        <x:v>74.22000000000001</x:v>
      </x:c>
      <x:c r="K364" s="102" t="n">
        <x:v>71.44227941176472</x:v>
      </x:c>
      <x:c r="L364" s="102" t="n">
        <x:v>0</x:v>
      </x:c>
      <x:c r="M364" s="102" t="n">
        <x:v>66.425</x:v>
      </x:c>
      <x:c r="N364" s="102" t="n">
        <x:v>0</x:v>
      </x:c>
      <x:c r="O364" s="102" t="n">
        <x:v>6.925000000000001</x:v>
      </x:c>
      <x:c r="P364" s="102" t="n">
        <x:v>-2.494999999999999</x:v>
      </x:c>
      <x:c r="Q364" s="45" t="str">
        <x:v>USER_INPUT</x:v>
      </x:c>
      <x:c r="R364" s="45" t="str">
        <x:v>SCENARIO_GENERATION</x:v>
      </x:c>
      <x:c r="S364" s="45" t="str">
        <x:v>USER_REVIEW_REQUIRED</x:v>
      </x:c>
    </x:row>
    <x:row r="365">
      <x:c r="A365" s="45" t="str">
        <x:v>TOX_128</x:v>
      </x:c>
      <x:c r="B365" s="45" t="str">
        <x:v>CAZ toxicity threshold = 128 mg/L</x:v>
      </x:c>
      <x:c r="C365" s="45" t="str">
        <x:v>R1</x:v>
      </x:c>
      <x:c r="D365" s="45" t="str">
        <x:v>0–30</x:v>
      </x:c>
      <x:c r="E365" s="45" t="n">
        <x:v>0.625</x:v>
      </x:c>
      <x:c r="F365" s="45" t="n">
        <x:v>12</x:v>
      </x:c>
      <x:c r="G365" s="45" t="str">
        <x:v>FR2024_OXA484_SERINE_ONLY</x:v>
      </x:c>
      <x:c r="H365" s="45" t="str">
        <x:v>French OXA-484 Enterobacterales, serine-only</x:v>
      </x:c>
      <x:c r="I365" s="102" t="n">
        <x:v>98.06408333333334</x:v>
      </x:c>
      <x:c r="J365" s="102" t="n">
        <x:v>74.22</x:v>
      </x:c>
      <x:c r="K365" s="102" t="n">
        <x:v>74.08933333333334</x:v>
      </x:c>
      <x:c r="L365" s="102" t="n">
        <x:v>0</x:v>
      </x:c>
      <x:c r="M365" s="102" t="n">
        <x:v>66.425</x:v>
      </x:c>
      <x:c r="N365" s="102" t="n">
        <x:v>0</x:v>
      </x:c>
      <x:c r="O365" s="102" t="n">
        <x:v>6.925000000000001</x:v>
      </x:c>
      <x:c r="P365" s="102" t="n">
        <x:v>-2.494999999999999</x:v>
      </x:c>
      <x:c r="Q365" s="45" t="str">
        <x:v>USER_INPUT</x:v>
      </x:c>
      <x:c r="R365" s="45" t="str">
        <x:v>SCENARIO_GENERATION</x:v>
      </x:c>
      <x:c r="S365" s="45" t="str">
        <x:v>USER_REVIEW_REQUIRED</x:v>
      </x:c>
    </x:row>
    <x:row r="366">
      <x:c r="A366" s="45" t="str">
        <x:v>TOX_128</x:v>
      </x:c>
      <x:c r="B366" s="45" t="str">
        <x:v>CAZ toxicity threshold = 128 mg/L</x:v>
      </x:c>
      <x:c r="C366" s="45" t="str">
        <x:v>R8</x:v>
      </x:c>
      <x:c r="D366" s="45" t="str">
        <x:v>31–60</x:v>
      </x:c>
      <x:c r="E366" s="45" t="n">
        <x:v>2.5</x:v>
      </x:c>
      <x:c r="F366" s="45" t="n">
        <x:v>12</x:v>
      </x:c>
      <x:c r="G366" s="45" t="str">
        <x:v>LEE2022_KPC_KP</x:v>
      </x:c>
      <x:c r="H366" s="45" t="str">
        <x:v>KPC-like CR-K. pneumoniae, ATLAS 2020</x:v>
      </x:c>
      <x:c r="I366" s="102" t="n">
        <x:v>98.2425857519789</x:v>
      </x:c>
      <x:c r="J366" s="102" t="n">
        <x:v>89.22500000000001</x:v>
      </x:c>
      <x:c r="K366" s="102" t="n">
        <x:v>88.41282321899736</x:v>
      </x:c>
      <x:c r="L366" s="102" t="n">
        <x:v>0</x:v>
      </x:c>
      <x:c r="M366" s="102" t="n">
        <x:v>87.985</x:v>
      </x:c>
      <x:c r="N366" s="102" t="n">
        <x:v>0</x:v>
      </x:c>
      <x:c r="O366" s="102" t="n">
        <x:v>5.205</x:v>
      </x:c>
      <x:c r="P366" s="102" t="n">
        <x:v>-4.414999999999999</x:v>
      </x:c>
      <x:c r="Q366" s="45" t="str">
        <x:v>USER_INPUT</x:v>
      </x:c>
      <x:c r="R366" s="45" t="str">
        <x:v>SCENARIO_GENERATION</x:v>
      </x:c>
      <x:c r="S366" s="45" t="str">
        <x:v>USER_REVIEW_REQUIRED</x:v>
      </x:c>
    </x:row>
    <x:row r="367">
      <x:c r="A367" s="45" t="str">
        <x:v>TOX_128</x:v>
      </x:c>
      <x:c r="B367" s="45" t="str">
        <x:v>CAZ toxicity threshold = 128 mg/L</x:v>
      </x:c>
      <x:c r="C367" s="45" t="str">
        <x:v>R8</x:v>
      </x:c>
      <x:c r="D367" s="45" t="str">
        <x:v>31–60</x:v>
      </x:c>
      <x:c r="E367" s="45" t="n">
        <x:v>2.5</x:v>
      </x:c>
      <x:c r="F367" s="45" t="n">
        <x:v>12</x:v>
      </x:c>
      <x:c r="G367" s="45" t="str">
        <x:v>LEE2022_OXA_KP</x:v>
      </x:c>
      <x:c r="H367" s="45" t="str">
        <x:v>OXA-like CR-K. pneumoniae, ATLAS 2020</x:v>
      </x:c>
      <x:c r="I367" s="102" t="n">
        <x:v>98.22625000000002</x:v>
      </x:c>
      <x:c r="J367" s="102" t="n">
        <x:v>89.22500000000001</x:v>
      </x:c>
      <x:c r="K367" s="102" t="n">
        <x:v>87.95485169491526</x:v>
      </x:c>
      <x:c r="L367" s="102" t="n">
        <x:v>0</x:v>
      </x:c>
      <x:c r="M367" s="102" t="n">
        <x:v>87.985</x:v>
      </x:c>
      <x:c r="N367" s="102" t="n">
        <x:v>0</x:v>
      </x:c>
      <x:c r="O367" s="102" t="n">
        <x:v>5.205</x:v>
      </x:c>
      <x:c r="P367" s="102" t="n">
        <x:v>-4.414999999999999</x:v>
      </x:c>
      <x:c r="Q367" s="45" t="str">
        <x:v>USER_INPUT</x:v>
      </x:c>
      <x:c r="R367" s="45" t="str">
        <x:v>SCENARIO_GENERATION</x:v>
      </x:c>
      <x:c r="S367" s="45" t="str">
        <x:v>USER_REVIEW_REQUIRED</x:v>
      </x:c>
    </x:row>
    <x:row r="368">
      <x:c r="A368" s="45" t="str">
        <x:v>TOX_128</x:v>
      </x:c>
      <x:c r="B368" s="45" t="str">
        <x:v>CAZ toxicity threshold = 128 mg/L</x:v>
      </x:c>
      <x:c r="C368" s="45" t="str">
        <x:v>R8</x:v>
      </x:c>
      <x:c r="D368" s="45" t="str">
        <x:v>31–60</x:v>
      </x:c>
      <x:c r="E368" s="45" t="n">
        <x:v>2.5</x:v>
      </x:c>
      <x:c r="F368" s="45" t="n">
        <x:v>12</x:v>
      </x:c>
      <x:c r="G368" s="45" t="str">
        <x:v>INDIA2022_OXA48_KP</x:v>
      </x:c>
      <x:c r="H368" s="45" t="str">
        <x:v>OXA-48-like CR-K. pneumoniae, India</x:v>
      </x:c>
      <x:c r="I368" s="102" t="n">
        <x:v>96.11161764705881</x:v>
      </x:c>
      <x:c r="J368" s="102" t="n">
        <x:v>89.22500000000001</x:v>
      </x:c>
      <x:c r="K368" s="102" t="n">
        <x:v>85.96338235294118</x:v>
      </x:c>
      <x:c r="L368" s="102" t="n">
        <x:v>0</x:v>
      </x:c>
      <x:c r="M368" s="102" t="n">
        <x:v>87.985</x:v>
      </x:c>
      <x:c r="N368" s="102" t="n">
        <x:v>0</x:v>
      </x:c>
      <x:c r="O368" s="102" t="n">
        <x:v>5.205</x:v>
      </x:c>
      <x:c r="P368" s="102" t="n">
        <x:v>-4.414999999999999</x:v>
      </x:c>
      <x:c r="Q368" s="45" t="str">
        <x:v>USER_INPUT</x:v>
      </x:c>
      <x:c r="R368" s="45" t="str">
        <x:v>SCENARIO_GENERATION</x:v>
      </x:c>
      <x:c r="S368" s="45" t="str">
        <x:v>USER_REVIEW_REQUIRED</x:v>
      </x:c>
    </x:row>
    <x:row r="369">
      <x:c r="A369" s="45" t="str">
        <x:v>TOX_128</x:v>
      </x:c>
      <x:c r="B369" s="45" t="str">
        <x:v>CAZ toxicity threshold = 128 mg/L</x:v>
      </x:c>
      <x:c r="C369" s="45" t="str">
        <x:v>R8</x:v>
      </x:c>
      <x:c r="D369" s="45" t="str">
        <x:v>31–60</x:v>
      </x:c>
      <x:c r="E369" s="45" t="n">
        <x:v>2.5</x:v>
      </x:c>
      <x:c r="F369" s="45" t="n">
        <x:v>12</x:v>
      </x:c>
      <x:c r="G369" s="45" t="str">
        <x:v>FR2024_OXA484_SERINE_ONLY</x:v>
      </x:c>
      <x:c r="H369" s="45" t="str">
        <x:v>French OXA-484 Enterobacterales, serine-only</x:v>
      </x:c>
      <x:c r="I369" s="102" t="n">
        <x:v>99.76208333333334</x:v>
      </x:c>
      <x:c r="J369" s="102" t="n">
        <x:v>89.22499999999998</x:v>
      </x:c>
      <x:c r="K369" s="102" t="n">
        <x:v>89.20433333333331</x:v>
      </x:c>
      <x:c r="L369" s="102" t="n">
        <x:v>0</x:v>
      </x:c>
      <x:c r="M369" s="102" t="n">
        <x:v>87.985</x:v>
      </x:c>
      <x:c r="N369" s="102" t="n">
        <x:v>0</x:v>
      </x:c>
      <x:c r="O369" s="102" t="n">
        <x:v>5.205</x:v>
      </x:c>
      <x:c r="P369" s="102" t="n">
        <x:v>-4.414999999999999</x:v>
      </x:c>
      <x:c r="Q369" s="45" t="str">
        <x:v>USER_INPUT</x:v>
      </x:c>
      <x:c r="R369" s="45" t="str">
        <x:v>SCENARIO_GENERATION</x:v>
      </x:c>
      <x:c r="S369" s="45" t="str">
        <x:v>USER_REVIEW_REQUIRED</x:v>
      </x:c>
    </x:row>
    <x:row r="370">
      <x:c r="A370" s="45" t="str">
        <x:v>TOX_128</x:v>
      </x:c>
      <x:c r="B370" s="45" t="str">
        <x:v>CAZ toxicity threshold = 128 mg/L</x:v>
      </x:c>
      <x:c r="C370" s="45" t="str">
        <x:v>R10</x:v>
      </x:c>
      <x:c r="D370" s="45" t="str">
        <x:v>61–90</x:v>
      </x:c>
      <x:c r="E370" s="45" t="n">
        <x:v>2.5</x:v>
      </x:c>
      <x:c r="F370" s="45" t="n">
        <x:v>8</x:v>
      </x:c>
      <x:c r="G370" s="45" t="str">
        <x:v>LEE2022_KPC_KP</x:v>
      </x:c>
      <x:c r="H370" s="45" t="str">
        <x:v>KPC-like CR-K. pneumoniae, ATLAS 2020</x:v>
      </x:c>
      <x:c r="I370" s="102" t="n">
        <x:v>98.4327308707124</x:v>
      </x:c>
      <x:c r="J370" s="102" t="n">
        <x:v>88.14</x:v>
      </x:c>
      <x:c r="K370" s="102" t="n">
        <x:v>87.42915567282323</x:v>
      </x:c>
      <x:c r="L370" s="102" t="n">
        <x:v>0</x:v>
      </x:c>
      <x:c r="M370" s="102" t="n">
        <x:v>87.535</x:v>
      </x:c>
      <x:c r="N370" s="102" t="n">
        <x:v>0</x:v>
      </x:c>
      <x:c r="O370" s="102" t="n">
        <x:v>5.815</x:v>
      </x:c>
      <x:c r="P370" s="102" t="n">
        <x:v>-4.849999999999999</x:v>
      </x:c>
      <x:c r="Q370" s="45" t="str">
        <x:v>USER_INPUT</x:v>
      </x:c>
      <x:c r="R370" s="45" t="str">
        <x:v>SCENARIO_GENERATION</x:v>
      </x:c>
      <x:c r="S370" s="45" t="str">
        <x:v>USER_REVIEW_REQUIRED</x:v>
      </x:c>
    </x:row>
    <x:row r="371">
      <x:c r="A371" s="45" t="str">
        <x:v>TOX_128</x:v>
      </x:c>
      <x:c r="B371" s="45" t="str">
        <x:v>CAZ toxicity threshold = 128 mg/L</x:v>
      </x:c>
      <x:c r="C371" s="45" t="str">
        <x:v>R10</x:v>
      </x:c>
      <x:c r="D371" s="45" t="str">
        <x:v>61–90</x:v>
      </x:c>
      <x:c r="E371" s="45" t="n">
        <x:v>2.5</x:v>
      </x:c>
      <x:c r="F371" s="45" t="n">
        <x:v>8</x:v>
      </x:c>
      <x:c r="G371" s="45" t="str">
        <x:v>LEE2022_OXA_KP</x:v>
      </x:c>
      <x:c r="H371" s="45" t="str">
        <x:v>OXA-like CR-K. pneumoniae, ATLAS 2020</x:v>
      </x:c>
      <x:c r="I371" s="102" t="n">
        <x:v>98.30724576271186</x:v>
      </x:c>
      <x:c r="J371" s="102" t="n">
        <x:v>88.14000000000003</x:v>
      </x:c>
      <x:c r="K371" s="102" t="n">
        <x:v>86.91703389830509</x:v>
      </x:c>
      <x:c r="L371" s="102" t="n">
        <x:v>0</x:v>
      </x:c>
      <x:c r="M371" s="102" t="n">
        <x:v>87.535</x:v>
      </x:c>
      <x:c r="N371" s="102" t="n">
        <x:v>0</x:v>
      </x:c>
      <x:c r="O371" s="102" t="n">
        <x:v>5.815</x:v>
      </x:c>
      <x:c r="P371" s="102" t="n">
        <x:v>-4.849999999999999</x:v>
      </x:c>
      <x:c r="Q371" s="45" t="str">
        <x:v>USER_INPUT</x:v>
      </x:c>
      <x:c r="R371" s="45" t="str">
        <x:v>SCENARIO_GENERATION</x:v>
      </x:c>
      <x:c r="S371" s="45" t="str">
        <x:v>USER_REVIEW_REQUIRED</x:v>
      </x:c>
    </x:row>
    <x:row r="372">
      <x:c r="A372" s="45" t="str">
        <x:v>TOX_128</x:v>
      </x:c>
      <x:c r="B372" s="45" t="str">
        <x:v>CAZ toxicity threshold = 128 mg/L</x:v>
      </x:c>
      <x:c r="C372" s="45" t="str">
        <x:v>R10</x:v>
      </x:c>
      <x:c r="D372" s="45" t="str">
        <x:v>61–90</x:v>
      </x:c>
      <x:c r="E372" s="45" t="n">
        <x:v>2.5</x:v>
      </x:c>
      <x:c r="F372" s="45" t="n">
        <x:v>8</x:v>
      </x:c>
      <x:c r="G372" s="45" t="str">
        <x:v>INDIA2022_OXA48_KP</x:v>
      </x:c>
      <x:c r="H372" s="45" t="str">
        <x:v>OXA-48-like CR-K. pneumoniae, India</x:v>
      </x:c>
      <x:c r="I372" s="102" t="n">
        <x:v>96.16680147058821</x:v>
      </x:c>
      <x:c r="J372" s="102" t="n">
        <x:v>88.13999999999999</x:v>
      </x:c>
      <x:c r="K372" s="102" t="n">
        <x:v>84.93959558823529</x:v>
      </x:c>
      <x:c r="L372" s="102" t="n">
        <x:v>0</x:v>
      </x:c>
      <x:c r="M372" s="102" t="n">
        <x:v>87.535</x:v>
      </x:c>
      <x:c r="N372" s="102" t="n">
        <x:v>0</x:v>
      </x:c>
      <x:c r="O372" s="102" t="n">
        <x:v>5.815</x:v>
      </x:c>
      <x:c r="P372" s="102" t="n">
        <x:v>-4.849999999999999</x:v>
      </x:c>
      <x:c r="Q372" s="45" t="str">
        <x:v>USER_INPUT</x:v>
      </x:c>
      <x:c r="R372" s="45" t="str">
        <x:v>SCENARIO_GENERATION</x:v>
      </x:c>
      <x:c r="S372" s="45" t="str">
        <x:v>USER_REVIEW_REQUIRED</x:v>
      </x:c>
    </x:row>
    <x:row r="373">
      <x:c r="A373" s="45" t="str">
        <x:v>TOX_128</x:v>
      </x:c>
      <x:c r="B373" s="45" t="str">
        <x:v>CAZ toxicity threshold = 128 mg/L</x:v>
      </x:c>
      <x:c r="C373" s="45" t="str">
        <x:v>R10</x:v>
      </x:c>
      <x:c r="D373" s="45" t="str">
        <x:v>61–90</x:v>
      </x:c>
      <x:c r="E373" s="45" t="n">
        <x:v>2.5</x:v>
      </x:c>
      <x:c r="F373" s="45" t="n">
        <x:v>8</x:v>
      </x:c>
      <x:c r="G373" s="45" t="str">
        <x:v>FR2024_OXA484_SERINE_ONLY</x:v>
      </x:c>
      <x:c r="H373" s="45" t="str">
        <x:v>French OXA-484 Enterobacterales, serine-only</x:v>
      </x:c>
      <x:c r="I373" s="102" t="n">
        <x:v>99.80858333333335</x:v>
      </x:c>
      <x:c r="J373" s="102" t="n">
        <x:v>88.14</x:v>
      </x:c>
      <x:c r="K373" s="102" t="n">
        <x:v>88.12991666666667</x:v>
      </x:c>
      <x:c r="L373" s="102" t="n">
        <x:v>0</x:v>
      </x:c>
      <x:c r="M373" s="102" t="n">
        <x:v>87.535</x:v>
      </x:c>
      <x:c r="N373" s="102" t="n">
        <x:v>0</x:v>
      </x:c>
      <x:c r="O373" s="102" t="n">
        <x:v>5.815</x:v>
      </x:c>
      <x:c r="P373" s="102" t="n">
        <x:v>-4.849999999999999</x:v>
      </x:c>
      <x:c r="Q373" s="45" t="str">
        <x:v>USER_INPUT</x:v>
      </x:c>
      <x:c r="R373" s="45" t="str">
        <x:v>SCENARIO_GENERATION</x:v>
      </x:c>
      <x:c r="S373" s="45" t="str">
        <x:v>USER_REVIEW_REQUIRED</x:v>
      </x:c>
    </x:row>
    <x:row r="374">
      <x:c r="A374" s="45" t="str">
        <x:v>TOX_128</x:v>
      </x:c>
      <x:c r="B374" s="45" t="str">
        <x:v>CAZ toxicity threshold = 128 mg/L</x:v>
      </x:c>
      <x:c r="C374" s="45" t="str">
        <x:v>R12</x:v>
      </x:c>
      <x:c r="D374" s="45" t="str">
        <x:v>91–120</x:v>
      </x:c>
      <x:c r="E374" s="45" t="n">
        <x:v>2.5</x:v>
      </x:c>
      <x:c r="F374" s="45" t="n">
        <x:v>6</x:v>
      </x:c>
      <x:c r="G374" s="45" t="str">
        <x:v>LEE2022_KPC_KP</x:v>
      </x:c>
      <x:c r="H374" s="45" t="str">
        <x:v>KPC-like CR-K. pneumoniae, ATLAS 2020</x:v>
      </x:c>
      <x:c r="I374" s="102" t="n">
        <x:v>98.59763852242745</x:v>
      </x:c>
      <x:c r="J374" s="102" t="n">
        <x:v>88.14</x:v>
      </x:c>
      <x:c r="K374" s="102" t="n">
        <x:v>87.49072559366755</x:v>
      </x:c>
      <x:c r="L374" s="102" t="n">
        <x:v>0</x:v>
      </x:c>
      <x:c r="M374" s="102" t="n">
        <x:v>87.76</x:v>
      </x:c>
      <x:c r="N374" s="102" t="n">
        <x:v>0</x:v>
      </x:c>
      <x:c r="O374" s="102" t="n">
        <x:v>6.54</x:v>
      </x:c>
      <x:c r="P374" s="102" t="n">
        <x:v>-5.28</x:v>
      </x:c>
      <x:c r="Q374" s="45" t="str">
        <x:v>USER_INPUT</x:v>
      </x:c>
      <x:c r="R374" s="45" t="str">
        <x:v>SCENARIO_GENERATION</x:v>
      </x:c>
      <x:c r="S374" s="45" t="str">
        <x:v>USER_REVIEW_REQUIRED</x:v>
      </x:c>
    </x:row>
    <x:row r="375">
      <x:c r="A375" s="45" t="str">
        <x:v>TOX_128</x:v>
      </x:c>
      <x:c r="B375" s="45" t="str">
        <x:v>CAZ toxicity threshold = 128 mg/L</x:v>
      </x:c>
      <x:c r="C375" s="45" t="str">
        <x:v>R12</x:v>
      </x:c>
      <x:c r="D375" s="45" t="str">
        <x:v>91–120</x:v>
      </x:c>
      <x:c r="E375" s="45" t="n">
        <x:v>2.5</x:v>
      </x:c>
      <x:c r="F375" s="45" t="n">
        <x:v>6</x:v>
      </x:c>
      <x:c r="G375" s="45" t="str">
        <x:v>LEE2022_OXA_KP</x:v>
      </x:c>
      <x:c r="H375" s="45" t="str">
        <x:v>OXA-like CR-K. pneumoniae, ATLAS 2020</x:v>
      </x:c>
      <x:c r="I375" s="102" t="n">
        <x:v>98.37855932203391</x:v>
      </x:c>
      <x:c r="J375" s="102" t="n">
        <x:v>88.14000000000003</x:v>
      </x:c>
      <x:c r="K375" s="102" t="n">
        <x:v>86.93947033898306</x:v>
      </x:c>
      <x:c r="L375" s="102" t="n">
        <x:v>0</x:v>
      </x:c>
      <x:c r="M375" s="102" t="n">
        <x:v>87.76</x:v>
      </x:c>
      <x:c r="N375" s="102" t="n">
        <x:v>0</x:v>
      </x:c>
      <x:c r="O375" s="102" t="n">
        <x:v>6.54</x:v>
      </x:c>
      <x:c r="P375" s="102" t="n">
        <x:v>-5.28</x:v>
      </x:c>
      <x:c r="Q375" s="45" t="str">
        <x:v>USER_INPUT</x:v>
      </x:c>
      <x:c r="R375" s="45" t="str">
        <x:v>SCENARIO_GENERATION</x:v>
      </x:c>
      <x:c r="S375" s="45" t="str">
        <x:v>USER_REVIEW_REQUIRED</x:v>
      </x:c>
    </x:row>
    <x:row r="376">
      <x:c r="A376" s="45" t="str">
        <x:v>TOX_128</x:v>
      </x:c>
      <x:c r="B376" s="45" t="str">
        <x:v>CAZ toxicity threshold = 128 mg/L</x:v>
      </x:c>
      <x:c r="C376" s="45" t="str">
        <x:v>R12</x:v>
      </x:c>
      <x:c r="D376" s="45" t="str">
        <x:v>91–120</x:v>
      </x:c>
      <x:c r="E376" s="45" t="n">
        <x:v>2.5</x:v>
      </x:c>
      <x:c r="F376" s="45" t="n">
        <x:v>6</x:v>
      </x:c>
      <x:c r="G376" s="45" t="str">
        <x:v>INDIA2022_OXA48_KP</x:v>
      </x:c>
      <x:c r="H376" s="45" t="str">
        <x:v>OXA-48-like CR-K. pneumoniae, India</x:v>
      </x:c>
      <x:c r="I376" s="102" t="n">
        <x:v>96.21154411764707</x:v>
      </x:c>
      <x:c r="J376" s="102" t="n">
        <x:v>88.13999999999999</x:v>
      </x:c>
      <x:c r="K376" s="102" t="n">
        <x:v>84.95058823529412</x:v>
      </x:c>
      <x:c r="L376" s="102" t="n">
        <x:v>0</x:v>
      </x:c>
      <x:c r="M376" s="102" t="n">
        <x:v>87.76</x:v>
      </x:c>
      <x:c r="N376" s="102" t="n">
        <x:v>0</x:v>
      </x:c>
      <x:c r="O376" s="102" t="n">
        <x:v>6.54</x:v>
      </x:c>
      <x:c r="P376" s="102" t="n">
        <x:v>-5.28</x:v>
      </x:c>
      <x:c r="Q376" s="45" t="str">
        <x:v>USER_INPUT</x:v>
      </x:c>
      <x:c r="R376" s="45" t="str">
        <x:v>SCENARIO_GENERATION</x:v>
      </x:c>
      <x:c r="S376" s="45" t="str">
        <x:v>USER_REVIEW_REQUIRED</x:v>
      </x:c>
    </x:row>
    <x:row r="377">
      <x:c r="A377" s="45" t="str">
        <x:v>TOX_128</x:v>
      </x:c>
      <x:c r="B377" s="45" t="str">
        <x:v>CAZ toxicity threshold = 128 mg/L</x:v>
      </x:c>
      <x:c r="C377" s="45" t="str">
        <x:v>R12</x:v>
      </x:c>
      <x:c r="D377" s="45" t="str">
        <x:v>91–120</x:v>
      </x:c>
      <x:c r="E377" s="45" t="n">
        <x:v>2.5</x:v>
      </x:c>
      <x:c r="F377" s="45" t="n">
        <x:v>6</x:v>
      </x:c>
      <x:c r="G377" s="45" t="str">
        <x:v>FR2024_OXA484_SERINE_ONLY</x:v>
      </x:c>
      <x:c r="H377" s="45" t="str">
        <x:v>French OXA-484 Enterobacterales, serine-only</x:v>
      </x:c>
      <x:c r="I377" s="102" t="n">
        <x:v>99.84516666666667</x:v>
      </x:c>
      <x:c r="J377" s="102" t="n">
        <x:v>88.14</x:v>
      </x:c>
      <x:c r="K377" s="102" t="n">
        <x:v>88.13366666666667</x:v>
      </x:c>
      <x:c r="L377" s="102" t="n">
        <x:v>0</x:v>
      </x:c>
      <x:c r="M377" s="102" t="n">
        <x:v>87.76</x:v>
      </x:c>
      <x:c r="N377" s="102" t="n">
        <x:v>0</x:v>
      </x:c>
      <x:c r="O377" s="102" t="n">
        <x:v>6.54</x:v>
      </x:c>
      <x:c r="P377" s="102" t="n">
        <x:v>-5.28</x:v>
      </x:c>
      <x:c r="Q377" s="45" t="str">
        <x:v>USER_INPUT</x:v>
      </x:c>
      <x:c r="R377" s="45" t="str">
        <x:v>SCENARIO_GENERATION</x:v>
      </x:c>
      <x:c r="S377" s="45" t="str">
        <x:v>USER_REVIEW_REQUIRED</x:v>
      </x:c>
    </x:row>
    <x:row r="378">
      <x:c r="A378" s="45" t="str">
        <x:v>TOX_128</x:v>
      </x:c>
      <x:c r="B378" s="45" t="str">
        <x:v>CAZ toxicity threshold = 128 mg/L</x:v>
      </x:c>
      <x:c r="C378" s="45" t="str">
        <x:v>R13</x:v>
      </x:c>
      <x:c r="D378" s="45" t="str">
        <x:v>121–150</x:v>
      </x:c>
      <x:c r="E378" s="45" t="n">
        <x:v>2.5</x:v>
      </x:c>
      <x:c r="F378" s="45" t="n">
        <x:v>6</x:v>
      </x:c>
      <x:c r="G378" s="45" t="str">
        <x:v>LEE2022_KPC_KP</x:v>
      </x:c>
      <x:c r="H378" s="45" t="str">
        <x:v>KPC-like CR-K. pneumoniae, ATLAS 2020</x:v>
      </x:c>
      <x:c r="I378" s="102" t="n">
        <x:v>98.02172823218997</x:v>
      </x:c>
      <x:c r="J378" s="102" t="n">
        <x:v>80.39999999999998</x:v>
      </x:c>
      <x:c r="K378" s="102" t="n">
        <x:v>79.73715039577836</x:v>
      </x:c>
      <x:c r="L378" s="102" t="n">
        <x:v>0</x:v>
      </x:c>
      <x:c r="M378" s="102" t="n">
        <x:v>80.015</x:v>
      </x:c>
      <x:c r="N378" s="102" t="n">
        <x:v>0</x:v>
      </x:c>
      <x:c r="O378" s="102" t="n">
        <x:v>3.46</x:v>
      </x:c>
      <x:c r="P378" s="102" t="n">
        <x:v>-3.585</x:v>
      </x:c>
      <x:c r="Q378" s="45" t="str">
        <x:v>USER_INPUT</x:v>
      </x:c>
      <x:c r="R378" s="45" t="str">
        <x:v>SCENARIO_GENERATION</x:v>
      </x:c>
      <x:c r="S378" s="45" t="str">
        <x:v>USER_REVIEW_REQUIRED</x:v>
      </x:c>
    </x:row>
    <x:row r="379">
      <x:c r="A379" s="45" t="str">
        <x:v>TOX_128</x:v>
      </x:c>
      <x:c r="B379" s="45" t="str">
        <x:v>CAZ toxicity threshold = 128 mg/L</x:v>
      </x:c>
      <x:c r="C379" s="45" t="str">
        <x:v>R13</x:v>
      </x:c>
      <x:c r="D379" s="45" t="str">
        <x:v>121–150</x:v>
      </x:c>
      <x:c r="E379" s="45" t="n">
        <x:v>2.5</x:v>
      </x:c>
      <x:c r="F379" s="45" t="n">
        <x:v>6</x:v>
      </x:c>
      <x:c r="G379" s="45" t="str">
        <x:v>LEE2022_OXA_KP</x:v>
      </x:c>
      <x:c r="H379" s="45" t="str">
        <x:v>OXA-like CR-K. pneumoniae, ATLAS 2020</x:v>
      </x:c>
      <x:c r="I379" s="102" t="n">
        <x:v>98.12555084745763</x:v>
      </x:c>
      <x:c r="J379" s="102" t="n">
        <x:v>80.4</x:v>
      </x:c>
      <x:c r="K379" s="102" t="n">
        <x:v>79.27514830508476</x:v>
      </x:c>
      <x:c r="L379" s="102" t="n">
        <x:v>0</x:v>
      </x:c>
      <x:c r="M379" s="102" t="n">
        <x:v>80.015</x:v>
      </x:c>
      <x:c r="N379" s="102" t="n">
        <x:v>0</x:v>
      </x:c>
      <x:c r="O379" s="102" t="n">
        <x:v>3.46</x:v>
      </x:c>
      <x:c r="P379" s="102" t="n">
        <x:v>-3.585</x:v>
      </x:c>
      <x:c r="Q379" s="45" t="str">
        <x:v>USER_INPUT</x:v>
      </x:c>
      <x:c r="R379" s="45" t="str">
        <x:v>SCENARIO_GENERATION</x:v>
      </x:c>
      <x:c r="S379" s="45" t="str">
        <x:v>USER_REVIEW_REQUIRED</x:v>
      </x:c>
    </x:row>
    <x:row r="380">
      <x:c r="A380" s="45" t="str">
        <x:v>TOX_128</x:v>
      </x:c>
      <x:c r="B380" s="45" t="str">
        <x:v>CAZ toxicity threshold = 128 mg/L</x:v>
      </x:c>
      <x:c r="C380" s="45" t="str">
        <x:v>R13</x:v>
      </x:c>
      <x:c r="D380" s="45" t="str">
        <x:v>121–150</x:v>
      </x:c>
      <x:c r="E380" s="45" t="n">
        <x:v>2.5</x:v>
      </x:c>
      <x:c r="F380" s="45" t="n">
        <x:v>6</x:v>
      </x:c>
      <x:c r="G380" s="45" t="str">
        <x:v>INDIA2022_OXA48_KP</x:v>
      </x:c>
      <x:c r="H380" s="45" t="str">
        <x:v>OXA-48-like CR-K. pneumoniae, India</x:v>
      </x:c>
      <x:c r="I380" s="102" t="n">
        <x:v>96.03632352941177</x:v>
      </x:c>
      <x:c r="J380" s="102" t="n">
        <x:v>80.40000000000003</x:v>
      </x:c>
      <x:c r="K380" s="102" t="n">
        <x:v>77.46297794117649</x:v>
      </x:c>
      <x:c r="L380" s="102" t="n">
        <x:v>0</x:v>
      </x:c>
      <x:c r="M380" s="102" t="n">
        <x:v>80.015</x:v>
      </x:c>
      <x:c r="N380" s="102" t="n">
        <x:v>0</x:v>
      </x:c>
      <x:c r="O380" s="102" t="n">
        <x:v>3.46</x:v>
      </x:c>
      <x:c r="P380" s="102" t="n">
        <x:v>-3.585</x:v>
      </x:c>
      <x:c r="Q380" s="45" t="str">
        <x:v>USER_INPUT</x:v>
      </x:c>
      <x:c r="R380" s="45" t="str">
        <x:v>SCENARIO_GENERATION</x:v>
      </x:c>
      <x:c r="S380" s="45" t="str">
        <x:v>USER_REVIEW_REQUIRED</x:v>
      </x:c>
    </x:row>
    <x:row r="381">
      <x:c r="A381" s="45" t="str">
        <x:v>TOX_128</x:v>
      </x:c>
      <x:c r="B381" s="45" t="str">
        <x:v>CAZ toxicity threshold = 128 mg/L</x:v>
      </x:c>
      <x:c r="C381" s="45" t="str">
        <x:v>R13</x:v>
      </x:c>
      <x:c r="D381" s="45" t="str">
        <x:v>121–150</x:v>
      </x:c>
      <x:c r="E381" s="45" t="n">
        <x:v>2.5</x:v>
      </x:c>
      <x:c r="F381" s="45" t="n">
        <x:v>6</x:v>
      </x:c>
      <x:c r="G381" s="45" t="str">
        <x:v>FR2024_OXA484_SERINE_ONLY</x:v>
      </x:c>
      <x:c r="H381" s="45" t="str">
        <x:v>French OXA-484 Enterobacterales, serine-only</x:v>
      </x:c>
      <x:c r="I381" s="102" t="n">
        <x:v>99.71316666666667</x:v>
      </x:c>
      <x:c r="J381" s="102" t="n">
        <x:v>80.4</x:v>
      </x:c>
      <x:c r="K381" s="102" t="n">
        <x:v>80.39358333333334</x:v>
      </x:c>
      <x:c r="L381" s="102" t="n">
        <x:v>0</x:v>
      </x:c>
      <x:c r="M381" s="102" t="n">
        <x:v>80.015</x:v>
      </x:c>
      <x:c r="N381" s="102" t="n">
        <x:v>0</x:v>
      </x:c>
      <x:c r="O381" s="102" t="n">
        <x:v>3.46</x:v>
      </x:c>
      <x:c r="P381" s="102" t="n">
        <x:v>-3.585</x:v>
      </x:c>
      <x:c r="Q381" s="45" t="str">
        <x:v>USER_INPUT</x:v>
      </x:c>
      <x:c r="R381" s="45" t="str">
        <x:v>SCENARIO_GENERATION</x:v>
      </x:c>
      <x:c r="S381" s="45" t="str">
        <x:v>USER_REVIEW_REQUIRED</x:v>
      </x:c>
    </x:row>
  </x:sheetData>
  <x:conditionalFormatting sqref="L2:L381">
    <x:cfRule type="colorScale" priority="1">
      <x:colorScale>
        <x:cfvo type="min"/>
        <x:cfvo type="percentile" val="50"/>
        <x:cfvo type="max"/>
        <x:color rgb="FFF8696B"/>
        <x:color rgb="FFFFEB84"/>
        <x:color rgb="FF63BE7B"/>
      </x:colorScale>
    </x:cfRule>
  </x:conditionalFormatting>
  <x:conditionalFormatting sqref="P2:P381">
    <x:cfRule type="colorScale" priority="2">
      <x:colorScale>
        <x:cfvo type="min"/>
        <x:cfvo type="percentile" val="50"/>
        <x:cfvo type="max"/>
        <x:color rgb="FF63BE7B"/>
        <x:color rgb="FFFFEB84"/>
        <x:color rgb="FFF8696B"/>
      </x:colorScale>
    </x:cfRule>
  </x:conditionalFormatting>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8" hidden="0" customWidth="1"/>
    <x:col min="3" max="3" width="42" hidden="0" customWidth="1"/>
    <x:col min="4" max="4" width="18" hidden="0" customWidth="1"/>
    <x:col min="5" max="5" width="20" hidden="0" customWidth="1"/>
    <x:col min="6" max="6" width="22" hidden="0" customWidth="1"/>
    <x:col min="7" max="7" width="18" hidden="0" customWidth="1"/>
    <x:col min="8" max="8" width="24" hidden="0" customWidth="1"/>
    <x:col min="9" max="9" width="20" hidden="0" customWidth="1"/>
    <x:col min="10" max="10" width="24" hidden="0" customWidth="1"/>
  </x:cols>
  <x:sheetData>
    <x:row r="1">
      <x:c r="A1" s="173" t="str">
        <x:v>Sensitivity Ranking by Maximum Absolute Impact</x:v>
      </x:c>
      <x:c r="B1" s="173"/>
      <x:c r="C1" s="173"/>
      <x:c r="D1" s="173"/>
      <x:c r="E1" s="173"/>
      <x:c r="F1" s="173"/>
      <x:c r="G1" s="173"/>
      <x:c r="H1" s="173"/>
      <x:c r="I1" s="173"/>
      <x:c r="J1" s="173"/>
    </x:row>
    <x:row r="3">
      <x:c r="A3" s="178" t="str">
        <x:v>Rank</x:v>
      </x:c>
      <x:c r="B3" s="178" t="str">
        <x:v>Scenario</x:v>
      </x:c>
      <x:c r="C3" s="178" t="str">
        <x:v>Description</x:v>
      </x:c>
      <x:c r="D3" s="178" t="str">
        <x:v>Max |Δ Joint CFR|</x:v>
      </x:c>
      <x:c r="E3" s="178" t="str">
        <x:v>Mean |Δ Joint CFR|</x:v>
      </x:c>
      <x:c r="F3" s="178" t="str">
        <x:v>Max |Δ Joint PTA MIC4|</x:v>
      </x:c>
      <x:c r="G3" s="178" t="str">
        <x:v>Max |Δ toxicity|</x:v>
      </x:c>
      <x:c r="H3" s="178" t="str">
        <x:v>Direction</x:v>
      </x:c>
      <x:c r="I3" s="178" t="str">
        <x:v>Origin</x:v>
      </x:c>
      <x:c r="J3" s="178" t="str">
        <x:v>Transformation</x:v>
      </x:c>
    </x:row>
    <x:row r="4">
      <x:c r="A4" s="45" t="n">
        <x:v>1</x:v>
      </x:c>
      <x:c r="B4" s="45" t="str">
        <x:v>AVI_CT_6</x:v>
      </x:c>
      <x:c r="C4" s="45" t="str">
        <x:v>AVI threshold = 6 mg/L</x:v>
      </x:c>
      <x:c r="D4" s="102" t="n">
        <x:v>19.753666666666668</x:v>
      </x:c>
      <x:c r="E4" s="102" t="n">
        <x:v>16.157736872298678</x:v>
      </x:c>
      <x:c r="F4" s="102" t="n">
        <x:v>19.38000000000001</x:v>
      </x:c>
      <x:c r="G4" s="102" t="n">
        <x:v>0</x:v>
      </x:c>
      <x:c r="H4" s="45" t="str">
        <x:v>LOWER JOINT ATTAINMENT</x:v>
      </x:c>
      <x:c r="I4" s="45" t="str">
        <x:v>USER_INPUT</x:v>
      </x:c>
      <x:c r="J4" s="45" t="str">
        <x:v>SCENARIO_GENERATION</x:v>
      </x:c>
    </x:row>
    <x:row r="5">
      <x:c r="A5" s="45" t="n">
        <x:v>2</x:v>
      </x:c>
      <x:c r="B5" s="45" t="str">
        <x:v>AVI_CT_2</x:v>
      </x:c>
      <x:c r="C5" s="45" t="str">
        <x:v>AVI threshold = 2 mg/L</x:v>
      </x:c>
      <x:c r="D5" s="102" t="n">
        <x:v>18.29108333333332</x:v>
      </x:c>
      <x:c r="E5" s="102" t="n">
        <x:v>12.611610329861332</x:v>
      </x:c>
      <x:c r="F5" s="102" t="n">
        <x:v>10.260000000000005</x:v>
      </x:c>
      <x:c r="G5" s="102" t="n">
        <x:v>0</x:v>
      </x:c>
      <x:c r="H5" s="45" t="str">
        <x:v>HIGHER JOINT ATTAINMENT</x:v>
      </x:c>
      <x:c r="I5" s="45" t="str">
        <x:v>USER_INPUT</x:v>
      </x:c>
      <x:c r="J5" s="45" t="str">
        <x:v>SCENARIO_GENERATION</x:v>
      </x:c>
    </x:row>
    <x:row r="6">
      <x:c r="A6" s="45" t="n">
        <x:v>3</x:v>
      </x:c>
      <x:c r="B6" s="45" t="str">
        <x:v>AVI_CL_HIGH</x:v>
      </x:c>
      <x:c r="C6" s="45" t="str">
        <x:v>AVI typical clearance +20%</x:v>
      </x:c>
      <x:c r="D6" s="102" t="n">
        <x:v>8.18491666666668</x:v>
      </x:c>
      <x:c r="E6" s="102" t="n">
        <x:v>6.3783493738003285</x:v>
      </x:c>
      <x:c r="F6" s="102" t="n">
        <x:v>7.884999999999991</x:v>
      </x:c>
      <x:c r="G6" s="102" t="n">
        <x:v>0</x:v>
      </x:c>
      <x:c r="H6" s="45" t="str">
        <x:v>LOWER JOINT ATTAINMENT</x:v>
      </x:c>
      <x:c r="I6" s="45" t="str">
        <x:v>MODEL_INFERRED</x:v>
      </x:c>
      <x:c r="J6" s="45" t="str">
        <x:v>SCENARIO_GENERATION</x:v>
      </x:c>
    </x:row>
    <x:row r="7">
      <x:c r="A7" s="45" t="n">
        <x:v>4</x:v>
      </x:c>
      <x:c r="B7" s="45" t="str">
        <x:v>AVI_CL_LOW</x:v>
      </x:c>
      <x:c r="C7" s="45" t="str">
        <x:v>AVI typical clearance −20%</x:v>
      </x:c>
      <x:c r="D7" s="102" t="n">
        <x:v>7.808499999999995</x:v>
      </x:c>
      <x:c r="E7" s="102" t="n">
        <x:v>6.056710159051209</x:v>
      </x:c>
      <x:c r="F7" s="102" t="n">
        <x:v>6.540000000000006</x:v>
      </x:c>
      <x:c r="G7" s="102" t="n">
        <x:v>0</x:v>
      </x:c>
      <x:c r="H7" s="45" t="str">
        <x:v>HIGHER JOINT ATTAINMENT</x:v>
      </x:c>
      <x:c r="I7" s="45" t="str">
        <x:v>MODEL_INFERRED</x:v>
      </x:c>
      <x:c r="J7" s="45" t="str">
        <x:v>SCENARIO_GENERATION</x:v>
      </x:c>
    </x:row>
    <x:row r="8">
      <x:c r="A8" s="45" t="n">
        <x:v>5</x:v>
      </x:c>
      <x:c r="B8" s="45" t="str">
        <x:v>IIV_LOW</x:v>
      </x:c>
      <x:c r="C8" s="45" t="str">
        <x:v>Both IIV SDs −20%</x:v>
      </x:c>
      <x:c r="D8" s="102" t="n">
        <x:v>5.4893333333333345</x:v>
      </x:c>
      <x:c r="E8" s="102" t="n">
        <x:v>4.377899625359847</x:v>
      </x:c>
      <x:c r="F8" s="102" t="n">
        <x:v>5.7450000000000045</x:v>
      </x:c>
      <x:c r="G8" s="102" t="n">
        <x:v>4.670000000000001</x:v>
      </x:c>
      <x:c r="H8" s="45" t="str">
        <x:v>HIGHER JOINT ATTAINMENT</x:v>
      </x:c>
      <x:c r="I8" s="45" t="str">
        <x:v>MODEL_INFERRED</x:v>
      </x:c>
      <x:c r="J8" s="45" t="str">
        <x:v>SCENARIO_GENERATION</x:v>
      </x:c>
    </x:row>
    <x:row r="9">
      <x:c r="A9" s="45" t="n">
        <x:v>6</x:v>
      </x:c>
      <x:c r="B9" s="45" t="str">
        <x:v>IIV_HIGH</x:v>
      </x:c>
      <x:c r="C9" s="45" t="str">
        <x:v>Both IIV SDs +20%</x:v>
      </x:c>
      <x:c r="D9" s="102" t="n">
        <x:v>4.455083333333334</x:v>
      </x:c>
      <x:c r="E9" s="102" t="n">
        <x:v>3.7431951875628613</x:v>
      </x:c>
      <x:c r="F9" s="102" t="n">
        <x:v>4.844999999999999</x:v>
      </x:c>
      <x:c r="G9" s="102" t="n">
        <x:v>4.439999999999998</x:v>
      </x:c>
      <x:c r="H9" s="45" t="str">
        <x:v>LOWER JOINT ATTAINMENT</x:v>
      </x:c>
      <x:c r="I9" s="45" t="str">
        <x:v>MODEL_INFERRED</x:v>
      </x:c>
      <x:c r="J9" s="45" t="str">
        <x:v>SCENARIO_GENERATION</x:v>
      </x:c>
    </x:row>
    <x:row r="10">
      <x:c r="A10" s="45" t="n">
        <x:v>7</x:v>
      </x:c>
      <x:c r="B10" s="45" t="str">
        <x:v>FU_AVI_LOW</x:v>
      </x:c>
      <x:c r="C10" s="45" t="str">
        <x:v>AVI unbound fraction = 0.87</x:v>
      </x:c>
      <x:c r="D10" s="102" t="n">
        <x:v>2.4229166666666657</x:v>
      </x:c>
      <x:c r="E10" s="102" t="n">
        <x:v>1.8460189139978902</x:v>
      </x:c>
      <x:c r="F10" s="102" t="n">
        <x:v>2.299999999999997</x:v>
      </x:c>
      <x:c r="G10" s="102" t="n">
        <x:v>0</x:v>
      </x:c>
      <x:c r="H10" s="45" t="str">
        <x:v>LOWER JOINT ATTAINMENT</x:v>
      </x:c>
      <x:c r="I10" s="45" t="str">
        <x:v>MODEL_INFERRED</x:v>
      </x:c>
      <x:c r="J10" s="45" t="str">
        <x:v>SCENARIO_GENERATION</x:v>
      </x:c>
    </x:row>
    <x:row r="11">
      <x:c r="A11" s="45" t="n">
        <x:v>8</x:v>
      </x:c>
      <x:c r="B11" s="45" t="str">
        <x:v>RHO_000</x:v>
      </x:c>
      <x:c r="C11" s="45" t="str">
        <x:v>Random-effect correlation = 0</x:v>
      </x:c>
      <x:c r="D11" s="102" t="n">
        <x:v>2.2469393139841713</x:v>
      </x:c>
      <x:c r="E11" s="102" t="n">
        <x:v>0.527627245928224</x:v>
      </x:c>
      <x:c r="F11" s="102" t="n">
        <x:v>11.850000000000001</x:v>
      </x:c>
      <x:c r="G11" s="102" t="n">
        <x:v>0</x:v>
      </x:c>
      <x:c r="H11" s="45" t="str">
        <x:v>LOWER JOINT ATTAINMENT</x:v>
      </x:c>
      <x:c r="I11" s="45" t="str">
        <x:v>MODEL_INFERRED</x:v>
      </x:c>
      <x:c r="J11" s="45" t="str">
        <x:v>SCENARIO_GENERATION</x:v>
      </x:c>
    </x:row>
    <x:row r="12">
      <x:c r="A12" s="45" t="n">
        <x:v>9</x:v>
      </x:c>
      <x:c r="B12" s="45" t="str">
        <x:v>FU_AVI_HIGH</x:v>
      </x:c>
      <x:c r="C12" s="45" t="str">
        <x:v>AVI unbound fraction = 0.97</x:v>
      </x:c>
      <x:c r="D12" s="102" t="n">
        <x:v>2.051416666666668</x:v>
      </x:c>
      <x:c r="E12" s="102" t="n">
        <x:v>1.6246829800834952</x:v>
      </x:c>
      <x:c r="F12" s="102" t="n">
        <x:v>1.8400000000000034</x:v>
      </x:c>
      <x:c r="G12" s="102" t="n">
        <x:v>0</x:v>
      </x:c>
      <x:c r="H12" s="45" t="str">
        <x:v>HIGHER JOINT ATTAINMENT</x:v>
      </x:c>
      <x:c r="I12" s="45" t="str">
        <x:v>MODEL_INFERRED</x:v>
      </x:c>
      <x:c r="J12" s="45" t="str">
        <x:v>SCENARIO_GENERATION</x:v>
      </x:c>
    </x:row>
    <x:row r="13">
      <x:c r="A13" s="45" t="n">
        <x:v>10</x:v>
      </x:c>
      <x:c r="B13" s="45" t="str">
        <x:v>CAZ_TARGET_6</x:v>
      </x:c>
      <x:c r="C13" s="45" t="str">
        <x:v>CAZ target fCss/MIC ≥6</x:v>
      </x:c>
      <x:c r="D13" s="102" t="n">
        <x:v>2.028720316622696</x:v>
      </x:c>
      <x:c r="E13" s="102" t="n">
        <x:v>0.5523747558720082</x:v>
      </x:c>
      <x:c r="F13" s="102" t="n">
        <x:v>17.915</x:v>
      </x:c>
      <x:c r="G13" s="102" t="n">
        <x:v>0</x:v>
      </x:c>
      <x:c r="H13" s="45" t="str">
        <x:v>LOWER JOINT ATTAINMENT</x:v>
      </x:c>
      <x:c r="I13" s="45" t="str">
        <x:v>USER_INPUT</x:v>
      </x:c>
      <x:c r="J13" s="45" t="str">
        <x:v>SCENARIO_GENERATION</x:v>
      </x:c>
    </x:row>
    <x:row r="14">
      <x:c r="A14" s="45" t="n">
        <x:v>11</x:v>
      </x:c>
      <x:c r="B14" s="45" t="str">
        <x:v>CAZ_TARGET_2</x:v>
      </x:c>
      <x:c r="C14" s="45" t="str">
        <x:v>CAZ target fCss/MIC ≥2</x:v>
      </x:c>
      <x:c r="D14" s="102" t="n">
        <x:v>1.0496701846965806</x:v>
      </x:c>
      <x:c r="E14" s="102" t="n">
        <x:v>0.2987274514462328</x:v>
      </x:c>
      <x:c r="F14" s="102" t="n">
        <x:v>7.790000000000006</x:v>
      </x:c>
      <x:c r="G14" s="102" t="n">
        <x:v>0</x:v>
      </x:c>
      <x:c r="H14" s="45" t="str">
        <x:v>HIGHER JOINT ATTAINMENT</x:v>
      </x:c>
      <x:c r="I14" s="45" t="str">
        <x:v>USER_INPUT</x:v>
      </x:c>
      <x:c r="J14" s="45" t="str">
        <x:v>SCENARIO_GENERATION</x:v>
      </x:c>
    </x:row>
    <x:row r="15">
      <x:c r="A15" s="45" t="n">
        <x:v>12</x:v>
      </x:c>
      <x:c r="B15" s="45" t="str">
        <x:v>RHO_050</x:v>
      </x:c>
      <x:c r="C15" s="45" t="str">
        <x:v>Random-effect correlation = 0.50</x:v>
      </x:c>
      <x:c r="D15" s="102" t="n">
        <x:v>0.8185751978891744</x:v>
      </x:c>
      <x:c r="E15" s="102" t="n">
        <x:v>0.258914235936647</x:v>
      </x:c>
      <x:c r="F15" s="102" t="n">
        <x:v>6.75</x:v>
      </x:c>
      <x:c r="G15" s="102" t="n">
        <x:v>0</x:v>
      </x:c>
      <x:c r="H15" s="45" t="str">
        <x:v>LOWER JOINT ATTAINMENT</x:v>
      </x:c>
      <x:c r="I15" s="45" t="str">
        <x:v>MODEL_INFERRED</x:v>
      </x:c>
      <x:c r="J15" s="45" t="str">
        <x:v>SCENARIO_GENERATION</x:v>
      </x:c>
    </x:row>
    <x:row r="16">
      <x:c r="A16" s="45" t="n">
        <x:v>13</x:v>
      </x:c>
      <x:c r="B16" s="45" t="str">
        <x:v>CAZ_CL_HIGH</x:v>
      </x:c>
      <x:c r="C16" s="45" t="str">
        <x:v>CAZ typical clearance +20%</x:v>
      </x:c>
      <x:c r="D16" s="102" t="n">
        <x:v>0.7529155672823151</x:v>
      </x:c>
      <x:c r="E16" s="102" t="n">
        <x:v>0.17828557296448366</x:v>
      </x:c>
      <x:c r="F16" s="102" t="n">
        <x:v>7.634999999999998</x:v>
      </x:c>
      <x:c r="G16" s="102" t="n">
        <x:v>4.745000000000001</x:v>
      </x:c>
      <x:c r="H16" s="45" t="str">
        <x:v>LOWER JOINT ATTAINMENT</x:v>
      </x:c>
      <x:c r="I16" s="45" t="str">
        <x:v>MODEL_INFERRED</x:v>
      </x:c>
      <x:c r="J16" s="45" t="str">
        <x:v>SCENARIO_GENERATION</x:v>
      </x:c>
    </x:row>
    <x:row r="17">
      <x:c r="A17" s="45" t="n">
        <x:v>14</x:v>
      </x:c>
      <x:c r="B17" s="45" t="str">
        <x:v>CAZ_CL_LOW</x:v>
      </x:c>
      <x:c r="C17" s="45" t="str">
        <x:v>CAZ typical clearance −20%</x:v>
      </x:c>
      <x:c r="D17" s="102" t="n">
        <x:v>0.6040633245382594</x:v>
      </x:c>
      <x:c r="E17" s="102" t="n">
        <x:v>0.12746205684836553</x:v>
      </x:c>
      <x:c r="F17" s="102" t="n">
        <x:v>5.7050000000000125</x:v>
      </x:c>
      <x:c r="G17" s="102" t="n">
        <x:v>8.785</x:v>
      </x:c>
      <x:c r="H17" s="45" t="str">
        <x:v>HIGHER JOINT ATTAINMENT</x:v>
      </x:c>
      <x:c r="I17" s="45" t="str">
        <x:v>MODEL_INFERRED</x:v>
      </x:c>
      <x:c r="J17" s="45" t="str">
        <x:v>SCENARIO_GENERATION</x:v>
      </x:c>
    </x:row>
    <x:row r="18">
      <x:c r="A18" s="45" t="n">
        <x:v>15</x:v>
      </x:c>
      <x:c r="B18" s="45" t="str">
        <x:v>FU_CAZ_LOW</x:v>
      </x:c>
      <x:c r="C18" s="45" t="str">
        <x:v>CAZ unbound fraction = 0.80</x:v>
      </x:c>
      <x:c r="D18" s="102" t="n">
        <x:v>0.2129419525066112</x:v>
      </x:c>
      <x:c r="E18" s="102" t="n">
        <x:v>0.049254139910962634</x:v>
      </x:c>
      <x:c r="F18" s="102" t="n">
        <x:v>2.1499999999999915</x:v>
      </x:c>
      <x:c r="G18" s="102" t="n">
        <x:v>0</x:v>
      </x:c>
      <x:c r="H18" s="45" t="str">
        <x:v>MINIMAL PTA EFFECT</x:v>
      </x:c>
      <x:c r="I18" s="45" t="str">
        <x:v>MODEL_INFERRED</x:v>
      </x:c>
      <x:c r="J18" s="45" t="str">
        <x:v>SCENARIO_GENERATION</x:v>
      </x:c>
    </x:row>
    <x:row r="19">
      <x:c r="A19" s="45" t="n">
        <x:v>16</x:v>
      </x:c>
      <x:c r="B19" s="45" t="str">
        <x:v>FU_CAZ_HIGH</x:v>
      </x:c>
      <x:c r="C19" s="45" t="str">
        <x:v>CAZ unbound fraction = 0.90</x:v>
      </x:c>
      <x:c r="D19" s="102" t="n">
        <x:v>0.1932849604221616</x:v>
      </x:c>
      <x:c r="E19" s="102" t="n">
        <x:v>0.03858697661961159</x:v>
      </x:c>
      <x:c r="F19" s="102" t="n">
        <x:v>1.9150000000000063</x:v>
      </x:c>
      <x:c r="G19" s="102" t="n">
        <x:v>0</x:v>
      </x:c>
      <x:c r="H19" s="45" t="str">
        <x:v>MINIMAL PTA EFFECT</x:v>
      </x:c>
      <x:c r="I19" s="45" t="str">
        <x:v>MODEL_INFERRED</x:v>
      </x:c>
      <x:c r="J19" s="45" t="str">
        <x:v>SCENARIO_GENERATION</x:v>
      </x:c>
    </x:row>
    <x:row r="20">
      <x:c r="A20" s="45" t="n">
        <x:v>17</x:v>
      </x:c>
      <x:c r="B20" s="45" t="str">
        <x:v>BASE</x:v>
      </x:c>
      <x:c r="C20" s="45" t="str">
        <x:v>Baseline validated pilot</x:v>
      </x:c>
      <x:c r="D20" s="102" t="n">
        <x:v>0</x:v>
      </x:c>
      <x:c r="E20" s="102" t="n">
        <x:v>0</x:v>
      </x:c>
      <x:c r="F20" s="102" t="n">
        <x:v>0</x:v>
      </x:c>
      <x:c r="G20" s="102" t="n">
        <x:v>0</x:v>
      </x:c>
      <x:c r="H20" s="45" t="str">
        <x:v>BASELINE</x:v>
      </x:c>
      <x:c r="I20" s="45" t="str">
        <x:v>USER_INPUT</x:v>
      </x:c>
      <x:c r="J20" s="45" t="str">
        <x:v>NONE</x:v>
      </x:c>
    </x:row>
    <x:row r="21">
      <x:c r="A21" s="45" t="n">
        <x:v>18</x:v>
      </x:c>
      <x:c r="B21" s="45" t="str">
        <x:v>TOX_80</x:v>
      </x:c>
      <x:c r="C21" s="45" t="str">
        <x:v>CAZ toxicity threshold = 80 mg/L</x:v>
      </x:c>
      <x:c r="D21" s="102" t="n">
        <x:v>0</x:v>
      </x:c>
      <x:c r="E21" s="102" t="n">
        <x:v>0</x:v>
      </x:c>
      <x:c r="F21" s="102" t="n">
        <x:v>0</x:v>
      </x:c>
      <x:c r="G21" s="102" t="n">
        <x:v>10.509999999999998</x:v>
      </x:c>
      <x:c r="H21" s="45" t="str">
        <x:v>MINIMAL PTA EFFECT</x:v>
      </x:c>
      <x:c r="I21" s="45" t="str">
        <x:v>USER_INPUT</x:v>
      </x:c>
      <x:c r="J21" s="45" t="str">
        <x:v>SCENARIO_GENERATION</x:v>
      </x:c>
    </x:row>
    <x:row r="22">
      <x:c r="A22" s="45" t="n">
        <x:v>19</x:v>
      </x:c>
      <x:c r="B22" s="45" t="str">
        <x:v>TOX_128</x:v>
      </x:c>
      <x:c r="C22" s="45" t="str">
        <x:v>CAZ toxicity threshold = 128 mg/L</x:v>
      </x:c>
      <x:c r="D22" s="102" t="n">
        <x:v>0</x:v>
      </x:c>
      <x:c r="E22" s="102" t="n">
        <x:v>0</x:v>
      </x:c>
      <x:c r="F22" s="102" t="n">
        <x:v>0</x:v>
      </x:c>
      <x:c r="G22" s="102" t="n">
        <x:v>5.28</x:v>
      </x:c>
      <x:c r="H22" s="45" t="str">
        <x:v>MINIMAL PTA EFFECT</x:v>
      </x:c>
      <x:c r="I22" s="45" t="str">
        <x:v>USER_INPUT</x:v>
      </x:c>
      <x:c r="J22" s="45" t="str">
        <x:v>SCENARIO_GENERATION</x:v>
      </x:c>
    </x:row>
  </x:sheetData>
  <x:mergeCells>
    <x:mergeCell ref="A1:J1"/>
  </x:mergeCells>
  <x:pageMargins left="0.7" right="0.7" top="0.75" bottom="0.75" header="0.3" footer="0.3"/>
  <x:drawing xmlns:r="http://schemas.openxmlformats.org/officeDocument/2006/relationships" r:id="R1f4f6416f10e4bde"/>
</x:worksheet>
</file>

<file path=xl/worksheets/sheet32.xml><?xml version="1.0" encoding="utf-8"?>
<x:worksheet xmlns:x="http://schemas.openxmlformats.org/spreadsheetml/2006/main">
  <x:sheetFormatPr defaultRowHeight="15"/>
  <x:cols>
    <x:col min="1" max="1" width="18" hidden="0" customWidth="1"/>
    <x:col min="2" max="2" width="40" hidden="0" customWidth="1"/>
    <x:col min="3" max="3" width="10" hidden="0" customWidth="1"/>
    <x:col min="4" max="4" width="12" hidden="0" customWidth="1"/>
    <x:col min="5" max="5" width="28" hidden="0" customWidth="1"/>
    <x:col min="6" max="6" width="42" hidden="0" customWidth="1"/>
    <x:col min="7" max="7" width="14" hidden="0" customWidth="1"/>
    <x:col min="8" max="8" width="16" hidden="0" customWidth="1"/>
    <x:col min="9" max="9" width="14" hidden="0" customWidth="1"/>
    <x:col min="10" max="10" width="16" hidden="0" customWidth="1"/>
    <x:col min="11" max="11" width="13" hidden="0" customWidth="1"/>
    <x:col min="12" max="12" width="15" hidden="0" customWidth="1"/>
    <x:col min="13" max="13" width="20" hidden="0" customWidth="1"/>
  </x:cols>
  <x:sheetData>
    <x:row r="1">
      <x:c r="A1" s="179" t="str">
        <x:v>Scenario-Induced Decision Category or Toxicity Reversals</x:v>
      </x:c>
      <x:c r="B1" s="179"/>
      <x:c r="C1" s="179"/>
      <x:c r="D1" s="179"/>
      <x:c r="E1" s="179"/>
      <x:c r="F1" s="179"/>
      <x:c r="G1" s="179"/>
      <x:c r="H1" s="179"/>
      <x:c r="I1" s="179"/>
      <x:c r="J1" s="179"/>
      <x:c r="K1" s="179"/>
      <x:c r="L1" s="179"/>
      <x:c r="M1" s="179"/>
    </x:row>
    <x:row r="3">
      <x:c r="A3" s="178" t="str">
        <x:v>Scenario</x:v>
      </x:c>
      <x:c r="B3" s="178" t="str">
        <x:v>Description</x:v>
      </x:c>
      <x:c r="C3" s="178" t="str">
        <x:v>Regimen</x:v>
      </x:c>
      <x:c r="D3" s="178" t="str">
        <x:v>EKFC</x:v>
      </x:c>
      <x:c r="E3" s="178" t="str">
        <x:v>Distribution ID</x:v>
      </x:c>
      <x:c r="F3" s="178" t="str">
        <x:v>Distribution</x:v>
      </x:c>
      <x:c r="G3" s="178" t="str">
        <x:v>Base Joint CFR</x:v>
      </x:c>
      <x:c r="H3" s="178" t="str">
        <x:v>Scenario Joint CFR</x:v>
      </x:c>
      <x:c r="I3" s="178" t="str">
        <x:v>Base category</x:v>
      </x:c>
      <x:c r="J3" s="178" t="str">
        <x:v>Scenario category</x:v>
      </x:c>
      <x:c r="K3" s="178" t="str">
        <x:v>Base toxicity</x:v>
      </x:c>
      <x:c r="L3" s="178" t="str">
        <x:v>Scenario toxicity</x:v>
      </x:c>
      <x:c r="M3" s="178" t="str">
        <x:v>Toxicity gate changed</x:v>
      </x:c>
    </x:row>
    <x:row r="4">
      <x:c r="A4" t="str">
        <x:v>CAZ_CL_LOW</x:v>
      </x:c>
      <x:c r="B4" t="str">
        <x:v>CAZ typical clearance −20%</x:v>
      </x:c>
      <x:c r="C4" t="str">
        <x:v>R8</x:v>
      </x:c>
      <x:c r="D4" t="str">
        <x:v>31–60</x:v>
      </x:c>
      <x:c r="E4" t="str">
        <x:v>LEE2022_KPC_KP</x:v>
      </x:c>
      <x:c r="F4" t="str">
        <x:v>KPC-like CR-K. pneumoniae, ATLAS 2020</x:v>
      </x:c>
      <x:c r="G4" s="63" t="n">
        <x:v>88.41282321899736</x:v>
      </x:c>
      <x:c r="H4" s="63" t="n">
        <x:v>88.6645382585752</x:v>
      </x:c>
      <x:c r="I4" s="63" t="str">
        <x:v>ACCEPTABLE</x:v>
      </x:c>
      <x:c r="J4" s="63" t="str">
        <x:v>ACCEPTABLE</x:v>
      </x:c>
      <x:c r="K4" s="63" t="n">
        <x:v>9.62</x:v>
      </x:c>
      <x:c r="L4" s="63" t="n">
        <x:v>17.305</x:v>
      </x:c>
      <x:c r="M4" t="str">
        <x:v>YES</x:v>
      </x:c>
    </x:row>
    <x:row r="5">
      <x:c r="A5" t="str">
        <x:v>CAZ_CL_LOW</x:v>
      </x:c>
      <x:c r="B5" t="str">
        <x:v>CAZ typical clearance −20%</x:v>
      </x:c>
      <x:c r="C5" t="str">
        <x:v>R8</x:v>
      </x:c>
      <x:c r="D5" t="str">
        <x:v>31–60</x:v>
      </x:c>
      <x:c r="E5" t="str">
        <x:v>LEE2022_OXA_KP</x:v>
      </x:c>
      <x:c r="F5" t="str">
        <x:v>OXA-like CR-K. pneumoniae, ATLAS 2020</x:v>
      </x:c>
      <x:c r="G5" s="63" t="n">
        <x:v>87.95485169491526</x:v>
      </x:c>
      <x:c r="H5" s="63" t="n">
        <x:v>88.05014830508475</x:v>
      </x:c>
      <x:c r="I5" s="63" t="str">
        <x:v>ACCEPTABLE</x:v>
      </x:c>
      <x:c r="J5" s="63" t="str">
        <x:v>ACCEPTABLE</x:v>
      </x:c>
      <x:c r="K5" s="63" t="n">
        <x:v>9.62</x:v>
      </x:c>
      <x:c r="L5" s="63" t="n">
        <x:v>17.305</x:v>
      </x:c>
      <x:c r="M5" t="str">
        <x:v>YES</x:v>
      </x:c>
    </x:row>
    <x:row r="6">
      <x:c r="A6" t="str">
        <x:v>CAZ_CL_LOW</x:v>
      </x:c>
      <x:c r="B6" t="str">
        <x:v>CAZ typical clearance −20%</x:v>
      </x:c>
      <x:c r="C6" t="str">
        <x:v>R8</x:v>
      </x:c>
      <x:c r="D6" t="str">
        <x:v>31–60</x:v>
      </x:c>
      <x:c r="E6" t="str">
        <x:v>INDIA2022_OXA48_KP</x:v>
      </x:c>
      <x:c r="F6" t="str">
        <x:v>OXA-48-like CR-K. pneumoniae, India</x:v>
      </x:c>
      <x:c r="G6" s="63" t="n">
        <x:v>85.96338235294118</x:v>
      </x:c>
      <x:c r="H6" s="63" t="n">
        <x:v>86.03974264705883</x:v>
      </x:c>
      <x:c r="I6" s="63" t="str">
        <x:v>ACCEPTABLE</x:v>
      </x:c>
      <x:c r="J6" s="63" t="str">
        <x:v>ACCEPTABLE</x:v>
      </x:c>
      <x:c r="K6" s="63" t="n">
        <x:v>9.62</x:v>
      </x:c>
      <x:c r="L6" s="63" t="n">
        <x:v>17.305</x:v>
      </x:c>
      <x:c r="M6" t="str">
        <x:v>YES</x:v>
      </x:c>
    </x:row>
    <x:row r="7">
      <x:c r="A7" t="str">
        <x:v>CAZ_CL_LOW</x:v>
      </x:c>
      <x:c r="B7" t="str">
        <x:v>CAZ typical clearance −20%</x:v>
      </x:c>
      <x:c r="C7" t="str">
        <x:v>R8</x:v>
      </x:c>
      <x:c r="D7" t="str">
        <x:v>31–60</x:v>
      </x:c>
      <x:c r="E7" t="str">
        <x:v>FR2024_OXA484_SERINE_ONLY</x:v>
      </x:c>
      <x:c r="F7" t="str">
        <x:v>French OXA-484 Enterobacterales, serine-only</x:v>
      </x:c>
      <x:c r="G7" s="63" t="n">
        <x:v>89.20433333333331</x:v>
      </x:c>
      <x:c r="H7" s="63" t="n">
        <x:v>89.22224999999999</x:v>
      </x:c>
      <x:c r="I7" s="63" t="str">
        <x:v>ACCEPTABLE</x:v>
      </x:c>
      <x:c r="J7" s="63" t="str">
        <x:v>ACCEPTABLE</x:v>
      </x:c>
      <x:c r="K7" s="63" t="n">
        <x:v>9.62</x:v>
      </x:c>
      <x:c r="L7" s="63" t="n">
        <x:v>17.305</x:v>
      </x:c>
      <x:c r="M7" t="str">
        <x:v>YES</x:v>
      </x:c>
    </x:row>
    <x:row r="8">
      <x:c r="A8" t="str">
        <x:v>CAZ_CL_LOW</x:v>
      </x:c>
      <x:c r="B8" t="str">
        <x:v>CAZ typical clearance −20%</x:v>
      </x:c>
      <x:c r="C8" t="str">
        <x:v>R10</x:v>
      </x:c>
      <x:c r="D8" t="str">
        <x:v>61–90</x:v>
      </x:c>
      <x:c r="E8" t="str">
        <x:v>LEE2022_KPC_KP</x:v>
      </x:c>
      <x:c r="F8" t="str">
        <x:v>KPC-like CR-K. pneumoniae, ATLAS 2020</x:v>
      </x:c>
      <x:c r="G8" s="63" t="n">
        <x:v>87.42915567282323</x:v>
      </x:c>
      <x:c r="H8" s="63" t="n">
        <x:v>87.63310026385224</x:v>
      </x:c>
      <x:c r="I8" s="63" t="str">
        <x:v>ACCEPTABLE</x:v>
      </x:c>
      <x:c r="J8" s="63" t="str">
        <x:v>ACCEPTABLE</x:v>
      </x:c>
      <x:c r="K8" s="63" t="n">
        <x:v>10.665</x:v>
      </x:c>
      <x:c r="L8" s="63" t="n">
        <x:v>18.825</x:v>
      </x:c>
      <x:c r="M8" t="str">
        <x:v>YES</x:v>
      </x:c>
    </x:row>
    <x:row r="9">
      <x:c r="A9" t="str">
        <x:v>CAZ_CL_LOW</x:v>
      </x:c>
      <x:c r="B9" t="str">
        <x:v>CAZ typical clearance −20%</x:v>
      </x:c>
      <x:c r="C9" t="str">
        <x:v>R10</x:v>
      </x:c>
      <x:c r="D9" t="str">
        <x:v>61–90</x:v>
      </x:c>
      <x:c r="E9" t="str">
        <x:v>LEE2022_OXA_KP</x:v>
      </x:c>
      <x:c r="F9" t="str">
        <x:v>OXA-like CR-K. pneumoniae, ATLAS 2020</x:v>
      </x:c>
      <x:c r="G9" s="63" t="n">
        <x:v>86.91703389830509</x:v>
      </x:c>
      <x:c r="H9" s="63" t="n">
        <x:v>86.99921610169493</x:v>
      </x:c>
      <x:c r="I9" s="63" t="str">
        <x:v>ACCEPTABLE</x:v>
      </x:c>
      <x:c r="J9" s="63" t="str">
        <x:v>ACCEPTABLE</x:v>
      </x:c>
      <x:c r="K9" s="63" t="n">
        <x:v>10.665</x:v>
      </x:c>
      <x:c r="L9" s="63" t="n">
        <x:v>18.825</x:v>
      </x:c>
      <x:c r="M9" t="str">
        <x:v>YES</x:v>
      </x:c>
    </x:row>
    <x:row r="10">
      <x:c r="A10" t="str">
        <x:v>CAZ_CL_LOW</x:v>
      </x:c>
      <x:c r="B10" t="str">
        <x:v>CAZ typical clearance −20%</x:v>
      </x:c>
      <x:c r="C10" t="str">
        <x:v>R10</x:v>
      </x:c>
      <x:c r="D10" t="str">
        <x:v>61–90</x:v>
      </x:c>
      <x:c r="E10" t="str">
        <x:v>INDIA2022_OXA48_KP</x:v>
      </x:c>
      <x:c r="F10" t="str">
        <x:v>OXA-48-like CR-K. pneumoniae, India</x:v>
      </x:c>
      <x:c r="G10" s="63" t="n">
        <x:v>84.93959558823529</x:v>
      </x:c>
      <x:c r="H10" s="63" t="n">
        <x:v>85.01099264705883</x:v>
      </x:c>
      <x:c r="I10" s="63" t="str">
        <x:v>ACCEPTABLE</x:v>
      </x:c>
      <x:c r="J10" s="63" t="str">
        <x:v>ACCEPTABLE</x:v>
      </x:c>
      <x:c r="K10" s="63" t="n">
        <x:v>10.665</x:v>
      </x:c>
      <x:c r="L10" s="63" t="n">
        <x:v>18.825</x:v>
      </x:c>
      <x:c r="M10" t="str">
        <x:v>YES</x:v>
      </x:c>
    </x:row>
    <x:row r="11">
      <x:c r="A11" t="str">
        <x:v>CAZ_CL_LOW</x:v>
      </x:c>
      <x:c r="B11" t="str">
        <x:v>CAZ typical clearance −20%</x:v>
      </x:c>
      <x:c r="C11" t="str">
        <x:v>R10</x:v>
      </x:c>
      <x:c r="D11" t="str">
        <x:v>61–90</x:v>
      </x:c>
      <x:c r="E11" t="str">
        <x:v>FR2024_OXA484_SERINE_ONLY</x:v>
      </x:c>
      <x:c r="F11" t="str">
        <x:v>French OXA-484 Enterobacterales, serine-only</x:v>
      </x:c>
      <x:c r="G11" s="63" t="n">
        <x:v>88.12991666666667</x:v>
      </x:c>
      <x:c r="H11" s="63" t="n">
        <x:v>88.13908333333335</x:v>
      </x:c>
      <x:c r="I11" s="63" t="str">
        <x:v>ACCEPTABLE</x:v>
      </x:c>
      <x:c r="J11" s="63" t="str">
        <x:v>ACCEPTABLE</x:v>
      </x:c>
      <x:c r="K11" s="63" t="n">
        <x:v>10.665</x:v>
      </x:c>
      <x:c r="L11" s="63" t="n">
        <x:v>18.825</x:v>
      </x:c>
      <x:c r="M11" t="str">
        <x:v>YES</x:v>
      </x:c>
    </x:row>
    <x:row r="12">
      <x:c r="A12" t="str">
        <x:v>CAZ_CL_LOW</x:v>
      </x:c>
      <x:c r="B12" t="str">
        <x:v>CAZ typical clearance −20%</x:v>
      </x:c>
      <x:c r="C12" t="str">
        <x:v>R12</x:v>
      </x:c>
      <x:c r="D12" t="str">
        <x:v>91–120</x:v>
      </x:c>
      <x:c r="E12" t="str">
        <x:v>LEE2022_KPC_KP</x:v>
      </x:c>
      <x:c r="F12" t="str">
        <x:v>KPC-like CR-K. pneumoniae, ATLAS 2020</x:v>
      </x:c>
      <x:c r="G12" s="63" t="n">
        <x:v>87.49072559366755</x:v>
      </x:c>
      <x:c r="H12" s="63" t="n">
        <x:v>87.67021108179419</x:v>
      </x:c>
      <x:c r="I12" s="63" t="str">
        <x:v>ACCEPTABLE</x:v>
      </x:c>
      <x:c r="J12" s="63" t="str">
        <x:v>ACCEPTABLE</x:v>
      </x:c>
      <x:c r="K12" s="63" t="n">
        <x:v>11.82</x:v>
      </x:c>
      <x:c r="L12" s="63" t="n">
        <x:v>20.605</x:v>
      </x:c>
      <x:c r="M12" t="str">
        <x:v>YES</x:v>
      </x:c>
    </x:row>
    <x:row r="13">
      <x:c r="A13" t="str">
        <x:v>CAZ_CL_LOW</x:v>
      </x:c>
      <x:c r="B13" t="str">
        <x:v>CAZ typical clearance −20%</x:v>
      </x:c>
      <x:c r="C13" t="str">
        <x:v>R12</x:v>
      </x:c>
      <x:c r="D13" t="str">
        <x:v>91–120</x:v>
      </x:c>
      <x:c r="E13" t="str">
        <x:v>LEE2022_OXA_KP</x:v>
      </x:c>
      <x:c r="F13" t="str">
        <x:v>OXA-like CR-K. pneumoniae, ATLAS 2020</x:v>
      </x:c>
      <x:c r="G13" s="63" t="n">
        <x:v>86.93947033898306</x:v>
      </x:c>
      <x:c r="H13" s="63" t="n">
        <x:v>87.01508474576272</x:v>
      </x:c>
      <x:c r="I13" s="63" t="str">
        <x:v>ACCEPTABLE</x:v>
      </x:c>
      <x:c r="J13" s="63" t="str">
        <x:v>ACCEPTABLE</x:v>
      </x:c>
      <x:c r="K13" s="63" t="n">
        <x:v>11.82</x:v>
      </x:c>
      <x:c r="L13" s="63" t="n">
        <x:v>20.605</x:v>
      </x:c>
      <x:c r="M13" t="str">
        <x:v>YES</x:v>
      </x:c>
    </x:row>
    <x:row r="14">
      <x:c r="A14" t="str">
        <x:v>CAZ_CL_LOW</x:v>
      </x:c>
      <x:c r="B14" t="str">
        <x:v>CAZ typical clearance −20%</x:v>
      </x:c>
      <x:c r="C14" t="str">
        <x:v>R12</x:v>
      </x:c>
      <x:c r="D14" t="str">
        <x:v>91–120</x:v>
      </x:c>
      <x:c r="E14" t="str">
        <x:v>INDIA2022_OXA48_KP</x:v>
      </x:c>
      <x:c r="F14" t="str">
        <x:v>OXA-48-like CR-K. pneumoniae, India</x:v>
      </x:c>
      <x:c r="G14" s="63" t="n">
        <x:v>84.95058823529412</x:v>
      </x:c>
      <x:c r="H14" s="63" t="n">
        <x:v>85.02639705882352</x:v>
      </x:c>
      <x:c r="I14" s="63" t="str">
        <x:v>ACCEPTABLE</x:v>
      </x:c>
      <x:c r="J14" s="63" t="str">
        <x:v>ACCEPTABLE</x:v>
      </x:c>
      <x:c r="K14" s="63" t="n">
        <x:v>11.82</x:v>
      </x:c>
      <x:c r="L14" s="63" t="n">
        <x:v>20.605</x:v>
      </x:c>
      <x:c r="M14" t="str">
        <x:v>YES</x:v>
      </x:c>
    </x:row>
    <x:row r="15">
      <x:c r="A15" t="str">
        <x:v>CAZ_CL_LOW</x:v>
      </x:c>
      <x:c r="B15" t="str">
        <x:v>CAZ typical clearance −20%</x:v>
      </x:c>
      <x:c r="C15" t="str">
        <x:v>R12</x:v>
      </x:c>
      <x:c r="D15" t="str">
        <x:v>91–120</x:v>
      </x:c>
      <x:c r="E15" t="str">
        <x:v>FR2024_OXA484_SERINE_ONLY</x:v>
      </x:c>
      <x:c r="F15" t="str">
        <x:v>French OXA-484 Enterobacterales, serine-only</x:v>
      </x:c>
      <x:c r="G15" s="63" t="n">
        <x:v>88.13366666666667</x:v>
      </x:c>
      <x:c r="H15" s="63" t="n">
        <x:v>88.13950000000001</x:v>
      </x:c>
      <x:c r="I15" s="63" t="str">
        <x:v>ACCEPTABLE</x:v>
      </x:c>
      <x:c r="J15" s="63" t="str">
        <x:v>ACCEPTABLE</x:v>
      </x:c>
      <x:c r="K15" s="63" t="n">
        <x:v>11.82</x:v>
      </x:c>
      <x:c r="L15" s="63" t="n">
        <x:v>20.605</x:v>
      </x:c>
      <x:c r="M15" t="str">
        <x:v>YES</x:v>
      </x:c>
    </x:row>
    <x:row r="16">
      <x:c r="A16" t="str">
        <x:v>AVI_CL_LOW</x:v>
      </x:c>
      <x:c r="B16" t="str">
        <x:v>AVI typical clearance −20%</x:v>
      </x:c>
      <x:c r="C16" t="str">
        <x:v>R1</x:v>
      </x:c>
      <x:c r="D16" t="str">
        <x:v>0–30</x:v>
      </x:c>
      <x:c r="E16" t="str">
        <x:v>LEE2022_OXA_KP</x:v>
      </x:c>
      <x:c r="F16" t="str">
        <x:v>OXA-like CR-K. pneumoniae, ATLAS 2020</x:v>
      </x:c>
      <x:c r="G16" s="63" t="n">
        <x:v>72.95300847457627</x:v>
      </x:c>
      <x:c r="H16" s="63" t="n">
        <x:v>80.49364406779661</x:v>
      </x:c>
      <x:c r="I16" s="63" t="str">
        <x:v>LOW</x:v>
      </x:c>
      <x:c r="J16" s="63" t="str">
        <x:v>ACCEPTABLE</x:v>
      </x:c>
      <x:c r="K16" s="63" t="n">
        <x:v>9.42</x:v>
      </x:c>
      <x:c r="L16" s="63" t="n">
        <x:v>9.42</x:v>
      </x:c>
      <x:c r="M16" t="str">
        <x:v>NO</x:v>
      </x:c>
    </x:row>
    <x:row r="17">
      <x:c r="A17" t="str">
        <x:v>AVI_CL_LOW</x:v>
      </x:c>
      <x:c r="B17" t="str">
        <x:v>AVI typical clearance −20%</x:v>
      </x:c>
      <x:c r="C17" t="str">
        <x:v>R1</x:v>
      </x:c>
      <x:c r="D17" t="str">
        <x:v>0–30</x:v>
      </x:c>
      <x:c r="E17" t="str">
        <x:v>FR2024_OXA484_SERINE_ONLY</x:v>
      </x:c>
      <x:c r="F17" t="str">
        <x:v>French OXA-484 Enterobacterales, serine-only</x:v>
      </x:c>
      <x:c r="G17" s="63" t="n">
        <x:v>74.08933333333334</x:v>
      </x:c>
      <x:c r="H17" s="63" t="n">
        <x:v>81.82791666666665</x:v>
      </x:c>
      <x:c r="I17" s="63" t="str">
        <x:v>LOW</x:v>
      </x:c>
      <x:c r="J17" s="63" t="str">
        <x:v>ACCEPTABLE</x:v>
      </x:c>
      <x:c r="K17" s="63" t="n">
        <x:v>9.42</x:v>
      </x:c>
      <x:c r="L17" s="63" t="n">
        <x:v>9.42</x:v>
      </x:c>
      <x:c r="M17" t="str">
        <x:v>NO</x:v>
      </x:c>
    </x:row>
    <x:row r="18">
      <x:c r="A18" t="str">
        <x:v>AVI_CL_LOW</x:v>
      </x:c>
      <x:c r="B18" t="str">
        <x:v>AVI typical clearance −20%</x:v>
      </x:c>
      <x:c r="C18" t="str">
        <x:v>R8</x:v>
      </x:c>
      <x:c r="D18" t="str">
        <x:v>31–60</x:v>
      </x:c>
      <x:c r="E18" t="str">
        <x:v>LEE2022_KPC_KP</x:v>
      </x:c>
      <x:c r="F18" t="str">
        <x:v>KPC-like CR-K. pneumoniae, ATLAS 2020</x:v>
      </x:c>
      <x:c r="G18" s="63" t="n">
        <x:v>88.41282321899736</x:v>
      </x:c>
      <x:c r="H18" s="63" t="n">
        <x:v>93.13389182058047</x:v>
      </x:c>
      <x:c r="I18" s="63" t="str">
        <x:v>ACCEPTABLE</x:v>
      </x:c>
      <x:c r="J18" s="63" t="str">
        <x:v>OPTIMAL</x:v>
      </x:c>
      <x:c r="K18" s="63" t="n">
        <x:v>9.62</x:v>
      </x:c>
      <x:c r="L18" s="63" t="n">
        <x:v>9.62</x:v>
      </x:c>
      <x:c r="M18" t="str">
        <x:v>NO</x:v>
      </x:c>
    </x:row>
    <x:row r="19">
      <x:c r="A19" t="str">
        <x:v>AVI_CL_LOW</x:v>
      </x:c>
      <x:c r="B19" t="str">
        <x:v>AVI typical clearance −20%</x:v>
      </x:c>
      <x:c r="C19" t="str">
        <x:v>R8</x:v>
      </x:c>
      <x:c r="D19" t="str">
        <x:v>31–60</x:v>
      </x:c>
      <x:c r="E19" t="str">
        <x:v>LEE2022_OXA_KP</x:v>
      </x:c>
      <x:c r="F19" t="str">
        <x:v>OXA-like CR-K. pneumoniae, ATLAS 2020</x:v>
      </x:c>
      <x:c r="G19" s="63" t="n">
        <x:v>87.95485169491526</x:v>
      </x:c>
      <x:c r="H19" s="63" t="n">
        <x:v>92.79834745762714</x:v>
      </x:c>
      <x:c r="I19" s="63" t="str">
        <x:v>ACCEPTABLE</x:v>
      </x:c>
      <x:c r="J19" s="63" t="str">
        <x:v>OPTIMAL</x:v>
      </x:c>
      <x:c r="K19" s="63" t="n">
        <x:v>9.62</x:v>
      </x:c>
      <x:c r="L19" s="63" t="n">
        <x:v>9.62</x:v>
      </x:c>
      <x:c r="M19" t="str">
        <x:v>NO</x:v>
      </x:c>
    </x:row>
    <x:row r="20">
      <x:c r="A20" t="str">
        <x:v>AVI_CL_LOW</x:v>
      </x:c>
      <x:c r="B20" t="str">
        <x:v>AVI typical clearance −20%</x:v>
      </x:c>
      <x:c r="C20" t="str">
        <x:v>R8</x:v>
      </x:c>
      <x:c r="D20" t="str">
        <x:v>31–60</x:v>
      </x:c>
      <x:c r="E20" t="str">
        <x:v>INDIA2022_OXA48_KP</x:v>
      </x:c>
      <x:c r="F20" t="str">
        <x:v>OXA-48-like CR-K. pneumoniae, India</x:v>
      </x:c>
      <x:c r="G20" s="63" t="n">
        <x:v>85.96338235294118</x:v>
      </x:c>
      <x:c r="H20" s="63" t="n">
        <x:v>90.71636029411765</x:v>
      </x:c>
      <x:c r="I20" s="63" t="str">
        <x:v>ACCEPTABLE</x:v>
      </x:c>
      <x:c r="J20" s="63" t="str">
        <x:v>OPTIMAL</x:v>
      </x:c>
      <x:c r="K20" s="63" t="n">
        <x:v>9.62</x:v>
      </x:c>
      <x:c r="L20" s="63" t="n">
        <x:v>9.62</x:v>
      </x:c>
      <x:c r="M20" t="str">
        <x:v>NO</x:v>
      </x:c>
    </x:row>
    <x:row r="21">
      <x:c r="A21" t="str">
        <x:v>AVI_CL_LOW</x:v>
      </x:c>
      <x:c r="B21" t="str">
        <x:v>AVI typical clearance −20%</x:v>
      </x:c>
      <x:c r="C21" t="str">
        <x:v>R8</x:v>
      </x:c>
      <x:c r="D21" t="str">
        <x:v>31–60</x:v>
      </x:c>
      <x:c r="E21" t="str">
        <x:v>FR2024_OXA484_SERINE_ONLY</x:v>
      </x:c>
      <x:c r="F21" t="str">
        <x:v>French OXA-484 Enterobacterales, serine-only</x:v>
      </x:c>
      <x:c r="G21" s="63" t="n">
        <x:v>89.20433333333331</x:v>
      </x:c>
      <x:c r="H21" s="63" t="n">
        <x:v>94.15183333333334</x:v>
      </x:c>
      <x:c r="I21" s="63" t="str">
        <x:v>ACCEPTABLE</x:v>
      </x:c>
      <x:c r="J21" s="63" t="str">
        <x:v>OPTIMAL</x:v>
      </x:c>
      <x:c r="K21" s="63" t="n">
        <x:v>9.62</x:v>
      </x:c>
      <x:c r="L21" s="63" t="n">
        <x:v>9.62</x:v>
      </x:c>
      <x:c r="M21" t="str">
        <x:v>NO</x:v>
      </x:c>
    </x:row>
    <x:row r="22">
      <x:c r="A22" t="str">
        <x:v>AVI_CL_LOW</x:v>
      </x:c>
      <x:c r="B22" t="str">
        <x:v>AVI typical clearance −20%</x:v>
      </x:c>
      <x:c r="C22" t="str">
        <x:v>R10</x:v>
      </x:c>
      <x:c r="D22" t="str">
        <x:v>61–90</x:v>
      </x:c>
      <x:c r="E22" t="str">
        <x:v>LEE2022_KPC_KP</x:v>
      </x:c>
      <x:c r="F22" t="str">
        <x:v>KPC-like CR-K. pneumoniae, ATLAS 2020</x:v>
      </x:c>
      <x:c r="G22" s="63" t="n">
        <x:v>87.42915567282323</x:v>
      </x:c>
      <x:c r="H22" s="63" t="n">
        <x:v>92.52233509234831</x:v>
      </x:c>
      <x:c r="I22" s="63" t="str">
        <x:v>ACCEPTABLE</x:v>
      </x:c>
      <x:c r="J22" s="63" t="str">
        <x:v>OPTIMAL</x:v>
      </x:c>
      <x:c r="K22" s="63" t="n">
        <x:v>10.665</x:v>
      </x:c>
      <x:c r="L22" s="63" t="n">
        <x:v>10.665</x:v>
      </x:c>
      <x:c r="M22" t="str">
        <x:v>NO</x:v>
      </x:c>
    </x:row>
    <x:row r="23">
      <x:c r="A23" t="str">
        <x:v>AVI_CL_LOW</x:v>
      </x:c>
      <x:c r="B23" t="str">
        <x:v>AVI typical clearance −20%</x:v>
      </x:c>
      <x:c r="C23" t="str">
        <x:v>R10</x:v>
      </x:c>
      <x:c r="D23" t="str">
        <x:v>61–90</x:v>
      </x:c>
      <x:c r="E23" t="str">
        <x:v>LEE2022_OXA_KP</x:v>
      </x:c>
      <x:c r="F23" t="str">
        <x:v>OXA-like CR-K. pneumoniae, ATLAS 2020</x:v>
      </x:c>
      <x:c r="G23" s="63" t="n">
        <x:v>86.91703389830509</x:v>
      </x:c>
      <x:c r="H23" s="63" t="n">
        <x:v>92.08677966101695</x:v>
      </x:c>
      <x:c r="I23" s="63" t="str">
        <x:v>ACCEPTABLE</x:v>
      </x:c>
      <x:c r="J23" s="63" t="str">
        <x:v>OPTIMAL</x:v>
      </x:c>
      <x:c r="K23" s="63" t="n">
        <x:v>10.665</x:v>
      </x:c>
      <x:c r="L23" s="63" t="n">
        <x:v>10.665</x:v>
      </x:c>
      <x:c r="M23" t="str">
        <x:v>NO</x:v>
      </x:c>
    </x:row>
    <x:row r="24">
      <x:c r="A24" t="str">
        <x:v>AVI_CL_LOW</x:v>
      </x:c>
      <x:c r="B24" t="str">
        <x:v>AVI typical clearance −20%</x:v>
      </x:c>
      <x:c r="C24" t="str">
        <x:v>R10</x:v>
      </x:c>
      <x:c r="D24" t="str">
        <x:v>61–90</x:v>
      </x:c>
      <x:c r="E24" t="str">
        <x:v>INDIA2022_OXA48_KP</x:v>
      </x:c>
      <x:c r="F24" t="str">
        <x:v>OXA-48-like CR-K. pneumoniae, India</x:v>
      </x:c>
      <x:c r="G24" s="63" t="n">
        <x:v>84.93959558823529</x:v>
      </x:c>
      <x:c r="H24" s="63" t="n">
        <x:v>90.00904411764705</x:v>
      </x:c>
      <x:c r="I24" s="63" t="str">
        <x:v>ACCEPTABLE</x:v>
      </x:c>
      <x:c r="J24" s="63" t="str">
        <x:v>OPTIMAL</x:v>
      </x:c>
      <x:c r="K24" s="63" t="n">
        <x:v>10.665</x:v>
      </x:c>
      <x:c r="L24" s="63" t="n">
        <x:v>10.665</x:v>
      </x:c>
      <x:c r="M24" t="str">
        <x:v>NO</x:v>
      </x:c>
    </x:row>
    <x:row r="25">
      <x:c r="A25" t="str">
        <x:v>AVI_CL_LOW</x:v>
      </x:c>
      <x:c r="B25" t="str">
        <x:v>AVI typical clearance −20%</x:v>
      </x:c>
      <x:c r="C25" t="str">
        <x:v>R10</x:v>
      </x:c>
      <x:c r="D25" t="str">
        <x:v>61–90</x:v>
      </x:c>
      <x:c r="E25" t="str">
        <x:v>FR2024_OXA484_SERINE_ONLY</x:v>
      </x:c>
      <x:c r="F25" t="str">
        <x:v>French OXA-484 Enterobacterales, serine-only</x:v>
      </x:c>
      <x:c r="G25" s="63" t="n">
        <x:v>88.12991666666667</x:v>
      </x:c>
      <x:c r="H25" s="63" t="n">
        <x:v>93.40158333333333</x:v>
      </x:c>
      <x:c r="I25" s="63" t="str">
        <x:v>ACCEPTABLE</x:v>
      </x:c>
      <x:c r="J25" s="63" t="str">
        <x:v>OPTIMAL</x:v>
      </x:c>
      <x:c r="K25" s="63" t="n">
        <x:v>10.665</x:v>
      </x:c>
      <x:c r="L25" s="63" t="n">
        <x:v>10.665</x:v>
      </x:c>
      <x:c r="M25" t="str">
        <x:v>NO</x:v>
      </x:c>
    </x:row>
    <x:row r="26">
      <x:c r="A26" t="str">
        <x:v>AVI_CL_LOW</x:v>
      </x:c>
      <x:c r="B26" t="str">
        <x:v>AVI typical clearance −20%</x:v>
      </x:c>
      <x:c r="C26" t="str">
        <x:v>R12</x:v>
      </x:c>
      <x:c r="D26" t="str">
        <x:v>91–120</x:v>
      </x:c>
      <x:c r="E26" t="str">
        <x:v>LEE2022_KPC_KP</x:v>
      </x:c>
      <x:c r="F26" t="str">
        <x:v>KPC-like CR-K. pneumoniae, ATLAS 2020</x:v>
      </x:c>
      <x:c r="G26" s="63" t="n">
        <x:v>87.49072559366755</x:v>
      </x:c>
      <x:c r="H26" s="63" t="n">
        <x:v>92.66316622691294</x:v>
      </x:c>
      <x:c r="I26" s="63" t="str">
        <x:v>ACCEPTABLE</x:v>
      </x:c>
      <x:c r="J26" s="63" t="str">
        <x:v>OPTIMAL</x:v>
      </x:c>
      <x:c r="K26" s="63" t="n">
        <x:v>11.82</x:v>
      </x:c>
      <x:c r="L26" s="63" t="n">
        <x:v>11.82</x:v>
      </x:c>
      <x:c r="M26" t="str">
        <x:v>NO</x:v>
      </x:c>
    </x:row>
    <x:row r="27">
      <x:c r="A27" t="str">
        <x:v>AVI_CL_LOW</x:v>
      </x:c>
      <x:c r="B27" t="str">
        <x:v>AVI typical clearance −20%</x:v>
      </x:c>
      <x:c r="C27" t="str">
        <x:v>R12</x:v>
      </x:c>
      <x:c r="D27" t="str">
        <x:v>91–120</x:v>
      </x:c>
      <x:c r="E27" t="str">
        <x:v>LEE2022_OXA_KP</x:v>
      </x:c>
      <x:c r="F27" t="str">
        <x:v>OXA-like CR-K. pneumoniae, ATLAS 2020</x:v>
      </x:c>
      <x:c r="G27" s="63" t="n">
        <x:v>86.93947033898306</x:v>
      </x:c>
      <x:c r="H27" s="63" t="n">
        <x:v>92.1605720338983</x:v>
      </x:c>
      <x:c r="I27" s="63" t="str">
        <x:v>ACCEPTABLE</x:v>
      </x:c>
      <x:c r="J27" s="63" t="str">
        <x:v>OPTIMAL</x:v>
      </x:c>
      <x:c r="K27" s="63" t="n">
        <x:v>11.82</x:v>
      </x:c>
      <x:c r="L27" s="63" t="n">
        <x:v>11.82</x:v>
      </x:c>
      <x:c r="M27" t="str">
        <x:v>NO</x:v>
      </x:c>
    </x:row>
    <x:row r="28">
      <x:c r="A28" t="str">
        <x:v>AVI_CL_LOW</x:v>
      </x:c>
      <x:c r="B28" t="str">
        <x:v>AVI typical clearance −20%</x:v>
      </x:c>
      <x:c r="C28" t="str">
        <x:v>R12</x:v>
      </x:c>
      <x:c r="D28" t="str">
        <x:v>91–120</x:v>
      </x:c>
      <x:c r="E28" t="str">
        <x:v>INDIA2022_OXA48_KP</x:v>
      </x:c>
      <x:c r="F28" t="str">
        <x:v>OXA-48-like CR-K. pneumoniae, India</x:v>
      </x:c>
      <x:c r="G28" s="63" t="n">
        <x:v>84.95058823529412</x:v>
      </x:c>
      <x:c r="H28" s="63" t="n">
        <x:v>90.06893382352942</x:v>
      </x:c>
      <x:c r="I28" s="63" t="str">
        <x:v>ACCEPTABLE</x:v>
      </x:c>
      <x:c r="J28" s="63" t="str">
        <x:v>OPTIMAL</x:v>
      </x:c>
      <x:c r="K28" s="63" t="n">
        <x:v>11.82</x:v>
      </x:c>
      <x:c r="L28" s="63" t="n">
        <x:v>11.82</x:v>
      </x:c>
      <x:c r="M28" t="str">
        <x:v>NO</x:v>
      </x:c>
    </x:row>
    <x:row r="29">
      <x:c r="A29" t="str">
        <x:v>AVI_CL_LOW</x:v>
      </x:c>
      <x:c r="B29" t="str">
        <x:v>AVI typical clearance −20%</x:v>
      </x:c>
      <x:c r="C29" t="str">
        <x:v>R12</x:v>
      </x:c>
      <x:c r="D29" t="str">
        <x:v>91–120</x:v>
      </x:c>
      <x:c r="E29" t="str">
        <x:v>FR2024_OXA484_SERINE_ONLY</x:v>
      </x:c>
      <x:c r="F29" t="str">
        <x:v>French OXA-484 Enterobacterales, serine-only</x:v>
      </x:c>
      <x:c r="G29" s="63" t="n">
        <x:v>88.13366666666667</x:v>
      </x:c>
      <x:c r="H29" s="63" t="n">
        <x:v>93.45316666666666</x:v>
      </x:c>
      <x:c r="I29" s="63" t="str">
        <x:v>ACCEPTABLE</x:v>
      </x:c>
      <x:c r="J29" s="63" t="str">
        <x:v>OPTIMAL</x:v>
      </x:c>
      <x:c r="K29" s="63" t="n">
        <x:v>11.82</x:v>
      </x:c>
      <x:c r="L29" s="63" t="n">
        <x:v>11.82</x:v>
      </x:c>
      <x:c r="M29" t="str">
        <x:v>NO</x:v>
      </x:c>
    </x:row>
    <x:row r="30">
      <x:c r="A30" t="str">
        <x:v>AVI_CL_LOW</x:v>
      </x:c>
      <x:c r="B30" t="str">
        <x:v>AVI typical clearance −20%</x:v>
      </x:c>
      <x:c r="C30" t="str">
        <x:v>R13</x:v>
      </x:c>
      <x:c r="D30" t="str">
        <x:v>121–150</x:v>
      </x:c>
      <x:c r="E30" t="str">
        <x:v>LEE2022_KPC_KP</x:v>
      </x:c>
      <x:c r="F30" t="str">
        <x:v>KPC-like CR-K. pneumoniae, ATLAS 2020</x:v>
      </x:c>
      <x:c r="G30" s="63" t="n">
        <x:v>79.73715039577836</x:v>
      </x:c>
      <x:c r="H30" s="63" t="n">
        <x:v>87.33522427440633</x:v>
      </x:c>
      <x:c r="I30" s="63" t="str">
        <x:v>LOW</x:v>
      </x:c>
      <x:c r="J30" s="63" t="str">
        <x:v>ACCEPTABLE</x:v>
      </x:c>
      <x:c r="K30" s="63" t="n">
        <x:v>7.045</x:v>
      </x:c>
      <x:c r="L30" s="63" t="n">
        <x:v>7.045</x:v>
      </x:c>
      <x:c r="M30" t="str">
        <x:v>NO</x:v>
      </x:c>
    </x:row>
    <x:row r="31">
      <x:c r="A31" t="str">
        <x:v>AVI_CL_LOW</x:v>
      </x:c>
      <x:c r="B31" t="str">
        <x:v>AVI typical clearance −20%</x:v>
      </x:c>
      <x:c r="C31" t="str">
        <x:v>R13</x:v>
      </x:c>
      <x:c r="D31" t="str">
        <x:v>121–150</x:v>
      </x:c>
      <x:c r="E31" t="str">
        <x:v>LEE2022_OXA_KP</x:v>
      </x:c>
      <x:c r="F31" t="str">
        <x:v>OXA-like CR-K. pneumoniae, ATLAS 2020</x:v>
      </x:c>
      <x:c r="G31" s="63" t="n">
        <x:v>79.27514830508476</x:v>
      </x:c>
      <x:c r="H31" s="63" t="n">
        <x:v>86.94002118644066</x:v>
      </x:c>
      <x:c r="I31" s="63" t="str">
        <x:v>LOW</x:v>
      </x:c>
      <x:c r="J31" s="63" t="str">
        <x:v>ACCEPTABLE</x:v>
      </x:c>
      <x:c r="K31" s="63" t="n">
        <x:v>7.045</x:v>
      </x:c>
      <x:c r="L31" s="63" t="n">
        <x:v>7.045</x:v>
      </x:c>
      <x:c r="M31" t="str">
        <x:v>NO</x:v>
      </x:c>
    </x:row>
    <x:row r="32">
      <x:c r="A32" t="str">
        <x:v>AVI_CL_LOW</x:v>
      </x:c>
      <x:c r="B32" t="str">
        <x:v>AVI typical clearance −20%</x:v>
      </x:c>
      <x:c r="C32" t="str">
        <x:v>R13</x:v>
      </x:c>
      <x:c r="D32" t="str">
        <x:v>121–150</x:v>
      </x:c>
      <x:c r="E32" t="str">
        <x:v>INDIA2022_OXA48_KP</x:v>
      </x:c>
      <x:c r="F32" t="str">
        <x:v>OXA-48-like CR-K. pneumoniae, India</x:v>
      </x:c>
      <x:c r="G32" s="63" t="n">
        <x:v>77.46297794117649</x:v>
      </x:c>
      <x:c r="H32" s="63" t="n">
        <x:v>84.97665441176471</x:v>
      </x:c>
      <x:c r="I32" s="63" t="str">
        <x:v>LOW</x:v>
      </x:c>
      <x:c r="J32" s="63" t="str">
        <x:v>ACCEPTABLE</x:v>
      </x:c>
      <x:c r="K32" s="63" t="n">
        <x:v>7.045</x:v>
      </x:c>
      <x:c r="L32" s="63" t="n">
        <x:v>7.045</x:v>
      </x:c>
      <x:c r="M32" t="str">
        <x:v>NO</x:v>
      </x:c>
    </x:row>
    <x:row r="33">
      <x:c r="A33" t="str">
        <x:v>AVI_CL_HIGH</x:v>
      </x:c>
      <x:c r="B33" t="str">
        <x:v>AVI typical clearance +20%</x:v>
      </x:c>
      <x:c r="C33" t="str">
        <x:v>R10</x:v>
      </x:c>
      <x:c r="D33" t="str">
        <x:v>61–90</x:v>
      </x:c>
      <x:c r="E33" t="str">
        <x:v>INDIA2022_OXA48_KP</x:v>
      </x:c>
      <x:c r="F33" t="str">
        <x:v>OXA-48-like CR-K. pneumoniae, India</x:v>
      </x:c>
      <x:c r="G33" s="63" t="n">
        <x:v>84.93959558823529</x:v>
      </x:c>
      <x:c r="H33" s="63" t="n">
        <x:v>79.42547794117647</x:v>
      </x:c>
      <x:c r="I33" s="63" t="str">
        <x:v>ACCEPTABLE</x:v>
      </x:c>
      <x:c r="J33" s="63" t="str">
        <x:v>LOW</x:v>
      </x:c>
      <x:c r="K33" s="63" t="n">
        <x:v>10.665</x:v>
      </x:c>
      <x:c r="L33" s="63" t="n">
        <x:v>10.665</x:v>
      </x:c>
      <x:c r="M33" t="str">
        <x:v>NO</x:v>
      </x:c>
    </x:row>
    <x:row r="34">
      <x:c r="A34" t="str">
        <x:v>AVI_CL_HIGH</x:v>
      </x:c>
      <x:c r="B34" t="str">
        <x:v>AVI typical clearance +20%</x:v>
      </x:c>
      <x:c r="C34" t="str">
        <x:v>R12</x:v>
      </x:c>
      <x:c r="D34" t="str">
        <x:v>91–120</x:v>
      </x:c>
      <x:c r="E34" t="str">
        <x:v>INDIA2022_OXA48_KP</x:v>
      </x:c>
      <x:c r="F34" t="str">
        <x:v>OXA-48-like CR-K. pneumoniae, India</x:v>
      </x:c>
      <x:c r="G34" s="63" t="n">
        <x:v>84.95058823529412</x:v>
      </x:c>
      <x:c r="H34" s="63" t="n">
        <x:v>78.9320588235294</x:v>
      </x:c>
      <x:c r="I34" s="63" t="str">
        <x:v>ACCEPTABLE</x:v>
      </x:c>
      <x:c r="J34" s="63" t="str">
        <x:v>LOW</x:v>
      </x:c>
      <x:c r="K34" s="63" t="n">
        <x:v>11.82</x:v>
      </x:c>
      <x:c r="L34" s="63" t="n">
        <x:v>11.82</x:v>
      </x:c>
      <x:c r="M34" t="str">
        <x:v>NO</x:v>
      </x:c>
    </x:row>
    <x:row r="35">
      <x:c r="A35" t="str">
        <x:v>AVI_CL_HIGH</x:v>
      </x:c>
      <x:c r="B35" t="str">
        <x:v>AVI typical clearance +20%</x:v>
      </x:c>
      <x:c r="C35" t="str">
        <x:v>R13</x:v>
      </x:c>
      <x:c r="D35" t="str">
        <x:v>121–150</x:v>
      </x:c>
      <x:c r="E35" t="str">
        <x:v>FR2024_OXA484_SERINE_ONLY</x:v>
      </x:c>
      <x:c r="F35" t="str">
        <x:v>French OXA-484 Enterobacterales, serine-only</x:v>
      </x:c>
      <x:c r="G35" s="63" t="n">
        <x:v>80.39358333333334</x:v>
      </x:c>
      <x:c r="H35" s="63" t="n">
        <x:v>72.20866666666666</x:v>
      </x:c>
      <x:c r="I35" s="63" t="str">
        <x:v>ACCEPTABLE</x:v>
      </x:c>
      <x:c r="J35" s="63" t="str">
        <x:v>LOW</x:v>
      </x:c>
      <x:c r="K35" s="63" t="n">
        <x:v>7.045</x:v>
      </x:c>
      <x:c r="L35" s="63" t="n">
        <x:v>7.045</x:v>
      </x:c>
      <x:c r="M35" t="str">
        <x:v>NO</x:v>
      </x:c>
    </x:row>
    <x:row r="36">
      <x:c r="A36" t="str">
        <x:v>IIV_LOW</x:v>
      </x:c>
      <x:c r="B36" t="str">
        <x:v>Both IIV SDs −20%</x:v>
      </x:c>
      <x:c r="C36" t="str">
        <x:v>R8</x:v>
      </x:c>
      <x:c r="D36" t="str">
        <x:v>31–60</x:v>
      </x:c>
      <x:c r="E36" t="str">
        <x:v>LEE2022_KPC_KP</x:v>
      </x:c>
      <x:c r="F36" t="str">
        <x:v>KPC-like CR-K. pneumoniae, ATLAS 2020</x:v>
      </x:c>
      <x:c r="G36" s="63" t="n">
        <x:v>88.41282321899736</x:v>
      </x:c>
      <x:c r="H36" s="63" t="n">
        <x:v>92.9925857519789</x:v>
      </x:c>
      <x:c r="I36" s="63" t="str">
        <x:v>ACCEPTABLE</x:v>
      </x:c>
      <x:c r="J36" s="63" t="str">
        <x:v>OPTIMAL</x:v>
      </x:c>
      <x:c r="K36" s="63" t="n">
        <x:v>9.62</x:v>
      </x:c>
      <x:c r="L36" s="63" t="n">
        <x:v>5.36</x:v>
      </x:c>
      <x:c r="M36" t="str">
        <x:v>NO</x:v>
      </x:c>
    </x:row>
    <x:row r="37">
      <x:c r="A37" t="str">
        <x:v>IIV_LOW</x:v>
      </x:c>
      <x:c r="B37" t="str">
        <x:v>Both IIV SDs −20%</x:v>
      </x:c>
      <x:c r="C37" t="str">
        <x:v>R8</x:v>
      </x:c>
      <x:c r="D37" t="str">
        <x:v>31–60</x:v>
      </x:c>
      <x:c r="E37" t="str">
        <x:v>LEE2022_OXA_KP</x:v>
      </x:c>
      <x:c r="F37" t="str">
        <x:v>OXA-like CR-K. pneumoniae, ATLAS 2020</x:v>
      </x:c>
      <x:c r="G37" s="63" t="n">
        <x:v>87.95485169491526</x:v>
      </x:c>
      <x:c r="H37" s="63" t="n">
        <x:v>92.4898093220339</x:v>
      </x:c>
      <x:c r="I37" s="63" t="str">
        <x:v>ACCEPTABLE</x:v>
      </x:c>
      <x:c r="J37" s="63" t="str">
        <x:v>OPTIMAL</x:v>
      </x:c>
      <x:c r="K37" s="63" t="n">
        <x:v>9.62</x:v>
      </x:c>
      <x:c r="L37" s="63" t="n">
        <x:v>5.36</x:v>
      </x:c>
      <x:c r="M37" t="str">
        <x:v>NO</x:v>
      </x:c>
    </x:row>
    <x:row r="38">
      <x:c r="A38" t="str">
        <x:v>IIV_LOW</x:v>
      </x:c>
      <x:c r="B38" t="str">
        <x:v>Both IIV SDs −20%</x:v>
      </x:c>
      <x:c r="C38" t="str">
        <x:v>R8</x:v>
      </x:c>
      <x:c r="D38" t="str">
        <x:v>31–60</x:v>
      </x:c>
      <x:c r="E38" t="str">
        <x:v>INDIA2022_OXA48_KP</x:v>
      </x:c>
      <x:c r="F38" t="str">
        <x:v>OXA-48-like CR-K. pneumoniae, India</x:v>
      </x:c>
      <x:c r="G38" s="63" t="n">
        <x:v>85.96338235294118</x:v>
      </x:c>
      <x:c r="H38" s="63" t="n">
        <x:v>90.37180147058822</x:v>
      </x:c>
      <x:c r="I38" s="63" t="str">
        <x:v>ACCEPTABLE</x:v>
      </x:c>
      <x:c r="J38" s="63" t="str">
        <x:v>OPTIMAL</x:v>
      </x:c>
      <x:c r="K38" s="63" t="n">
        <x:v>9.62</x:v>
      </x:c>
      <x:c r="L38" s="63" t="n">
        <x:v>5.36</x:v>
      </x:c>
      <x:c r="M38" t="str">
        <x:v>NO</x:v>
      </x:c>
    </x:row>
    <x:row r="39">
      <x:c r="A39" t="str">
        <x:v>IIV_LOW</x:v>
      </x:c>
      <x:c r="B39" t="str">
        <x:v>Both IIV SDs −20%</x:v>
      </x:c>
      <x:c r="C39" t="str">
        <x:v>R8</x:v>
      </x:c>
      <x:c r="D39" t="str">
        <x:v>31–60</x:v>
      </x:c>
      <x:c r="E39" t="str">
        <x:v>FR2024_OXA484_SERINE_ONLY</x:v>
      </x:c>
      <x:c r="F39" t="str">
        <x:v>French OXA-484 Enterobacterales, serine-only</x:v>
      </x:c>
      <x:c r="G39" s="63" t="n">
        <x:v>89.20433333333331</x:v>
      </x:c>
      <x:c r="H39" s="63" t="n">
        <x:v>93.81216666666667</x:v>
      </x:c>
      <x:c r="I39" s="63" t="str">
        <x:v>ACCEPTABLE</x:v>
      </x:c>
      <x:c r="J39" s="63" t="str">
        <x:v>OPTIMAL</x:v>
      </x:c>
      <x:c r="K39" s="63" t="n">
        <x:v>9.62</x:v>
      </x:c>
      <x:c r="L39" s="63" t="n">
        <x:v>5.36</x:v>
      </x:c>
      <x:c r="M39" t="str">
        <x:v>NO</x:v>
      </x:c>
    </x:row>
    <x:row r="40">
      <x:c r="A40" t="str">
        <x:v>IIV_LOW</x:v>
      </x:c>
      <x:c r="B40" t="str">
        <x:v>Both IIV SDs −20%</x:v>
      </x:c>
      <x:c r="C40" t="str">
        <x:v>R10</x:v>
      </x:c>
      <x:c r="D40" t="str">
        <x:v>61–90</x:v>
      </x:c>
      <x:c r="E40" t="str">
        <x:v>LEE2022_KPC_KP</x:v>
      </x:c>
      <x:c r="F40" t="str">
        <x:v>KPC-like CR-K. pneumoniae, ATLAS 2020</x:v>
      </x:c>
      <x:c r="G40" s="63" t="n">
        <x:v>87.42915567282323</x:v>
      </x:c>
      <x:c r="H40" s="63" t="n">
        <x:v>92.29047493403695</x:v>
      </x:c>
      <x:c r="I40" s="63" t="str">
        <x:v>ACCEPTABLE</x:v>
      </x:c>
      <x:c r="J40" s="63" t="str">
        <x:v>OPTIMAL</x:v>
      </x:c>
      <x:c r="K40" s="63" t="n">
        <x:v>10.665</x:v>
      </x:c>
      <x:c r="L40" s="63" t="n">
        <x:v>6.0600000000000005</x:v>
      </x:c>
      <x:c r="M40" t="str">
        <x:v>NO</x:v>
      </x:c>
    </x:row>
    <x:row r="41">
      <x:c r="A41" t="str">
        <x:v>IIV_LOW</x:v>
      </x:c>
      <x:c r="B41" t="str">
        <x:v>Both IIV SDs −20%</x:v>
      </x:c>
      <x:c r="C41" t="str">
        <x:v>R10</x:v>
      </x:c>
      <x:c r="D41" t="str">
        <x:v>61–90</x:v>
      </x:c>
      <x:c r="E41" t="str">
        <x:v>LEE2022_OXA_KP</x:v>
      </x:c>
      <x:c r="F41" t="str">
        <x:v>OXA-like CR-K. pneumoniae, ATLAS 2020</x:v>
      </x:c>
      <x:c r="G41" s="63" t="n">
        <x:v>86.91703389830509</x:v>
      </x:c>
      <x:c r="H41" s="63" t="n">
        <x:v>91.73207627118643</x:v>
      </x:c>
      <x:c r="I41" s="63" t="str">
        <x:v>ACCEPTABLE</x:v>
      </x:c>
      <x:c r="J41" s="63" t="str">
        <x:v>OPTIMAL</x:v>
      </x:c>
      <x:c r="K41" s="63" t="n">
        <x:v>10.665</x:v>
      </x:c>
      <x:c r="L41" s="63" t="n">
        <x:v>6.0600000000000005</x:v>
      </x:c>
      <x:c r="M41" t="str">
        <x:v>NO</x:v>
      </x:c>
    </x:row>
    <x:row r="42">
      <x:c r="A42" t="str">
        <x:v>IIV_LOW</x:v>
      </x:c>
      <x:c r="B42" t="str">
        <x:v>Both IIV SDs −20%</x:v>
      </x:c>
      <x:c r="C42" t="str">
        <x:v>R10</x:v>
      </x:c>
      <x:c r="D42" t="str">
        <x:v>61–90</x:v>
      </x:c>
      <x:c r="E42" t="str">
        <x:v>FR2024_OXA484_SERINE_ONLY</x:v>
      </x:c>
      <x:c r="F42" t="str">
        <x:v>French OXA-484 Enterobacterales, serine-only</x:v>
      </x:c>
      <x:c r="G42" s="63" t="n">
        <x:v>88.12991666666667</x:v>
      </x:c>
      <x:c r="H42" s="63" t="n">
        <x:v>93.02091666666668</x:v>
      </x:c>
      <x:c r="I42" s="63" t="str">
        <x:v>ACCEPTABLE</x:v>
      </x:c>
      <x:c r="J42" s="63" t="str">
        <x:v>OPTIMAL</x:v>
      </x:c>
      <x:c r="K42" s="63" t="n">
        <x:v>10.665</x:v>
      </x:c>
      <x:c r="L42" s="63" t="n">
        <x:v>6.0600000000000005</x:v>
      </x:c>
      <x:c r="M42" t="str">
        <x:v>NO</x:v>
      </x:c>
    </x:row>
    <x:row r="43">
      <x:c r="A43" t="str">
        <x:v>IIV_LOW</x:v>
      </x:c>
      <x:c r="B43" t="str">
        <x:v>Both IIV SDs −20%</x:v>
      </x:c>
      <x:c r="C43" t="str">
        <x:v>R12</x:v>
      </x:c>
      <x:c r="D43" t="str">
        <x:v>91–120</x:v>
      </x:c>
      <x:c r="E43" t="str">
        <x:v>LEE2022_KPC_KP</x:v>
      </x:c>
      <x:c r="F43" t="str">
        <x:v>KPC-like CR-K. pneumoniae, ATLAS 2020</x:v>
      </x:c>
      <x:c r="G43" s="63" t="n">
        <x:v>87.49072559366755</x:v>
      </x:c>
      <x:c r="H43" s="63" t="n">
        <x:v>92.3403957783641</x:v>
      </x:c>
      <x:c r="I43" s="63" t="str">
        <x:v>ACCEPTABLE</x:v>
      </x:c>
      <x:c r="J43" s="63" t="str">
        <x:v>OPTIMAL</x:v>
      </x:c>
      <x:c r="K43" s="63" t="n">
        <x:v>11.82</x:v>
      </x:c>
      <x:c r="L43" s="63" t="n">
        <x:v>7.1499999999999995</x:v>
      </x:c>
      <x:c r="M43" t="str">
        <x:v>NO</x:v>
      </x:c>
    </x:row>
    <x:row r="44">
      <x:c r="A44" t="str">
        <x:v>IIV_LOW</x:v>
      </x:c>
      <x:c r="B44" t="str">
        <x:v>Both IIV SDs −20%</x:v>
      </x:c>
      <x:c r="C44" t="str">
        <x:v>R12</x:v>
      </x:c>
      <x:c r="D44" t="str">
        <x:v>91–120</x:v>
      </x:c>
      <x:c r="E44" t="str">
        <x:v>LEE2022_OXA_KP</x:v>
      </x:c>
      <x:c r="F44" t="str">
        <x:v>OXA-like CR-K. pneumoniae, ATLAS 2020</x:v>
      </x:c>
      <x:c r="G44" s="63" t="n">
        <x:v>86.93947033898306</x:v>
      </x:c>
      <x:c r="H44" s="63" t="n">
        <x:v>91.74372881355934</x:v>
      </x:c>
      <x:c r="I44" s="63" t="str">
        <x:v>ACCEPTABLE</x:v>
      </x:c>
      <x:c r="J44" s="63" t="str">
        <x:v>OPTIMAL</x:v>
      </x:c>
      <x:c r="K44" s="63" t="n">
        <x:v>11.82</x:v>
      </x:c>
      <x:c r="L44" s="63" t="n">
        <x:v>7.1499999999999995</x:v>
      </x:c>
      <x:c r="M44" t="str">
        <x:v>NO</x:v>
      </x:c>
    </x:row>
    <x:row r="45">
      <x:c r="A45" t="str">
        <x:v>IIV_LOW</x:v>
      </x:c>
      <x:c r="B45" t="str">
        <x:v>Both IIV SDs −20%</x:v>
      </x:c>
      <x:c r="C45" t="str">
        <x:v>R12</x:v>
      </x:c>
      <x:c r="D45" t="str">
        <x:v>91–120</x:v>
      </x:c>
      <x:c r="E45" t="str">
        <x:v>FR2024_OXA484_SERINE_ONLY</x:v>
      </x:c>
      <x:c r="F45" t="str">
        <x:v>French OXA-484 Enterobacterales, serine-only</x:v>
      </x:c>
      <x:c r="G45" s="63" t="n">
        <x:v>88.13366666666667</x:v>
      </x:c>
      <x:c r="H45" s="63" t="n">
        <x:v>93.013</x:v>
      </x:c>
      <x:c r="I45" s="63" t="str">
        <x:v>ACCEPTABLE</x:v>
      </x:c>
      <x:c r="J45" s="63" t="str">
        <x:v>OPTIMAL</x:v>
      </x:c>
      <x:c r="K45" s="63" t="n">
        <x:v>11.82</x:v>
      </x:c>
      <x:c r="L45" s="63" t="n">
        <x:v>7.1499999999999995</x:v>
      </x:c>
      <x:c r="M45" t="str">
        <x:v>NO</x:v>
      </x:c>
    </x:row>
    <x:row r="46">
      <x:c r="A46" t="str">
        <x:v>IIV_LOW</x:v>
      </x:c>
      <x:c r="B46" t="str">
        <x:v>Both IIV SDs −20%</x:v>
      </x:c>
      <x:c r="C46" t="str">
        <x:v>R13</x:v>
      </x:c>
      <x:c r="D46" t="str">
        <x:v>121–150</x:v>
      </x:c>
      <x:c r="E46" t="str">
        <x:v>LEE2022_KPC_KP</x:v>
      </x:c>
      <x:c r="F46" t="str">
        <x:v>KPC-like CR-K. pneumoniae, ATLAS 2020</x:v>
      </x:c>
      <x:c r="G46" s="63" t="n">
        <x:v>79.73715039577836</x:v>
      </x:c>
      <x:c r="H46" s="63" t="n">
        <x:v>85.16320580474937</x:v>
      </x:c>
      <x:c r="I46" s="63" t="str">
        <x:v>LOW</x:v>
      </x:c>
      <x:c r="J46" s="63" t="str">
        <x:v>ACCEPTABLE</x:v>
      </x:c>
      <x:c r="K46" s="63" t="n">
        <x:v>7.045</x:v>
      </x:c>
      <x:c r="L46" s="63" t="n">
        <x:v>3.2199999999999998</x:v>
      </x:c>
      <x:c r="M46" t="str">
        <x:v>NO</x:v>
      </x:c>
    </x:row>
    <x:row r="47">
      <x:c r="A47" t="str">
        <x:v>IIV_LOW</x:v>
      </x:c>
      <x:c r="B47" t="str">
        <x:v>Both IIV SDs −20%</x:v>
      </x:c>
      <x:c r="C47" t="str">
        <x:v>R13</x:v>
      </x:c>
      <x:c r="D47" t="str">
        <x:v>121–150</x:v>
      </x:c>
      <x:c r="E47" t="str">
        <x:v>LEE2022_OXA_KP</x:v>
      </x:c>
      <x:c r="F47" t="str">
        <x:v>OXA-like CR-K. pneumoniae, ATLAS 2020</x:v>
      </x:c>
      <x:c r="G47" s="63" t="n">
        <x:v>79.27514830508476</x:v>
      </x:c>
      <x:c r="H47" s="63" t="n">
        <x:v>84.67610169491526</x:v>
      </x:c>
      <x:c r="I47" s="63" t="str">
        <x:v>LOW</x:v>
      </x:c>
      <x:c r="J47" s="63" t="str">
        <x:v>ACCEPTABLE</x:v>
      </x:c>
      <x:c r="K47" s="63" t="n">
        <x:v>7.045</x:v>
      </x:c>
      <x:c r="L47" s="63" t="n">
        <x:v>3.2199999999999998</x:v>
      </x:c>
      <x:c r="M47" t="str">
        <x:v>NO</x:v>
      </x:c>
    </x:row>
    <x:row r="48">
      <x:c r="A48" t="str">
        <x:v>IIV_LOW</x:v>
      </x:c>
      <x:c r="B48" t="str">
        <x:v>Both IIV SDs −20%</x:v>
      </x:c>
      <x:c r="C48" t="str">
        <x:v>R13</x:v>
      </x:c>
      <x:c r="D48" t="str">
        <x:v>121–150</x:v>
      </x:c>
      <x:c r="E48" t="str">
        <x:v>INDIA2022_OXA48_KP</x:v>
      </x:c>
      <x:c r="F48" t="str">
        <x:v>OXA-48-like CR-K. pneumoniae, India</x:v>
      </x:c>
      <x:c r="G48" s="63" t="n">
        <x:v>77.46297794117649</x:v>
      </x:c>
      <x:c r="H48" s="63" t="n">
        <x:v>82.73316176470588</x:v>
      </x:c>
      <x:c r="I48" s="63" t="str">
        <x:v>LOW</x:v>
      </x:c>
      <x:c r="J48" s="63" t="str">
        <x:v>ACCEPTABLE</x:v>
      </x:c>
      <x:c r="K48" s="63" t="n">
        <x:v>7.045</x:v>
      </x:c>
      <x:c r="L48" s="63" t="n">
        <x:v>3.2199999999999998</x:v>
      </x:c>
      <x:c r="M48" t="str">
        <x:v>NO</x:v>
      </x:c>
    </x:row>
    <x:row r="49">
      <x:c r="A49" t="str">
        <x:v>IIV_HIGH</x:v>
      </x:c>
      <x:c r="B49" t="str">
        <x:v>Both IIV SDs +20%</x:v>
      </x:c>
      <x:c r="C49" t="str">
        <x:v>R12</x:v>
      </x:c>
      <x:c r="D49" t="str">
        <x:v>91–120</x:v>
      </x:c>
      <x:c r="E49" t="str">
        <x:v>LEE2022_KPC_KP</x:v>
      </x:c>
      <x:c r="F49" t="str">
        <x:v>KPC-like CR-K. pneumoniae, ATLAS 2020</x:v>
      </x:c>
      <x:c r="G49" s="63" t="n">
        <x:v>87.49072559366755</x:v>
      </x:c>
      <x:c r="H49" s="63" t="n">
        <x:v>83.06534300791556</x:v>
      </x:c>
      <x:c r="I49" s="63" t="str">
        <x:v>ACCEPTABLE</x:v>
      </x:c>
      <x:c r="J49" s="63" t="str">
        <x:v>ACCEPTABLE</x:v>
      </x:c>
      <x:c r="K49" s="63" t="n">
        <x:v>11.82</x:v>
      </x:c>
      <x:c r="L49" s="63" t="n">
        <x:v>16.259999999999998</x:v>
      </x:c>
      <x:c r="M49" t="str">
        <x:v>YES</x:v>
      </x:c>
    </x:row>
    <x:row r="50">
      <x:c r="A50" t="str">
        <x:v>IIV_HIGH</x:v>
      </x:c>
      <x:c r="B50" t="str">
        <x:v>Both IIV SDs +20%</x:v>
      </x:c>
      <x:c r="C50" t="str">
        <x:v>R12</x:v>
      </x:c>
      <x:c r="D50" t="str">
        <x:v>91–120</x:v>
      </x:c>
      <x:c r="E50" t="str">
        <x:v>LEE2022_OXA_KP</x:v>
      </x:c>
      <x:c r="F50" t="str">
        <x:v>OXA-like CR-K. pneumoniae, ATLAS 2020</x:v>
      </x:c>
      <x:c r="G50" s="63" t="n">
        <x:v>86.93947033898306</x:v>
      </x:c>
      <x:c r="H50" s="63" t="n">
        <x:v>82.56313559322035</x:v>
      </x:c>
      <x:c r="I50" s="63" t="str">
        <x:v>ACCEPTABLE</x:v>
      </x:c>
      <x:c r="J50" s="63" t="str">
        <x:v>ACCEPTABLE</x:v>
      </x:c>
      <x:c r="K50" s="63" t="n">
        <x:v>11.82</x:v>
      </x:c>
      <x:c r="L50" s="63" t="n">
        <x:v>16.259999999999998</x:v>
      </x:c>
      <x:c r="M50" t="str">
        <x:v>YES</x:v>
      </x:c>
    </x:row>
    <x:row r="51">
      <x:c r="A51" t="str">
        <x:v>IIV_HIGH</x:v>
      </x:c>
      <x:c r="B51" t="str">
        <x:v>Both IIV SDs +20%</x:v>
      </x:c>
      <x:c r="C51" t="str">
        <x:v>R12</x:v>
      </x:c>
      <x:c r="D51" t="str">
        <x:v>91–120</x:v>
      </x:c>
      <x:c r="E51" t="str">
        <x:v>INDIA2022_OXA48_KP</x:v>
      </x:c>
      <x:c r="F51" t="str">
        <x:v>OXA-48-like CR-K. pneumoniae, India</x:v>
      </x:c>
      <x:c r="G51" s="63" t="n">
        <x:v>84.95058823529412</x:v>
      </x:c>
      <x:c r="H51" s="63" t="n">
        <x:v>80.71669117647059</x:v>
      </x:c>
      <x:c r="I51" s="63" t="str">
        <x:v>ACCEPTABLE</x:v>
      </x:c>
      <x:c r="J51" s="63" t="str">
        <x:v>ACCEPTABLE</x:v>
      </x:c>
      <x:c r="K51" s="63" t="n">
        <x:v>11.82</x:v>
      </x:c>
      <x:c r="L51" s="63" t="n">
        <x:v>16.259999999999998</x:v>
      </x:c>
      <x:c r="M51" t="str">
        <x:v>YES</x:v>
      </x:c>
    </x:row>
    <x:row r="52">
      <x:c r="A52" t="str">
        <x:v>IIV_HIGH</x:v>
      </x:c>
      <x:c r="B52" t="str">
        <x:v>Both IIV SDs +20%</x:v>
      </x:c>
      <x:c r="C52" t="str">
        <x:v>R12</x:v>
      </x:c>
      <x:c r="D52" t="str">
        <x:v>91–120</x:v>
      </x:c>
      <x:c r="E52" t="str">
        <x:v>FR2024_OXA484_SERINE_ONLY</x:v>
      </x:c>
      <x:c r="F52" t="str">
        <x:v>French OXA-484 Enterobacterales, serine-only</x:v>
      </x:c>
      <x:c r="G52" s="63" t="n">
        <x:v>88.13366666666667</x:v>
      </x:c>
      <x:c r="H52" s="63" t="n">
        <x:v>83.67858333333334</x:v>
      </x:c>
      <x:c r="I52" s="63" t="str">
        <x:v>ACCEPTABLE</x:v>
      </x:c>
      <x:c r="J52" s="63" t="str">
        <x:v>ACCEPTABLE</x:v>
      </x:c>
      <x:c r="K52" s="63" t="n">
        <x:v>11.82</x:v>
      </x:c>
      <x:c r="L52" s="63" t="n">
        <x:v>16.259999999999998</x:v>
      </x:c>
      <x:c r="M52" t="str">
        <x:v>YES</x:v>
      </x:c>
    </x:row>
    <x:row r="53">
      <x:c r="A53" t="str">
        <x:v>IIV_HIGH</x:v>
      </x:c>
      <x:c r="B53" t="str">
        <x:v>Both IIV SDs +20%</x:v>
      </x:c>
      <x:c r="C53" t="str">
        <x:v>R13</x:v>
      </x:c>
      <x:c r="D53" t="str">
        <x:v>121–150</x:v>
      </x:c>
      <x:c r="E53" t="str">
        <x:v>FR2024_OXA484_SERINE_ONLY</x:v>
      </x:c>
      <x:c r="F53" t="str">
        <x:v>French OXA-484 Enterobacterales, serine-only</x:v>
      </x:c>
      <x:c r="G53" s="63" t="n">
        <x:v>80.39358333333334</x:v>
      </x:c>
      <x:c r="H53" s="63" t="n">
        <x:v>76.09191666666668</x:v>
      </x:c>
      <x:c r="I53" s="63" t="str">
        <x:v>ACCEPTABLE</x:v>
      </x:c>
      <x:c r="J53" s="63" t="str">
        <x:v>LOW</x:v>
      </x:c>
      <x:c r="K53" s="63" t="n">
        <x:v>7.045</x:v>
      </x:c>
      <x:c r="L53" s="63" t="n">
        <x:v>11.225</x:v>
      </x:c>
      <x:c r="M53" t="str">
        <x:v>NO</x:v>
      </x:c>
    </x:row>
    <x:row r="54">
      <x:c r="A54" t="str">
        <x:v>FU_AVI_LOW</x:v>
      </x:c>
      <x:c r="B54" t="str">
        <x:v>AVI unbound fraction = 0.87</x:v>
      </x:c>
      <x:c r="C54" t="str">
        <x:v>R13</x:v>
      </x:c>
      <x:c r="D54" t="str">
        <x:v>121–150</x:v>
      </x:c>
      <x:c r="E54" t="str">
        <x:v>FR2024_OXA484_SERINE_ONLY</x:v>
      </x:c>
      <x:c r="F54" t="str">
        <x:v>French OXA-484 Enterobacterales, serine-only</x:v>
      </x:c>
      <x:c r="G54" s="63" t="n">
        <x:v>80.39358333333334</x:v>
      </x:c>
      <x:c r="H54" s="63" t="n">
        <x:v>77.97066666666667</x:v>
      </x:c>
      <x:c r="I54" s="63" t="str">
        <x:v>ACCEPTABLE</x:v>
      </x:c>
      <x:c r="J54" s="63" t="str">
        <x:v>LOW</x:v>
      </x:c>
      <x:c r="K54" s="63" t="n">
        <x:v>7.045</x:v>
      </x:c>
      <x:c r="L54" s="63" t="n">
        <x:v>7.045</x:v>
      </x:c>
      <x:c r="M54" t="str">
        <x:v>NO</x:v>
      </x:c>
    </x:row>
    <x:row r="55">
      <x:c r="A55" t="str">
        <x:v>FU_AVI_HIGH</x:v>
      </x:c>
      <x:c r="B55" t="str">
        <x:v>AVI unbound fraction = 0.97</x:v>
      </x:c>
      <x:c r="C55" t="str">
        <x:v>R8</x:v>
      </x:c>
      <x:c r="D55" t="str">
        <x:v>31–60</x:v>
      </x:c>
      <x:c r="E55" t="str">
        <x:v>FR2024_OXA484_SERINE_ONLY</x:v>
      </x:c>
      <x:c r="F55" t="str">
        <x:v>French OXA-484 Enterobacterales, serine-only</x:v>
      </x:c>
      <x:c r="G55" s="63" t="n">
        <x:v>89.20433333333331</x:v>
      </x:c>
      <x:c r="H55" s="63" t="n">
        <x:v>90.53775</x:v>
      </x:c>
      <x:c r="I55" s="63" t="str">
        <x:v>ACCEPTABLE</x:v>
      </x:c>
      <x:c r="J55" s="63" t="str">
        <x:v>OPTIMAL</x:v>
      </x:c>
      <x:c r="K55" s="63" t="n">
        <x:v>9.62</x:v>
      </x:c>
      <x:c r="L55" s="63" t="n">
        <x:v>9.62</x:v>
      </x:c>
      <x:c r="M55" t="str">
        <x:v>NO</x:v>
      </x:c>
    </x:row>
    <x:row r="56">
      <x:c r="A56" t="str">
        <x:v>FU_AVI_HIGH</x:v>
      </x:c>
      <x:c r="B56" t="str">
        <x:v>AVI unbound fraction = 0.97</x:v>
      </x:c>
      <x:c r="C56" t="str">
        <x:v>R13</x:v>
      </x:c>
      <x:c r="D56" t="str">
        <x:v>121–150</x:v>
      </x:c>
      <x:c r="E56" t="str">
        <x:v>LEE2022_KPC_KP</x:v>
      </x:c>
      <x:c r="F56" t="str">
        <x:v>KPC-like CR-K. pneumoniae, ATLAS 2020</x:v>
      </x:c>
      <x:c r="G56" s="63" t="n">
        <x:v>79.73715039577836</x:v>
      </x:c>
      <x:c r="H56" s="63" t="n">
        <x:v>81.74199208443272</x:v>
      </x:c>
      <x:c r="I56" s="63" t="str">
        <x:v>LOW</x:v>
      </x:c>
      <x:c r="J56" s="63" t="str">
        <x:v>ACCEPTABLE</x:v>
      </x:c>
      <x:c r="K56" s="63" t="n">
        <x:v>7.045</x:v>
      </x:c>
      <x:c r="L56" s="63" t="n">
        <x:v>7.045</x:v>
      </x:c>
      <x:c r="M56" t="str">
        <x:v>NO</x:v>
      </x:c>
    </x:row>
    <x:row r="57">
      <x:c r="A57" t="str">
        <x:v>FU_AVI_HIGH</x:v>
      </x:c>
      <x:c r="B57" t="str">
        <x:v>AVI unbound fraction = 0.97</x:v>
      </x:c>
      <x:c r="C57" t="str">
        <x:v>R13</x:v>
      </x:c>
      <x:c r="D57" t="str">
        <x:v>121–150</x:v>
      </x:c>
      <x:c r="E57" t="str">
        <x:v>LEE2022_OXA_KP</x:v>
      </x:c>
      <x:c r="F57" t="str">
        <x:v>OXA-like CR-K. pneumoniae, ATLAS 2020</x:v>
      </x:c>
      <x:c r="G57" s="63" t="n">
        <x:v>79.27514830508476</x:v>
      </x:c>
      <x:c r="H57" s="63" t="n">
        <x:v>81.29006355932201</x:v>
      </x:c>
      <x:c r="I57" s="63" t="str">
        <x:v>LOW</x:v>
      </x:c>
      <x:c r="J57" s="63" t="str">
        <x:v>ACCEPTABLE</x:v>
      </x:c>
      <x:c r="K57" s="63" t="n">
        <x:v>7.045</x:v>
      </x:c>
      <x:c r="L57" s="63" t="n">
        <x:v>7.045</x:v>
      </x:c>
      <x:c r="M57" t="str">
        <x:v>NO</x:v>
      </x:c>
    </x:row>
    <x:row r="58">
      <x:c r="A58" t="str">
        <x:v>CAZ_TARGET_2</x:v>
      </x:c>
      <x:c r="B58" t="str">
        <x:v>CAZ target fCss/MIC ≥2</x:v>
      </x:c>
      <x:c r="C58" t="str">
        <x:v>R13</x:v>
      </x:c>
      <x:c r="D58" t="str">
        <x:v>121–150</x:v>
      </x:c>
      <x:c r="E58" t="str">
        <x:v>LEE2022_KPC_KP</x:v>
      </x:c>
      <x:c r="F58" t="str">
        <x:v>KPC-like CR-K. pneumoniae, ATLAS 2020</x:v>
      </x:c>
      <x:c r="G58" s="63" t="n">
        <x:v>79.73715039577836</x:v>
      </x:c>
      <x:c r="H58" s="63" t="n">
        <x:v>80.12555408970975</x:v>
      </x:c>
      <x:c r="I58" s="63" t="str">
        <x:v>LOW</x:v>
      </x:c>
      <x:c r="J58" s="63" t="str">
        <x:v>ACCEPTABLE</x:v>
      </x:c>
      <x:c r="K58" s="63" t="n">
        <x:v>7.045</x:v>
      </x:c>
      <x:c r="L58" s="63" t="n">
        <x:v>7.045</x:v>
      </x:c>
      <x:c r="M58" t="str">
        <x:v>NO</x:v>
      </x:c>
    </x:row>
    <x:row r="59">
      <x:c r="A59" t="str">
        <x:v>AVI_CT_2</x:v>
      </x:c>
      <x:c r="B59" t="str">
        <x:v>AVI threshold = 2 mg/L</x:v>
      </x:c>
      <x:c r="C59" t="str">
        <x:v>R1</x:v>
      </x:c>
      <x:c r="D59" t="str">
        <x:v>0–30</x:v>
      </x:c>
      <x:c r="E59" t="str">
        <x:v>LEE2022_KPC_KP</x:v>
      </x:c>
      <x:c r="F59" t="str">
        <x:v>KPC-like CR-K. pneumoniae, ATLAS 2020</x:v>
      </x:c>
      <x:c r="G59" s="63" t="n">
        <x:v>72.80412928759894</x:v>
      </x:c>
      <x:c r="H59" s="63" t="n">
        <x:v>89.32168865435355</x:v>
      </x:c>
      <x:c r="I59" s="63" t="str">
        <x:v>LOW</x:v>
      </x:c>
      <x:c r="J59" s="63" t="str">
        <x:v>ACCEPTABLE</x:v>
      </x:c>
      <x:c r="K59" s="63" t="n">
        <x:v>9.42</x:v>
      </x:c>
      <x:c r="L59" s="63" t="n">
        <x:v>9.42</x:v>
      </x:c>
      <x:c r="M59" t="str">
        <x:v>NO</x:v>
      </x:c>
    </x:row>
    <x:row r="60">
      <x:c r="A60" t="str">
        <x:v>AVI_CT_2</x:v>
      </x:c>
      <x:c r="B60" t="str">
        <x:v>AVI threshold = 2 mg/L</x:v>
      </x:c>
      <x:c r="C60" t="str">
        <x:v>R1</x:v>
      </x:c>
      <x:c r="D60" t="str">
        <x:v>0–30</x:v>
      </x:c>
      <x:c r="E60" t="str">
        <x:v>LEE2022_OXA_KP</x:v>
      </x:c>
      <x:c r="F60" t="str">
        <x:v>OXA-like CR-K. pneumoniae, ATLAS 2020</x:v>
      </x:c>
      <x:c r="G60" s="63" t="n">
        <x:v>72.95300847457627</x:v>
      </x:c>
      <x:c r="H60" s="63" t="n">
        <x:v>90.62033898305083</x:v>
      </x:c>
      <x:c r="I60" s="63" t="str">
        <x:v>LOW</x:v>
      </x:c>
      <x:c r="J60" s="63" t="str">
        <x:v>OPTIMAL</x:v>
      </x:c>
      <x:c r="K60" s="63" t="n">
        <x:v>9.42</x:v>
      </x:c>
      <x:c r="L60" s="63" t="n">
        <x:v>9.42</x:v>
      </x:c>
      <x:c r="M60" t="str">
        <x:v>NO</x:v>
      </x:c>
    </x:row>
    <x:row r="61">
      <x:c r="A61" t="str">
        <x:v>AVI_CT_2</x:v>
      </x:c>
      <x:c r="B61" t="str">
        <x:v>AVI threshold = 2 mg/L</x:v>
      </x:c>
      <x:c r="C61" t="str">
        <x:v>R1</x:v>
      </x:c>
      <x:c r="D61" t="str">
        <x:v>0–30</x:v>
      </x:c>
      <x:c r="E61" t="str">
        <x:v>INDIA2022_OXA48_KP</x:v>
      </x:c>
      <x:c r="F61" t="str">
        <x:v>OXA-48-like CR-K. pneumoniae, India</x:v>
      </x:c>
      <x:c r="G61" s="63" t="n">
        <x:v>71.44227941176472</x:v>
      </x:c>
      <x:c r="H61" s="63" t="n">
        <x:v>89.03838235294117</x:v>
      </x:c>
      <x:c r="I61" s="63" t="str">
        <x:v>LOW</x:v>
      </x:c>
      <x:c r="J61" s="63" t="str">
        <x:v>ACCEPTABLE</x:v>
      </x:c>
      <x:c r="K61" s="63" t="n">
        <x:v>9.42</x:v>
      </x:c>
      <x:c r="L61" s="63" t="n">
        <x:v>9.42</x:v>
      </x:c>
      <x:c r="M61" t="str">
        <x:v>NO</x:v>
      </x:c>
    </x:row>
    <x:row r="62">
      <x:c r="A62" t="str">
        <x:v>AVI_CT_2</x:v>
      </x:c>
      <x:c r="B62" t="str">
        <x:v>AVI threshold = 2 mg/L</x:v>
      </x:c>
      <x:c r="C62" t="str">
        <x:v>R1</x:v>
      </x:c>
      <x:c r="D62" t="str">
        <x:v>0–30</x:v>
      </x:c>
      <x:c r="E62" t="str">
        <x:v>FR2024_OXA484_SERINE_ONLY</x:v>
      </x:c>
      <x:c r="F62" t="str">
        <x:v>French OXA-484 Enterobacterales, serine-only</x:v>
      </x:c>
      <x:c r="G62" s="63" t="n">
        <x:v>74.08933333333334</x:v>
      </x:c>
      <x:c r="H62" s="63" t="n">
        <x:v>92.38041666666666</x:v>
      </x:c>
      <x:c r="I62" s="63" t="str">
        <x:v>LOW</x:v>
      </x:c>
      <x:c r="J62" s="63" t="str">
        <x:v>OPTIMAL</x:v>
      </x:c>
      <x:c r="K62" s="63" t="n">
        <x:v>9.42</x:v>
      </x:c>
      <x:c r="L62" s="63" t="n">
        <x:v>9.42</x:v>
      </x:c>
      <x:c r="M62" t="str">
        <x:v>NO</x:v>
      </x:c>
    </x:row>
    <x:row r="63">
      <x:c r="A63" t="str">
        <x:v>AVI_CT_2</x:v>
      </x:c>
      <x:c r="B63" t="str">
        <x:v>AVI threshold = 2 mg/L</x:v>
      </x:c>
      <x:c r="C63" t="str">
        <x:v>R8</x:v>
      </x:c>
      <x:c r="D63" t="str">
        <x:v>31–60</x:v>
      </x:c>
      <x:c r="E63" t="str">
        <x:v>LEE2022_KPC_KP</x:v>
      </x:c>
      <x:c r="F63" t="str">
        <x:v>KPC-like CR-K. pneumoniae, ATLAS 2020</x:v>
      </x:c>
      <x:c r="G63" s="63" t="n">
        <x:v>88.41282321899736</x:v>
      </x:c>
      <x:c r="H63" s="63" t="n">
        <x:v>97.28055408970977</x:v>
      </x:c>
      <x:c r="I63" s="63" t="str">
        <x:v>ACCEPTABLE</x:v>
      </x:c>
      <x:c r="J63" s="63" t="str">
        <x:v>OPTIMAL</x:v>
      </x:c>
      <x:c r="K63" s="63" t="n">
        <x:v>9.62</x:v>
      </x:c>
      <x:c r="L63" s="63" t="n">
        <x:v>9.62</x:v>
      </x:c>
      <x:c r="M63" t="str">
        <x:v>NO</x:v>
      </x:c>
    </x:row>
    <x:row r="64">
      <x:c r="A64" t="str">
        <x:v>AVI_CT_2</x:v>
      </x:c>
      <x:c r="B64" t="str">
        <x:v>AVI threshold = 2 mg/L</x:v>
      </x:c>
      <x:c r="C64" t="str">
        <x:v>R8</x:v>
      </x:c>
      <x:c r="D64" t="str">
        <x:v>31–60</x:v>
      </x:c>
      <x:c r="E64" t="str">
        <x:v>LEE2022_OXA_KP</x:v>
      </x:c>
      <x:c r="F64" t="str">
        <x:v>OXA-like CR-K. pneumoniae, ATLAS 2020</x:v>
      </x:c>
      <x:c r="G64" s="63" t="n">
        <x:v>87.95485169491526</x:v>
      </x:c>
      <x:c r="H64" s="63" t="n">
        <x:v>97.16247881355933</x:v>
      </x:c>
      <x:c r="I64" s="63" t="str">
        <x:v>ACCEPTABLE</x:v>
      </x:c>
      <x:c r="J64" s="63" t="str">
        <x:v>OPTIMAL</x:v>
      </x:c>
      <x:c r="K64" s="63" t="n">
        <x:v>9.62</x:v>
      </x:c>
      <x:c r="L64" s="63" t="n">
        <x:v>9.62</x:v>
      </x:c>
      <x:c r="M64" t="str">
        <x:v>NO</x:v>
      </x:c>
    </x:row>
    <x:row r="65">
      <x:c r="A65" t="str">
        <x:v>AVI_CT_2</x:v>
      </x:c>
      <x:c r="B65" t="str">
        <x:v>AVI threshold = 2 mg/L</x:v>
      </x:c>
      <x:c r="C65" t="str">
        <x:v>R8</x:v>
      </x:c>
      <x:c r="D65" t="str">
        <x:v>31–60</x:v>
      </x:c>
      <x:c r="E65" t="str">
        <x:v>INDIA2022_OXA48_KP</x:v>
      </x:c>
      <x:c r="F65" t="str">
        <x:v>OXA-48-like CR-K. pneumoniae, India</x:v>
      </x:c>
      <x:c r="G65" s="63" t="n">
        <x:v>85.96338235294118</x:v>
      </x:c>
      <x:c r="H65" s="63" t="n">
        <x:v>95.01224264705881</x:v>
      </x:c>
      <x:c r="I65" s="63" t="str">
        <x:v>ACCEPTABLE</x:v>
      </x:c>
      <x:c r="J65" s="63" t="str">
        <x:v>OPTIMAL</x:v>
      </x:c>
      <x:c r="K65" s="63" t="n">
        <x:v>9.62</x:v>
      </x:c>
      <x:c r="L65" s="63" t="n">
        <x:v>9.62</x:v>
      </x:c>
      <x:c r="M65" t="str">
        <x:v>NO</x:v>
      </x:c>
    </x:row>
    <x:row r="66">
      <x:c r="A66" t="str">
        <x:v>AVI_CT_2</x:v>
      </x:c>
      <x:c r="B66" t="str">
        <x:v>AVI threshold = 2 mg/L</x:v>
      </x:c>
      <x:c r="C66" t="str">
        <x:v>R8</x:v>
      </x:c>
      <x:c r="D66" t="str">
        <x:v>31–60</x:v>
      </x:c>
      <x:c r="E66" t="str">
        <x:v>FR2024_OXA484_SERINE_ONLY</x:v>
      </x:c>
      <x:c r="F66" t="str">
        <x:v>French OXA-484 Enterobacterales, serine-only</x:v>
      </x:c>
      <x:c r="G66" s="63" t="n">
        <x:v>89.20433333333331</x:v>
      </x:c>
      <x:c r="H66" s="63" t="n">
        <x:v>98.63125000000001</x:v>
      </x:c>
      <x:c r="I66" s="63" t="str">
        <x:v>ACCEPTABLE</x:v>
      </x:c>
      <x:c r="J66" s="63" t="str">
        <x:v>OPTIMAL</x:v>
      </x:c>
      <x:c r="K66" s="63" t="n">
        <x:v>9.62</x:v>
      </x:c>
      <x:c r="L66" s="63" t="n">
        <x:v>9.62</x:v>
      </x:c>
      <x:c r="M66" t="str">
        <x:v>NO</x:v>
      </x:c>
    </x:row>
    <x:row r="67">
      <x:c r="A67" t="str">
        <x:v>AVI_CT_2</x:v>
      </x:c>
      <x:c r="B67" t="str">
        <x:v>AVI threshold = 2 mg/L</x:v>
      </x:c>
      <x:c r="C67" t="str">
        <x:v>R10</x:v>
      </x:c>
      <x:c r="D67" t="str">
        <x:v>61–90</x:v>
      </x:c>
      <x:c r="E67" t="str">
        <x:v>LEE2022_KPC_KP</x:v>
      </x:c>
      <x:c r="F67" t="str">
        <x:v>KPC-like CR-K. pneumoniae, ATLAS 2020</x:v>
      </x:c>
      <x:c r="G67" s="63" t="n">
        <x:v>87.42915567282323</x:v>
      </x:c>
      <x:c r="H67" s="63" t="n">
        <x:v>97.32420844327177</x:v>
      </x:c>
      <x:c r="I67" s="63" t="str">
        <x:v>ACCEPTABLE</x:v>
      </x:c>
      <x:c r="J67" s="63" t="str">
        <x:v>OPTIMAL</x:v>
      </x:c>
      <x:c r="K67" s="63" t="n">
        <x:v>10.665</x:v>
      </x:c>
      <x:c r="L67" s="63" t="n">
        <x:v>10.665</x:v>
      </x:c>
      <x:c r="M67" t="str">
        <x:v>NO</x:v>
      </x:c>
    </x:row>
    <x:row r="68">
      <x:c r="A68" t="str">
        <x:v>AVI_CT_2</x:v>
      </x:c>
      <x:c r="B68" t="str">
        <x:v>AVI threshold = 2 mg/L</x:v>
      </x:c>
      <x:c r="C68" t="str">
        <x:v>R10</x:v>
      </x:c>
      <x:c r="D68" t="str">
        <x:v>61–90</x:v>
      </x:c>
      <x:c r="E68" t="str">
        <x:v>LEE2022_OXA_KP</x:v>
      </x:c>
      <x:c r="F68" t="str">
        <x:v>OXA-like CR-K. pneumoniae, ATLAS 2020</x:v>
      </x:c>
      <x:c r="G68" s="63" t="n">
        <x:v>86.91703389830509</x:v>
      </x:c>
      <x:c r="H68" s="63" t="n">
        <x:v>97.09635593220337</x:v>
      </x:c>
      <x:c r="I68" s="63" t="str">
        <x:v>ACCEPTABLE</x:v>
      </x:c>
      <x:c r="J68" s="63" t="str">
        <x:v>OPTIMAL</x:v>
      </x:c>
      <x:c r="K68" s="63" t="n">
        <x:v>10.665</x:v>
      </x:c>
      <x:c r="L68" s="63" t="n">
        <x:v>10.665</x:v>
      </x:c>
      <x:c r="M68" t="str">
        <x:v>NO</x:v>
      </x:c>
    </x:row>
    <x:row r="69">
      <x:c r="A69" t="str">
        <x:v>AVI_CT_2</x:v>
      </x:c>
      <x:c r="B69" t="str">
        <x:v>AVI threshold = 2 mg/L</x:v>
      </x:c>
      <x:c r="C69" t="str">
        <x:v>R10</x:v>
      </x:c>
      <x:c r="D69" t="str">
        <x:v>61–90</x:v>
      </x:c>
      <x:c r="E69" t="str">
        <x:v>INDIA2022_OXA48_KP</x:v>
      </x:c>
      <x:c r="F69" t="str">
        <x:v>OXA-48-like CR-K. pneumoniae, India</x:v>
      </x:c>
      <x:c r="G69" s="63" t="n">
        <x:v>84.93959558823529</x:v>
      </x:c>
      <x:c r="H69" s="63" t="n">
        <x:v>94.93316176470586</x:v>
      </x:c>
      <x:c r="I69" s="63" t="str">
        <x:v>ACCEPTABLE</x:v>
      </x:c>
      <x:c r="J69" s="63" t="str">
        <x:v>OPTIMAL</x:v>
      </x:c>
      <x:c r="K69" s="63" t="n">
        <x:v>10.665</x:v>
      </x:c>
      <x:c r="L69" s="63" t="n">
        <x:v>10.665</x:v>
      </x:c>
      <x:c r="M69" t="str">
        <x:v>NO</x:v>
      </x:c>
    </x:row>
    <x:row r="70">
      <x:c r="A70" t="str">
        <x:v>AVI_CT_2</x:v>
      </x:c>
      <x:c r="B70" t="str">
        <x:v>AVI threshold = 2 mg/L</x:v>
      </x:c>
      <x:c r="C70" t="str">
        <x:v>R10</x:v>
      </x:c>
      <x:c r="D70" t="str">
        <x:v>61–90</x:v>
      </x:c>
      <x:c r="E70" t="str">
        <x:v>FR2024_OXA484_SERINE_ONLY</x:v>
      </x:c>
      <x:c r="F70" t="str">
        <x:v>French OXA-484 Enterobacterales, serine-only</x:v>
      </x:c>
      <x:c r="G70" s="63" t="n">
        <x:v>88.12991666666667</x:v>
      </x:c>
      <x:c r="H70" s="63" t="n">
        <x:v>98.53391666666667</x:v>
      </x:c>
      <x:c r="I70" s="63" t="str">
        <x:v>ACCEPTABLE</x:v>
      </x:c>
      <x:c r="J70" s="63" t="str">
        <x:v>OPTIMAL</x:v>
      </x:c>
      <x:c r="K70" s="63" t="n">
        <x:v>10.665</x:v>
      </x:c>
      <x:c r="L70" s="63" t="n">
        <x:v>10.665</x:v>
      </x:c>
      <x:c r="M70" t="str">
        <x:v>NO</x:v>
      </x:c>
    </x:row>
    <x:row r="71">
      <x:c r="A71" t="str">
        <x:v>AVI_CT_2</x:v>
      </x:c>
      <x:c r="B71" t="str">
        <x:v>AVI threshold = 2 mg/L</x:v>
      </x:c>
      <x:c r="C71" t="str">
        <x:v>R12</x:v>
      </x:c>
      <x:c r="D71" t="str">
        <x:v>91–120</x:v>
      </x:c>
      <x:c r="E71" t="str">
        <x:v>LEE2022_KPC_KP</x:v>
      </x:c>
      <x:c r="F71" t="str">
        <x:v>KPC-like CR-K. pneumoniae, ATLAS 2020</x:v>
      </x:c>
      <x:c r="G71" s="63" t="n">
        <x:v>87.49072559366755</x:v>
      </x:c>
      <x:c r="H71" s="63" t="n">
        <x:v>97.51733509234828</x:v>
      </x:c>
      <x:c r="I71" s="63" t="str">
        <x:v>ACCEPTABLE</x:v>
      </x:c>
      <x:c r="J71" s="63" t="str">
        <x:v>OPTIMAL</x:v>
      </x:c>
      <x:c r="K71" s="63" t="n">
        <x:v>11.82</x:v>
      </x:c>
      <x:c r="L71" s="63" t="n">
        <x:v>11.82</x:v>
      </x:c>
      <x:c r="M71" t="str">
        <x:v>NO</x:v>
      </x:c>
    </x:row>
    <x:row r="72">
      <x:c r="A72" t="str">
        <x:v>AVI_CT_2</x:v>
      </x:c>
      <x:c r="B72" t="str">
        <x:v>AVI threshold = 2 mg/L</x:v>
      </x:c>
      <x:c r="C72" t="str">
        <x:v>R12</x:v>
      </x:c>
      <x:c r="D72" t="str">
        <x:v>91–120</x:v>
      </x:c>
      <x:c r="E72" t="str">
        <x:v>LEE2022_OXA_KP</x:v>
      </x:c>
      <x:c r="F72" t="str">
        <x:v>OXA-like CR-K. pneumoniae, ATLAS 2020</x:v>
      </x:c>
      <x:c r="G72" s="63" t="n">
        <x:v>86.93947033898306</x:v>
      </x:c>
      <x:c r="H72" s="63" t="n">
        <x:v>97.2035593220339</x:v>
      </x:c>
      <x:c r="I72" s="63" t="str">
        <x:v>ACCEPTABLE</x:v>
      </x:c>
      <x:c r="J72" s="63" t="str">
        <x:v>OPTIMAL</x:v>
      </x:c>
      <x:c r="K72" s="63" t="n">
        <x:v>11.82</x:v>
      </x:c>
      <x:c r="L72" s="63" t="n">
        <x:v>11.82</x:v>
      </x:c>
      <x:c r="M72" t="str">
        <x:v>NO</x:v>
      </x:c>
    </x:row>
    <x:row r="73">
      <x:c r="A73" t="str">
        <x:v>AVI_CT_2</x:v>
      </x:c>
      <x:c r="B73" t="str">
        <x:v>AVI threshold = 2 mg/L</x:v>
      </x:c>
      <x:c r="C73" t="str">
        <x:v>R12</x:v>
      </x:c>
      <x:c r="D73" t="str">
        <x:v>91–120</x:v>
      </x:c>
      <x:c r="E73" t="str">
        <x:v>INDIA2022_OXA48_KP</x:v>
      </x:c>
      <x:c r="F73" t="str">
        <x:v>OXA-48-like CR-K. pneumoniae, India</x:v>
      </x:c>
      <x:c r="G73" s="63" t="n">
        <x:v>84.95058823529412</x:v>
      </x:c>
      <x:c r="H73" s="63" t="n">
        <x:v>95.02202205882354</x:v>
      </x:c>
      <x:c r="I73" s="63" t="str">
        <x:v>ACCEPTABLE</x:v>
      </x:c>
      <x:c r="J73" s="63" t="str">
        <x:v>OPTIMAL</x:v>
      </x:c>
      <x:c r="K73" s="63" t="n">
        <x:v>11.82</x:v>
      </x:c>
      <x:c r="L73" s="63" t="n">
        <x:v>11.82</x:v>
      </x:c>
      <x:c r="M73" t="str">
        <x:v>NO</x:v>
      </x:c>
    </x:row>
    <x:row r="74">
      <x:c r="A74" t="str">
        <x:v>AVI_CT_2</x:v>
      </x:c>
      <x:c r="B74" t="str">
        <x:v>AVI threshold = 2 mg/L</x:v>
      </x:c>
      <x:c r="C74" t="str">
        <x:v>R12</x:v>
      </x:c>
      <x:c r="D74" t="str">
        <x:v>91–120</x:v>
      </x:c>
      <x:c r="E74" t="str">
        <x:v>FR2024_OXA484_SERINE_ONLY</x:v>
      </x:c>
      <x:c r="F74" t="str">
        <x:v>French OXA-484 Enterobacterales, serine-only</x:v>
      </x:c>
      <x:c r="G74" s="63" t="n">
        <x:v>88.13366666666667</x:v>
      </x:c>
      <x:c r="H74" s="63" t="n">
        <x:v>98.61483333333332</x:v>
      </x:c>
      <x:c r="I74" s="63" t="str">
        <x:v>ACCEPTABLE</x:v>
      </x:c>
      <x:c r="J74" s="63" t="str">
        <x:v>OPTIMAL</x:v>
      </x:c>
      <x:c r="K74" s="63" t="n">
        <x:v>11.82</x:v>
      </x:c>
      <x:c r="L74" s="63" t="n">
        <x:v>11.82</x:v>
      </x:c>
      <x:c r="M74" t="str">
        <x:v>NO</x:v>
      </x:c>
    </x:row>
    <x:row r="75">
      <x:c r="A75" t="str">
        <x:v>AVI_CT_2</x:v>
      </x:c>
      <x:c r="B75" t="str">
        <x:v>AVI threshold = 2 mg/L</x:v>
      </x:c>
      <x:c r="C75" t="str">
        <x:v>R13</x:v>
      </x:c>
      <x:c r="D75" t="str">
        <x:v>121–150</x:v>
      </x:c>
      <x:c r="E75" t="str">
        <x:v>LEE2022_KPC_KP</x:v>
      </x:c>
      <x:c r="F75" t="str">
        <x:v>KPC-like CR-K. pneumoniae, ATLAS 2020</x:v>
      </x:c>
      <x:c r="G75" s="63" t="n">
        <x:v>79.73715039577836</x:v>
      </x:c>
      <x:c r="H75" s="63" t="n">
        <x:v>95.53596306068602</x:v>
      </x:c>
      <x:c r="I75" s="63" t="str">
        <x:v>LOW</x:v>
      </x:c>
      <x:c r="J75" s="63" t="str">
        <x:v>OPTIMAL</x:v>
      </x:c>
      <x:c r="K75" s="63" t="n">
        <x:v>7.045</x:v>
      </x:c>
      <x:c r="L75" s="63" t="n">
        <x:v>7.045</x:v>
      </x:c>
      <x:c r="M75" t="str">
        <x:v>NO</x:v>
      </x:c>
    </x:row>
    <x:row r="76">
      <x:c r="A76" t="str">
        <x:v>AVI_CT_2</x:v>
      </x:c>
      <x:c r="B76" t="str">
        <x:v>AVI threshold = 2 mg/L</x:v>
      </x:c>
      <x:c r="C76" t="str">
        <x:v>R13</x:v>
      </x:c>
      <x:c r="D76" t="str">
        <x:v>121–150</x:v>
      </x:c>
      <x:c r="E76" t="str">
        <x:v>LEE2022_OXA_KP</x:v>
      </x:c>
      <x:c r="F76" t="str">
        <x:v>OXA-like CR-K. pneumoniae, ATLAS 2020</x:v>
      </x:c>
      <x:c r="G76" s="63" t="n">
        <x:v>79.27514830508476</x:v>
      </x:c>
      <x:c r="H76" s="63" t="n">
        <x:v>95.42980932203389</x:v>
      </x:c>
      <x:c r="I76" s="63" t="str">
        <x:v>LOW</x:v>
      </x:c>
      <x:c r="J76" s="63" t="str">
        <x:v>OPTIMAL</x:v>
      </x:c>
      <x:c r="K76" s="63" t="n">
        <x:v>7.045</x:v>
      </x:c>
      <x:c r="L76" s="63" t="n">
        <x:v>7.045</x:v>
      </x:c>
      <x:c r="M76" t="str">
        <x:v>NO</x:v>
      </x:c>
    </x:row>
    <x:row r="77">
      <x:c r="A77" t="str">
        <x:v>AVI_CT_2</x:v>
      </x:c>
      <x:c r="B77" t="str">
        <x:v>AVI threshold = 2 mg/L</x:v>
      </x:c>
      <x:c r="C77" t="str">
        <x:v>R13</x:v>
      </x:c>
      <x:c r="D77" t="str">
        <x:v>121–150</x:v>
      </x:c>
      <x:c r="E77" t="str">
        <x:v>INDIA2022_OXA48_KP</x:v>
      </x:c>
      <x:c r="F77" t="str">
        <x:v>OXA-48-like CR-K. pneumoniae, India</x:v>
      </x:c>
      <x:c r="G77" s="63" t="n">
        <x:v>77.46297794117649</x:v>
      </x:c>
      <x:c r="H77" s="63" t="n">
        <x:v>93.31117647058824</x:v>
      </x:c>
      <x:c r="I77" s="63" t="str">
        <x:v>LOW</x:v>
      </x:c>
      <x:c r="J77" s="63" t="str">
        <x:v>OPTIMAL</x:v>
      </x:c>
      <x:c r="K77" s="63" t="n">
        <x:v>7.045</x:v>
      </x:c>
      <x:c r="L77" s="63" t="n">
        <x:v>7.045</x:v>
      </x:c>
      <x:c r="M77" t="str">
        <x:v>NO</x:v>
      </x:c>
    </x:row>
    <x:row r="78">
      <x:c r="A78" t="str">
        <x:v>AVI_CT_2</x:v>
      </x:c>
      <x:c r="B78" t="str">
        <x:v>AVI threshold = 2 mg/L</x:v>
      </x:c>
      <x:c r="C78" t="str">
        <x:v>R13</x:v>
      </x:c>
      <x:c r="D78" t="str">
        <x:v>121–150</x:v>
      </x:c>
      <x:c r="E78" t="str">
        <x:v>FR2024_OXA484_SERINE_ONLY</x:v>
      </x:c>
      <x:c r="F78" t="str">
        <x:v>French OXA-484 Enterobacterales, serine-only</x:v>
      </x:c>
      <x:c r="G78" s="63" t="n">
        <x:v>80.39358333333334</x:v>
      </x:c>
      <x:c r="H78" s="63" t="n">
        <x:v>96.88566666666665</x:v>
      </x:c>
      <x:c r="I78" s="63" t="str">
        <x:v>ACCEPTABLE</x:v>
      </x:c>
      <x:c r="J78" s="63" t="str">
        <x:v>OPTIMAL</x:v>
      </x:c>
      <x:c r="K78" s="63" t="n">
        <x:v>7.045</x:v>
      </x:c>
      <x:c r="L78" s="63" t="n">
        <x:v>7.045</x:v>
      </x:c>
      <x:c r="M78" t="str">
        <x:v>NO</x:v>
      </x:c>
    </x:row>
    <x:row r="79">
      <x:c r="A79" t="str">
        <x:v>AVI_CT_6</x:v>
      </x:c>
      <x:c r="B79" t="str">
        <x:v>AVI threshold = 6 mg/L</x:v>
      </x:c>
      <x:c r="C79" t="str">
        <x:v>R8</x:v>
      </x:c>
      <x:c r="D79" t="str">
        <x:v>31–60</x:v>
      </x:c>
      <x:c r="E79" t="str">
        <x:v>LEE2022_KPC_KP</x:v>
      </x:c>
      <x:c r="F79" t="str">
        <x:v>KPC-like CR-K. pneumoniae, ATLAS 2020</x:v>
      </x:c>
      <x:c r="G79" s="63" t="n">
        <x:v>88.41282321899736</x:v>
      </x:c>
      <x:c r="H79" s="63" t="n">
        <x:v>74.28748021108179</x:v>
      </x:c>
      <x:c r="I79" s="63" t="str">
        <x:v>ACCEPTABLE</x:v>
      </x:c>
      <x:c r="J79" s="63" t="str">
        <x:v>LOW</x:v>
      </x:c>
      <x:c r="K79" s="63" t="n">
        <x:v>9.62</x:v>
      </x:c>
      <x:c r="L79" s="63" t="n">
        <x:v>9.62</x:v>
      </x:c>
      <x:c r="M79" t="str">
        <x:v>NO</x:v>
      </x:c>
    </x:row>
    <x:row r="80">
      <x:c r="A80" t="str">
        <x:v>AVI_CT_6</x:v>
      </x:c>
      <x:c r="B80" t="str">
        <x:v>AVI threshold = 6 mg/L</x:v>
      </x:c>
      <x:c r="C80" t="str">
        <x:v>R8</x:v>
      </x:c>
      <x:c r="D80" t="str">
        <x:v>31–60</x:v>
      </x:c>
      <x:c r="E80" t="str">
        <x:v>LEE2022_OXA_KP</x:v>
      </x:c>
      <x:c r="F80" t="str">
        <x:v>OXA-like CR-K. pneumoniae, ATLAS 2020</x:v>
      </x:c>
      <x:c r="G80" s="63" t="n">
        <x:v>87.95485169491526</x:v>
      </x:c>
      <x:c r="H80" s="63" t="n">
        <x:v>73.78112288135593</x:v>
      </x:c>
      <x:c r="I80" s="63" t="str">
        <x:v>ACCEPTABLE</x:v>
      </x:c>
      <x:c r="J80" s="63" t="str">
        <x:v>LOW</x:v>
      </x:c>
      <x:c r="K80" s="63" t="n">
        <x:v>9.62</x:v>
      </x:c>
      <x:c r="L80" s="63" t="n">
        <x:v>9.62</x:v>
      </x:c>
      <x:c r="M80" t="str">
        <x:v>NO</x:v>
      </x:c>
    </x:row>
    <x:row r="81">
      <x:c r="A81" t="str">
        <x:v>AVI_CT_6</x:v>
      </x:c>
      <x:c r="B81" t="str">
        <x:v>AVI threshold = 6 mg/L</x:v>
      </x:c>
      <x:c r="C81" t="str">
        <x:v>R8</x:v>
      </x:c>
      <x:c r="D81" t="str">
        <x:v>31–60</x:v>
      </x:c>
      <x:c r="E81" t="str">
        <x:v>INDIA2022_OXA48_KP</x:v>
      </x:c>
      <x:c r="F81" t="str">
        <x:v>OXA-48-like CR-K. pneumoniae, India</x:v>
      </x:c>
      <x:c r="G81" s="63" t="n">
        <x:v>85.96338235294118</x:v>
      </x:c>
      <x:c r="H81" s="63" t="n">
        <x:v>72.07569852941177</x:v>
      </x:c>
      <x:c r="I81" s="63" t="str">
        <x:v>ACCEPTABLE</x:v>
      </x:c>
      <x:c r="J81" s="63" t="str">
        <x:v>LOW</x:v>
      </x:c>
      <x:c r="K81" s="63" t="n">
        <x:v>9.62</x:v>
      </x:c>
      <x:c r="L81" s="63" t="n">
        <x:v>9.62</x:v>
      </x:c>
      <x:c r="M81" t="str">
        <x:v>NO</x:v>
      </x:c>
    </x:row>
    <x:row r="82">
      <x:c r="A82" t="str">
        <x:v>AVI_CT_6</x:v>
      </x:c>
      <x:c r="B82" t="str">
        <x:v>AVI threshold = 6 mg/L</x:v>
      </x:c>
      <x:c r="C82" t="str">
        <x:v>R8</x:v>
      </x:c>
      <x:c r="D82" t="str">
        <x:v>31–60</x:v>
      </x:c>
      <x:c r="E82" t="str">
        <x:v>FR2024_OXA484_SERINE_ONLY</x:v>
      </x:c>
      <x:c r="F82" t="str">
        <x:v>French OXA-484 Enterobacterales, serine-only</x:v>
      </x:c>
      <x:c r="G82" s="63" t="n">
        <x:v>89.20433333333331</x:v>
      </x:c>
      <x:c r="H82" s="63" t="n">
        <x:v>74.77916666666667</x:v>
      </x:c>
      <x:c r="I82" s="63" t="str">
        <x:v>ACCEPTABLE</x:v>
      </x:c>
      <x:c r="J82" s="63" t="str">
        <x:v>LOW</x:v>
      </x:c>
      <x:c r="K82" s="63" t="n">
        <x:v>9.62</x:v>
      </x:c>
      <x:c r="L82" s="63" t="n">
        <x:v>9.62</x:v>
      </x:c>
      <x:c r="M82" t="str">
        <x:v>NO</x:v>
      </x:c>
    </x:row>
    <x:row r="83">
      <x:c r="A83" t="str">
        <x:v>AVI_CT_6</x:v>
      </x:c>
      <x:c r="B83" t="str">
        <x:v>AVI threshold = 6 mg/L</x:v>
      </x:c>
      <x:c r="C83" t="str">
        <x:v>R10</x:v>
      </x:c>
      <x:c r="D83" t="str">
        <x:v>61–90</x:v>
      </x:c>
      <x:c r="E83" t="str">
        <x:v>LEE2022_KPC_KP</x:v>
      </x:c>
      <x:c r="F83" t="str">
        <x:v>KPC-like CR-K. pneumoniae, ATLAS 2020</x:v>
      </x:c>
      <x:c r="G83" s="63" t="n">
        <x:v>87.42915567282323</x:v>
      </x:c>
      <x:c r="H83" s="63" t="n">
        <x:v>72.06052770448551</x:v>
      </x:c>
      <x:c r="I83" s="63" t="str">
        <x:v>ACCEPTABLE</x:v>
      </x:c>
      <x:c r="J83" s="63" t="str">
        <x:v>LOW</x:v>
      </x:c>
      <x:c r="K83" s="63" t="n">
        <x:v>10.665</x:v>
      </x:c>
      <x:c r="L83" s="63" t="n">
        <x:v>10.665</x:v>
      </x:c>
      <x:c r="M83" t="str">
        <x:v>NO</x:v>
      </x:c>
    </x:row>
    <x:row r="84">
      <x:c r="A84" t="str">
        <x:v>AVI_CT_6</x:v>
      </x:c>
      <x:c r="B84" t="str">
        <x:v>AVI threshold = 6 mg/L</x:v>
      </x:c>
      <x:c r="C84" t="str">
        <x:v>R10</x:v>
      </x:c>
      <x:c r="D84" t="str">
        <x:v>61–90</x:v>
      </x:c>
      <x:c r="E84" t="str">
        <x:v>LEE2022_OXA_KP</x:v>
      </x:c>
      <x:c r="F84" t="str">
        <x:v>OXA-like CR-K. pneumoniae, ATLAS 2020</x:v>
      </x:c>
      <x:c r="G84" s="63" t="n">
        <x:v>86.91703389830509</x:v>
      </x:c>
      <x:c r="H84" s="63" t="n">
        <x:v>71.54074152542373</x:v>
      </x:c>
      <x:c r="I84" s="63" t="str">
        <x:v>ACCEPTABLE</x:v>
      </x:c>
      <x:c r="J84" s="63" t="str">
        <x:v>LOW</x:v>
      </x:c>
      <x:c r="K84" s="63" t="n">
        <x:v>10.665</x:v>
      </x:c>
      <x:c r="L84" s="63" t="n">
        <x:v>10.665</x:v>
      </x:c>
      <x:c r="M84" t="str">
        <x:v>NO</x:v>
      </x:c>
    </x:row>
    <x:row r="85">
      <x:c r="A85" t="str">
        <x:v>AVI_CT_6</x:v>
      </x:c>
      <x:c r="B85" t="str">
        <x:v>AVI threshold = 6 mg/L</x:v>
      </x:c>
      <x:c r="C85" t="str">
        <x:v>R10</x:v>
      </x:c>
      <x:c r="D85" t="str">
        <x:v>61–90</x:v>
      </x:c>
      <x:c r="E85" t="str">
        <x:v>INDIA2022_OXA48_KP</x:v>
      </x:c>
      <x:c r="F85" t="str">
        <x:v>OXA-48-like CR-K. pneumoniae, India</x:v>
      </x:c>
      <x:c r="G85" s="63" t="n">
        <x:v>84.93959558823529</x:v>
      </x:c>
      <x:c r="H85" s="63" t="n">
        <x:v>69.8780882352941</x:v>
      </x:c>
      <x:c r="I85" s="63" t="str">
        <x:v>ACCEPTABLE</x:v>
      </x:c>
      <x:c r="J85" s="63" t="str">
        <x:v>LOW</x:v>
      </x:c>
      <x:c r="K85" s="63" t="n">
        <x:v>10.665</x:v>
      </x:c>
      <x:c r="L85" s="63" t="n">
        <x:v>10.665</x:v>
      </x:c>
      <x:c r="M85" t="str">
        <x:v>NO</x:v>
      </x:c>
    </x:row>
    <x:row r="86">
      <x:c r="A86" t="str">
        <x:v>AVI_CT_6</x:v>
      </x:c>
      <x:c r="B86" t="str">
        <x:v>AVI threshold = 6 mg/L</x:v>
      </x:c>
      <x:c r="C86" t="str">
        <x:v>R10</x:v>
      </x:c>
      <x:c r="D86" t="str">
        <x:v>61–90</x:v>
      </x:c>
      <x:c r="E86" t="str">
        <x:v>FR2024_OXA484_SERINE_ONLY</x:v>
      </x:c>
      <x:c r="F86" t="str">
        <x:v>French OXA-484 Enterobacterales, serine-only</x:v>
      </x:c>
      <x:c r="G86" s="63" t="n">
        <x:v>88.12991666666667</x:v>
      </x:c>
      <x:c r="H86" s="63" t="n">
        <x:v>72.48983333333332</x:v>
      </x:c>
      <x:c r="I86" s="63" t="str">
        <x:v>ACCEPTABLE</x:v>
      </x:c>
      <x:c r="J86" s="63" t="str">
        <x:v>LOW</x:v>
      </x:c>
      <x:c r="K86" s="63" t="n">
        <x:v>10.665</x:v>
      </x:c>
      <x:c r="L86" s="63" t="n">
        <x:v>10.665</x:v>
      </x:c>
      <x:c r="M86" t="str">
        <x:v>NO</x:v>
      </x:c>
    </x:row>
    <x:row r="87">
      <x:c r="A87" t="str">
        <x:v>AVI_CT_6</x:v>
      </x:c>
      <x:c r="B87" t="str">
        <x:v>AVI threshold = 6 mg/L</x:v>
      </x:c>
      <x:c r="C87" t="str">
        <x:v>R12</x:v>
      </x:c>
      <x:c r="D87" t="str">
        <x:v>91–120</x:v>
      </x:c>
      <x:c r="E87" t="str">
        <x:v>LEE2022_KPC_KP</x:v>
      </x:c>
      <x:c r="F87" t="str">
        <x:v>KPC-like CR-K. pneumoniae, ATLAS 2020</x:v>
      </x:c>
      <x:c r="G87" s="63" t="n">
        <x:v>87.49072559366755</x:v>
      </x:c>
      <x:c r="H87" s="63" t="n">
        <x:v>71.65300791556729</x:v>
      </x:c>
      <x:c r="I87" s="63" t="str">
        <x:v>ACCEPTABLE</x:v>
      </x:c>
      <x:c r="J87" s="63" t="str">
        <x:v>LOW</x:v>
      </x:c>
      <x:c r="K87" s="63" t="n">
        <x:v>11.82</x:v>
      </x:c>
      <x:c r="L87" s="63" t="n">
        <x:v>11.82</x:v>
      </x:c>
      <x:c r="M87" t="str">
        <x:v>NO</x:v>
      </x:c>
    </x:row>
    <x:row r="88">
      <x:c r="A88" t="str">
        <x:v>AVI_CT_6</x:v>
      </x:c>
      <x:c r="B88" t="str">
        <x:v>AVI threshold = 6 mg/L</x:v>
      </x:c>
      <x:c r="C88" t="str">
        <x:v>R12</x:v>
      </x:c>
      <x:c r="D88" t="str">
        <x:v>91–120</x:v>
      </x:c>
      <x:c r="E88" t="str">
        <x:v>LEE2022_OXA_KP</x:v>
      </x:c>
      <x:c r="F88" t="str">
        <x:v>OXA-like CR-K. pneumoniae, ATLAS 2020</x:v>
      </x:c>
      <x:c r="G88" s="63" t="n">
        <x:v>86.93947033898306</x:v>
      </x:c>
      <x:c r="H88" s="63" t="n">
        <x:v>71.11504237288135</x:v>
      </x:c>
      <x:c r="I88" s="63" t="str">
        <x:v>ACCEPTABLE</x:v>
      </x:c>
      <x:c r="J88" s="63" t="str">
        <x:v>LOW</x:v>
      </x:c>
      <x:c r="K88" s="63" t="n">
        <x:v>11.82</x:v>
      </x:c>
      <x:c r="L88" s="63" t="n">
        <x:v>11.82</x:v>
      </x:c>
      <x:c r="M88" t="str">
        <x:v>NO</x:v>
      </x:c>
    </x:row>
    <x:row r="89">
      <x:c r="A89" t="str">
        <x:v>AVI_CT_6</x:v>
      </x:c>
      <x:c r="B89" t="str">
        <x:v>AVI threshold = 6 mg/L</x:v>
      </x:c>
      <x:c r="C89" t="str">
        <x:v>R12</x:v>
      </x:c>
      <x:c r="D89" t="str">
        <x:v>91–120</x:v>
      </x:c>
      <x:c r="E89" t="str">
        <x:v>INDIA2022_OXA48_KP</x:v>
      </x:c>
      <x:c r="F89" t="str">
        <x:v>OXA-48-like CR-K. pneumoniae, India</x:v>
      </x:c>
      <x:c r="G89" s="63" t="n">
        <x:v>84.95058823529412</x:v>
      </x:c>
      <x:c r="H89" s="63" t="n">
        <x:v>69.45569852941178</x:v>
      </x:c>
      <x:c r="I89" s="63" t="str">
        <x:v>ACCEPTABLE</x:v>
      </x:c>
      <x:c r="J89" s="63" t="str">
        <x:v>LOW</x:v>
      </x:c>
      <x:c r="K89" s="63" t="n">
        <x:v>11.82</x:v>
      </x:c>
      <x:c r="L89" s="63" t="n">
        <x:v>11.82</x:v>
      </x:c>
      <x:c r="M89" t="str">
        <x:v>NO</x:v>
      </x:c>
    </x:row>
    <x:row r="90">
      <x:c r="A90" t="str">
        <x:v>AVI_CT_6</x:v>
      </x:c>
      <x:c r="B90" t="str">
        <x:v>AVI threshold = 6 mg/L</x:v>
      </x:c>
      <x:c r="C90" t="str">
        <x:v>R12</x:v>
      </x:c>
      <x:c r="D90" t="str">
        <x:v>91–120</x:v>
      </x:c>
      <x:c r="E90" t="str">
        <x:v>FR2024_OXA484_SERINE_ONLY</x:v>
      </x:c>
      <x:c r="F90" t="str">
        <x:v>French OXA-484 Enterobacterales, serine-only</x:v>
      </x:c>
      <x:c r="G90" s="63" t="n">
        <x:v>88.13366666666667</x:v>
      </x:c>
      <x:c r="H90" s="63" t="n">
        <x:v>72.045</x:v>
      </x:c>
      <x:c r="I90" s="63" t="str">
        <x:v>ACCEPTABLE</x:v>
      </x:c>
      <x:c r="J90" s="63" t="str">
        <x:v>LOW</x:v>
      </x:c>
      <x:c r="K90" s="63" t="n">
        <x:v>11.82</x:v>
      </x:c>
      <x:c r="L90" s="63" t="n">
        <x:v>11.82</x:v>
      </x:c>
      <x:c r="M90" t="str">
        <x:v>NO</x:v>
      </x:c>
    </x:row>
    <x:row r="91">
      <x:c r="A91" t="str">
        <x:v>AVI_CT_6</x:v>
      </x:c>
      <x:c r="B91" t="str">
        <x:v>AVI threshold = 6 mg/L</x:v>
      </x:c>
      <x:c r="C91" t="str">
        <x:v>R13</x:v>
      </x:c>
      <x:c r="D91" t="str">
        <x:v>121–150</x:v>
      </x:c>
      <x:c r="E91" t="str">
        <x:v>FR2024_OXA484_SERINE_ONLY</x:v>
      </x:c>
      <x:c r="F91" t="str">
        <x:v>French OXA-484 Enterobacterales, serine-only</x:v>
      </x:c>
      <x:c r="G91" s="63" t="n">
        <x:v>80.39358333333334</x:v>
      </x:c>
      <x:c r="H91" s="63" t="n">
        <x:v>60.63991666666667</x:v>
      </x:c>
      <x:c r="I91" s="63" t="str">
        <x:v>ACCEPTABLE</x:v>
      </x:c>
      <x:c r="J91" s="63" t="str">
        <x:v>LOW</x:v>
      </x:c>
      <x:c r="K91" s="63" t="n">
        <x:v>7.045</x:v>
      </x:c>
      <x:c r="L91" s="63" t="n">
        <x:v>7.045</x:v>
      </x:c>
      <x:c r="M91" t="str">
        <x:v>NO</x:v>
      </x:c>
    </x:row>
    <x:row r="92">
      <x:c r="A92" t="str">
        <x:v>TOX_80</x:v>
      </x:c>
      <x:c r="B92" t="str">
        <x:v>CAZ toxicity threshold = 80 mg/L</x:v>
      </x:c>
      <x:c r="C92" t="str">
        <x:v>R8</x:v>
      </x:c>
      <x:c r="D92" t="str">
        <x:v>31–60</x:v>
      </x:c>
      <x:c r="E92" t="str">
        <x:v>LEE2022_KPC_KP</x:v>
      </x:c>
      <x:c r="F92" t="str">
        <x:v>KPC-like CR-K. pneumoniae, ATLAS 2020</x:v>
      </x:c>
      <x:c r="G92" s="63" t="n">
        <x:v>88.41282321899736</x:v>
      </x:c>
      <x:c r="H92" s="63" t="n">
        <x:v>88.41282321899736</x:v>
      </x:c>
      <x:c r="I92" s="63" t="str">
        <x:v>ACCEPTABLE</x:v>
      </x:c>
      <x:c r="J92" s="63" t="str">
        <x:v>ACCEPTABLE</x:v>
      </x:c>
      <x:c r="K92" s="63" t="n">
        <x:v>9.62</x:v>
      </x:c>
      <x:c r="L92" s="63" t="n">
        <x:v>18.915000000000003</x:v>
      </x:c>
      <x:c r="M92" t="str">
        <x:v>YES</x:v>
      </x:c>
    </x:row>
    <x:row r="93">
      <x:c r="A93" t="str">
        <x:v>TOX_80</x:v>
      </x:c>
      <x:c r="B93" t="str">
        <x:v>CAZ toxicity threshold = 80 mg/L</x:v>
      </x:c>
      <x:c r="C93" t="str">
        <x:v>R8</x:v>
      </x:c>
      <x:c r="D93" t="str">
        <x:v>31–60</x:v>
      </x:c>
      <x:c r="E93" t="str">
        <x:v>LEE2022_OXA_KP</x:v>
      </x:c>
      <x:c r="F93" t="str">
        <x:v>OXA-like CR-K. pneumoniae, ATLAS 2020</x:v>
      </x:c>
      <x:c r="G93" s="63" t="n">
        <x:v>87.95485169491526</x:v>
      </x:c>
      <x:c r="H93" s="63" t="n">
        <x:v>87.95485169491526</x:v>
      </x:c>
      <x:c r="I93" s="63" t="str">
        <x:v>ACCEPTABLE</x:v>
      </x:c>
      <x:c r="J93" s="63" t="str">
        <x:v>ACCEPTABLE</x:v>
      </x:c>
      <x:c r="K93" s="63" t="n">
        <x:v>9.62</x:v>
      </x:c>
      <x:c r="L93" s="63" t="n">
        <x:v>18.915000000000003</x:v>
      </x:c>
      <x:c r="M93" t="str">
        <x:v>YES</x:v>
      </x:c>
    </x:row>
    <x:row r="94">
      <x:c r="A94" t="str">
        <x:v>TOX_80</x:v>
      </x:c>
      <x:c r="B94" t="str">
        <x:v>CAZ toxicity threshold = 80 mg/L</x:v>
      </x:c>
      <x:c r="C94" t="str">
        <x:v>R8</x:v>
      </x:c>
      <x:c r="D94" t="str">
        <x:v>31–60</x:v>
      </x:c>
      <x:c r="E94" t="str">
        <x:v>INDIA2022_OXA48_KP</x:v>
      </x:c>
      <x:c r="F94" t="str">
        <x:v>OXA-48-like CR-K. pneumoniae, India</x:v>
      </x:c>
      <x:c r="G94" s="63" t="n">
        <x:v>85.96338235294118</x:v>
      </x:c>
      <x:c r="H94" s="63" t="n">
        <x:v>85.96338235294118</x:v>
      </x:c>
      <x:c r="I94" s="63" t="str">
        <x:v>ACCEPTABLE</x:v>
      </x:c>
      <x:c r="J94" s="63" t="str">
        <x:v>ACCEPTABLE</x:v>
      </x:c>
      <x:c r="K94" s="63" t="n">
        <x:v>9.62</x:v>
      </x:c>
      <x:c r="L94" s="63" t="n">
        <x:v>18.915000000000003</x:v>
      </x:c>
      <x:c r="M94" t="str">
        <x:v>YES</x:v>
      </x:c>
    </x:row>
    <x:row r="95">
      <x:c r="A95" t="str">
        <x:v>TOX_80</x:v>
      </x:c>
      <x:c r="B95" t="str">
        <x:v>CAZ toxicity threshold = 80 mg/L</x:v>
      </x:c>
      <x:c r="C95" t="str">
        <x:v>R8</x:v>
      </x:c>
      <x:c r="D95" t="str">
        <x:v>31–60</x:v>
      </x:c>
      <x:c r="E95" t="str">
        <x:v>FR2024_OXA484_SERINE_ONLY</x:v>
      </x:c>
      <x:c r="F95" t="str">
        <x:v>French OXA-484 Enterobacterales, serine-only</x:v>
      </x:c>
      <x:c r="G95" s="63" t="n">
        <x:v>89.20433333333331</x:v>
      </x:c>
      <x:c r="H95" s="63" t="n">
        <x:v>89.20433333333331</x:v>
      </x:c>
      <x:c r="I95" s="63" t="str">
        <x:v>ACCEPTABLE</x:v>
      </x:c>
      <x:c r="J95" s="63" t="str">
        <x:v>ACCEPTABLE</x:v>
      </x:c>
      <x:c r="K95" s="63" t="n">
        <x:v>9.62</x:v>
      </x:c>
      <x:c r="L95" s="63" t="n">
        <x:v>18.915000000000003</x:v>
      </x:c>
      <x:c r="M95" t="str">
        <x:v>YES</x:v>
      </x:c>
    </x:row>
    <x:row r="96">
      <x:c r="A96" t="str">
        <x:v>TOX_80</x:v>
      </x:c>
      <x:c r="B96" t="str">
        <x:v>CAZ toxicity threshold = 80 mg/L</x:v>
      </x:c>
      <x:c r="C96" t="str">
        <x:v>R10</x:v>
      </x:c>
      <x:c r="D96" t="str">
        <x:v>61–90</x:v>
      </x:c>
      <x:c r="E96" t="str">
        <x:v>LEE2022_KPC_KP</x:v>
      </x:c>
      <x:c r="F96" t="str">
        <x:v>KPC-like CR-K. pneumoniae, ATLAS 2020</x:v>
      </x:c>
      <x:c r="G96" s="63" t="n">
        <x:v>87.42915567282323</x:v>
      </x:c>
      <x:c r="H96" s="63" t="n">
        <x:v>87.42915567282323</x:v>
      </x:c>
      <x:c r="I96" s="63" t="str">
        <x:v>ACCEPTABLE</x:v>
      </x:c>
      <x:c r="J96" s="63" t="str">
        <x:v>ACCEPTABLE</x:v>
      </x:c>
      <x:c r="K96" s="63" t="n">
        <x:v>10.665</x:v>
      </x:c>
      <x:c r="L96" s="63" t="n">
        <x:v>20.43</x:v>
      </x:c>
      <x:c r="M96" t="str">
        <x:v>YES</x:v>
      </x:c>
    </x:row>
    <x:row r="97">
      <x:c r="A97" t="str">
        <x:v>TOX_80</x:v>
      </x:c>
      <x:c r="B97" t="str">
        <x:v>CAZ toxicity threshold = 80 mg/L</x:v>
      </x:c>
      <x:c r="C97" t="str">
        <x:v>R10</x:v>
      </x:c>
      <x:c r="D97" t="str">
        <x:v>61–90</x:v>
      </x:c>
      <x:c r="E97" t="str">
        <x:v>LEE2022_OXA_KP</x:v>
      </x:c>
      <x:c r="F97" t="str">
        <x:v>OXA-like CR-K. pneumoniae, ATLAS 2020</x:v>
      </x:c>
      <x:c r="G97" s="63" t="n">
        <x:v>86.91703389830509</x:v>
      </x:c>
      <x:c r="H97" s="63" t="n">
        <x:v>86.91703389830509</x:v>
      </x:c>
      <x:c r="I97" s="63" t="str">
        <x:v>ACCEPTABLE</x:v>
      </x:c>
      <x:c r="J97" s="63" t="str">
        <x:v>ACCEPTABLE</x:v>
      </x:c>
      <x:c r="K97" s="63" t="n">
        <x:v>10.665</x:v>
      </x:c>
      <x:c r="L97" s="63" t="n">
        <x:v>20.43</x:v>
      </x:c>
      <x:c r="M97" t="str">
        <x:v>YES</x:v>
      </x:c>
    </x:row>
    <x:row r="98">
      <x:c r="A98" t="str">
        <x:v>TOX_80</x:v>
      </x:c>
      <x:c r="B98" t="str">
        <x:v>CAZ toxicity threshold = 80 mg/L</x:v>
      </x:c>
      <x:c r="C98" t="str">
        <x:v>R10</x:v>
      </x:c>
      <x:c r="D98" t="str">
        <x:v>61–90</x:v>
      </x:c>
      <x:c r="E98" t="str">
        <x:v>INDIA2022_OXA48_KP</x:v>
      </x:c>
      <x:c r="F98" t="str">
        <x:v>OXA-48-like CR-K. pneumoniae, India</x:v>
      </x:c>
      <x:c r="G98" s="63" t="n">
        <x:v>84.93959558823529</x:v>
      </x:c>
      <x:c r="H98" s="63" t="n">
        <x:v>84.93959558823529</x:v>
      </x:c>
      <x:c r="I98" s="63" t="str">
        <x:v>ACCEPTABLE</x:v>
      </x:c>
      <x:c r="J98" s="63" t="str">
        <x:v>ACCEPTABLE</x:v>
      </x:c>
      <x:c r="K98" s="63" t="n">
        <x:v>10.665</x:v>
      </x:c>
      <x:c r="L98" s="63" t="n">
        <x:v>20.43</x:v>
      </x:c>
      <x:c r="M98" t="str">
        <x:v>YES</x:v>
      </x:c>
    </x:row>
    <x:row r="99">
      <x:c r="A99" t="str">
        <x:v>TOX_80</x:v>
      </x:c>
      <x:c r="B99" t="str">
        <x:v>CAZ toxicity threshold = 80 mg/L</x:v>
      </x:c>
      <x:c r="C99" t="str">
        <x:v>R10</x:v>
      </x:c>
      <x:c r="D99" t="str">
        <x:v>61–90</x:v>
      </x:c>
      <x:c r="E99" t="str">
        <x:v>FR2024_OXA484_SERINE_ONLY</x:v>
      </x:c>
      <x:c r="F99" t="str">
        <x:v>French OXA-484 Enterobacterales, serine-only</x:v>
      </x:c>
      <x:c r="G99" s="63" t="n">
        <x:v>88.12991666666667</x:v>
      </x:c>
      <x:c r="H99" s="63" t="n">
        <x:v>88.12991666666667</x:v>
      </x:c>
      <x:c r="I99" s="63" t="str">
        <x:v>ACCEPTABLE</x:v>
      </x:c>
      <x:c r="J99" s="63" t="str">
        <x:v>ACCEPTABLE</x:v>
      </x:c>
      <x:c r="K99" s="63" t="n">
        <x:v>10.665</x:v>
      </x:c>
      <x:c r="L99" s="63" t="n">
        <x:v>20.43</x:v>
      </x:c>
      <x:c r="M99" t="str">
        <x:v>YES</x:v>
      </x:c>
    </x:row>
    <x:row r="100">
      <x:c r="A100" t="str">
        <x:v>TOX_80</x:v>
      </x:c>
      <x:c r="B100" t="str">
        <x:v>CAZ toxicity threshold = 80 mg/L</x:v>
      </x:c>
      <x:c r="C100" t="str">
        <x:v>R12</x:v>
      </x:c>
      <x:c r="D100" t="str">
        <x:v>91–120</x:v>
      </x:c>
      <x:c r="E100" t="str">
        <x:v>LEE2022_KPC_KP</x:v>
      </x:c>
      <x:c r="F100" t="str">
        <x:v>KPC-like CR-K. pneumoniae, ATLAS 2020</x:v>
      </x:c>
      <x:c r="G100" s="63" t="n">
        <x:v>87.49072559366755</x:v>
      </x:c>
      <x:c r="H100" s="63" t="n">
        <x:v>87.49072559366755</x:v>
      </x:c>
      <x:c r="I100" s="63" t="str">
        <x:v>ACCEPTABLE</x:v>
      </x:c>
      <x:c r="J100" s="63" t="str">
        <x:v>ACCEPTABLE</x:v>
      </x:c>
      <x:c r="K100" s="63" t="n">
        <x:v>11.82</x:v>
      </x:c>
      <x:c r="L100" s="63" t="n">
        <x:v>22.33</x:v>
      </x:c>
      <x:c r="M100" t="str">
        <x:v>YES</x:v>
      </x:c>
    </x:row>
    <x:row r="101">
      <x:c r="A101" t="str">
        <x:v>TOX_80</x:v>
      </x:c>
      <x:c r="B101" t="str">
        <x:v>CAZ toxicity threshold = 80 mg/L</x:v>
      </x:c>
      <x:c r="C101" t="str">
        <x:v>R12</x:v>
      </x:c>
      <x:c r="D101" t="str">
        <x:v>91–120</x:v>
      </x:c>
      <x:c r="E101" t="str">
        <x:v>LEE2022_OXA_KP</x:v>
      </x:c>
      <x:c r="F101" t="str">
        <x:v>OXA-like CR-K. pneumoniae, ATLAS 2020</x:v>
      </x:c>
      <x:c r="G101" s="63" t="n">
        <x:v>86.93947033898306</x:v>
      </x:c>
      <x:c r="H101" s="63" t="n">
        <x:v>86.93947033898306</x:v>
      </x:c>
      <x:c r="I101" s="63" t="str">
        <x:v>ACCEPTABLE</x:v>
      </x:c>
      <x:c r="J101" s="63" t="str">
        <x:v>ACCEPTABLE</x:v>
      </x:c>
      <x:c r="K101" s="63" t="n">
        <x:v>11.82</x:v>
      </x:c>
      <x:c r="L101" s="63" t="n">
        <x:v>22.33</x:v>
      </x:c>
      <x:c r="M101" t="str">
        <x:v>YES</x:v>
      </x:c>
    </x:row>
    <x:row r="102">
      <x:c r="A102" t="str">
        <x:v>TOX_80</x:v>
      </x:c>
      <x:c r="B102" t="str">
        <x:v>CAZ toxicity threshold = 80 mg/L</x:v>
      </x:c>
      <x:c r="C102" t="str">
        <x:v>R12</x:v>
      </x:c>
      <x:c r="D102" t="str">
        <x:v>91–120</x:v>
      </x:c>
      <x:c r="E102" t="str">
        <x:v>INDIA2022_OXA48_KP</x:v>
      </x:c>
      <x:c r="F102" t="str">
        <x:v>OXA-48-like CR-K. pneumoniae, India</x:v>
      </x:c>
      <x:c r="G102" s="63" t="n">
        <x:v>84.95058823529412</x:v>
      </x:c>
      <x:c r="H102" s="63" t="n">
        <x:v>84.95058823529412</x:v>
      </x:c>
      <x:c r="I102" s="63" t="str">
        <x:v>ACCEPTABLE</x:v>
      </x:c>
      <x:c r="J102" s="63" t="str">
        <x:v>ACCEPTABLE</x:v>
      </x:c>
      <x:c r="K102" s="63" t="n">
        <x:v>11.82</x:v>
      </x:c>
      <x:c r="L102" s="63" t="n">
        <x:v>22.33</x:v>
      </x:c>
      <x:c r="M102" t="str">
        <x:v>YES</x:v>
      </x:c>
    </x:row>
    <x:row r="103">
      <x:c r="A103" t="str">
        <x:v>TOX_80</x:v>
      </x:c>
      <x:c r="B103" t="str">
        <x:v>CAZ toxicity threshold = 80 mg/L</x:v>
      </x:c>
      <x:c r="C103" t="str">
        <x:v>R12</x:v>
      </x:c>
      <x:c r="D103" t="str">
        <x:v>91–120</x:v>
      </x:c>
      <x:c r="E103" t="str">
        <x:v>FR2024_OXA484_SERINE_ONLY</x:v>
      </x:c>
      <x:c r="F103" t="str">
        <x:v>French OXA-484 Enterobacterales, serine-only</x:v>
      </x:c>
      <x:c r="G103" s="63" t="n">
        <x:v>88.13366666666667</x:v>
      </x:c>
      <x:c r="H103" s="63" t="n">
        <x:v>88.13366666666667</x:v>
      </x:c>
      <x:c r="I103" s="63" t="str">
        <x:v>ACCEPTABLE</x:v>
      </x:c>
      <x:c r="J103" s="63" t="str">
        <x:v>ACCEPTABLE</x:v>
      </x:c>
      <x:c r="K103" s="63" t="n">
        <x:v>11.82</x:v>
      </x:c>
      <x:c r="L103" s="63" t="n">
        <x:v>22.33</x:v>
      </x:c>
      <x:c r="M103" t="str">
        <x:v>YES</x:v>
      </x:c>
    </x:row>
  </x:sheetData>
  <x:mergeCells>
    <x:mergeCell ref="A1:M1"/>
  </x:mergeCells>
  <x:pageMargins left="0.7" right="0.7" top="0.75" bottom="0.75" header="0.3" footer="0.3"/>
</x:worksheet>
</file>

<file path=xl/worksheets/sheet33.xml><?xml version="1.0" encoding="utf-8"?>
<x:worksheet xmlns:x="http://schemas.openxmlformats.org/spreadsheetml/2006/main">
  <x:sheetFormatPr defaultRowHeight="15"/>
  <x:cols>
    <x:col min="1" max="1" width="26" hidden="0" customWidth="1"/>
    <x:col min="2" max="2" width="62" hidden="0" customWidth="1"/>
    <x:col min="3" max="3" width="68" hidden="0" customWidth="1"/>
    <x:col min="4" max="4" width="54" hidden="0" customWidth="1"/>
    <x:col min="5" max="5" width="20" hidden="0" customWidth="1"/>
    <x:col min="6" max="6" width="24" hidden="0" customWidth="1"/>
  </x:cols>
  <x:sheetData>
    <x:row r="1">
      <x:c r="A1" s="179" t="str">
        <x:v>Sensitivity Analysis — Scientific Conclusions</x:v>
      </x:c>
      <x:c r="B1" s="179"/>
      <x:c r="C1" s="179"/>
      <x:c r="D1" s="179"/>
      <x:c r="E1" s="179"/>
      <x:c r="F1" s="179"/>
    </x:row>
    <x:row r="2">
      <x:c r="A2" s="45"/>
      <x:c r="B2" s="45"/>
      <x:c r="C2" s="45"/>
      <x:c r="D2" s="45"/>
      <x:c r="E2" s="45"/>
      <x:c r="F2" s="45"/>
    </x:row>
    <x:row r="3">
      <x:c r="A3" s="178" t="str">
        <x:v>Decision item</x:v>
      </x:c>
      <x:c r="B3" s="178" t="str">
        <x:v>Finding</x:v>
      </x:c>
      <x:c r="C3" s="178" t="str">
        <x:v>Interpretation</x:v>
      </x:c>
      <x:c r="D3" s="178" t="str">
        <x:v>Model action</x:v>
      </x:c>
      <x:c r="E3" s="178" t="str">
        <x:v>Provenance</x:v>
      </x:c>
      <x:c r="F3" s="178" t="str">
        <x:v>Review</x:v>
      </x:c>
    </x:row>
    <x:row r="4">
      <x:c r="A4" s="182" t="str">
        <x:v>Simulation design</x:v>
      </x:c>
      <x:c r="B4" s="45" t="str">
        <x:v>100,000 subjects; paired one-at-a-time scenarios using identical random draws</x:v>
      </x:c>
      <x:c r="C4" s="45" t="str">
        <x:v>Differences reflect parameter changes rather than Monte Carlo noise</x:v>
      </x:c>
      <x:c r="D4" s="45" t="str">
        <x:v>Accept for screening; interactions remain untested</x:v>
      </x:c>
      <x:c r="E4" s="45" t="str">
        <x:v>MODEL_INFERRED</x:v>
      </x:c>
      <x:c r="F4" s="45" t="str">
        <x:v>USER_REVIEW_REQUIRED</x:v>
      </x:c>
    </x:row>
    <x:row r="5">
      <x:c r="A5" s="182" t="str">
        <x:v>Top-ranked drivers</x:v>
      </x:c>
      <x:c r="B5" s="45" t="str">
        <x:v>AVI_CT_6 (19.75 pp); AVI_CT_2 (18.29 pp); AVI_CL_HIGH (8.18 pp); AVI_CL_LOW (7.81 pp); IIV_LOW (5.49 pp); IIV_HIGH (4.46 pp)</x:v>
      </x:c>
      <x:c r="C5" s="45" t="str">
        <x:v>Joint attainment is most sensitive to target/AVI exposure assumptions and clearance shifts</x:v>
      </x:c>
      <x:c r="D5" s="45" t="str">
        <x:v>Prioritize these in uncertainty propagation</x:v>
      </x:c>
      <x:c r="E5" s="45" t="str">
        <x:v>MODEL_INFERRED</x:v>
      </x:c>
      <x:c r="F5" s="45" t="str">
        <x:v>USER_REVIEW_REQUIRED</x:v>
      </x:c>
    </x:row>
    <x:row r="6">
      <x:c r="A6" s="182" t="str">
        <x:v>Correlation</x:v>
      </x:c>
      <x:c r="B6" s="45" t="str">
        <x:v>rho reduced from 0.94 to 0.50 and 0</x:v>
      </x:c>
      <x:c r="C6" s="45" t="str">
        <x:v>Tests dependence of joint target on correlated component clearances</x:v>
      </x:c>
      <x:c r="D6" s="45" t="str">
        <x:v>Retain as structural sensitivity; do not overwrite baseline</x:v>
      </x:c>
      <x:c r="E6" s="45" t="str">
        <x:v>MODEL_INFERRED</x:v>
      </x:c>
      <x:c r="F6" s="45" t="str">
        <x:v>USER_REVIEW_REQUIRED</x:v>
      </x:c>
    </x:row>
    <x:row r="7">
      <x:c r="A7" s="182" t="str">
        <x:v>IIV</x:v>
      </x:c>
      <x:c r="B7" s="45" t="str">
        <x:v>Both omega values varied ±20%</x:v>
      </x:c>
      <x:c r="C7" s="45" t="str">
        <x:v>Evaluates tail behavior, PTA and toxicity uncertainty</x:v>
      </x:c>
      <x:c r="D7" s="45" t="str">
        <x:v>Carry high/low IIV scenarios forward</x:v>
      </x:c>
      <x:c r="E7" s="45" t="str">
        <x:v>MODEL_INFERRED</x:v>
      </x:c>
      <x:c r="F7" s="45" t="str">
        <x:v>USER_REVIEW_REQUIRED</x:v>
      </x:c>
    </x:row>
    <x:row r="8">
      <x:c r="A8" s="182" t="str">
        <x:v>Protein binding</x:v>
      </x:c>
      <x:c r="B8" s="45" t="str">
        <x:v>CAZ and AVI fu varied independently</x:v>
      </x:c>
      <x:c r="C8" s="45" t="str">
        <x:v>Free-exposure policy can shift component-specific and joint attainment</x:v>
      </x:c>
      <x:c r="D8" s="45" t="str">
        <x:v>Require explicit concentration policy in final model</x:v>
      </x:c>
      <x:c r="E8" s="45" t="str">
        <x:v>MODEL_INFERRED</x:v>
      </x:c>
      <x:c r="F8" s="45" t="str">
        <x:v>USER_REVIEW_REQUIRED</x:v>
      </x:c>
    </x:row>
    <x:row r="9">
      <x:c r="A9" s="182" t="str">
        <x:v>Decision thresholds</x:v>
      </x:c>
      <x:c r="B9" s="45" t="str">
        <x:v>Joint CFR categories: ≥90 optimal, 80–&lt;90 acceptable, &lt;80 low; toxicity gate 15%</x:v>
      </x:c>
      <x:c r="C9" s="45" t="str">
        <x:v>Scenario-induced category changes identify fragile recommendations</x:v>
      </x:c>
      <x:c r="D9" s="45" t="str">
        <x:v>Review all rows in Decision_Reversals</x:v>
      </x:c>
      <x:c r="E9" s="45" t="str">
        <x:v>USER_INPUT</x:v>
      </x:c>
      <x:c r="F9" s="45" t="str">
        <x:v>USER_REVIEW_REQUIRED</x:v>
      </x:c>
    </x:row>
    <x:row r="10">
      <x:c r="A10" s="182" t="str">
        <x:v>Next scientific step</x:v>
      </x:c>
      <x:c r="B10" s="45" t="str">
        <x:v>Run multivariable uncertainty propagation on the dominant parameters</x:v>
      </x:c>
      <x:c r="C10" s="45" t="str">
        <x:v>OAT cannot estimate interactions or a joint uncertainty interval</x:v>
      </x:c>
      <x:c r="D10" s="45" t="str">
        <x:v>Use Latin hypercube or probabilistic sensitivity analysis, then freeze v1</x:v>
      </x:c>
      <x:c r="E10" s="45" t="str">
        <x:v>MODEL_INFERRED</x:v>
      </x:c>
      <x:c r="F10" s="45" t="str">
        <x:v>USER_REVIEW_REQUIRED</x:v>
      </x:c>
    </x:row>
  </x:sheetData>
  <x:mergeCells>
    <x:mergeCell ref="A1:F1"/>
  </x:mergeCells>
  <x:pageMargins left="0.7" right="0.7" top="0.75" bottom="0.75" header="0.3" footer="0.3"/>
</x:worksheet>
</file>